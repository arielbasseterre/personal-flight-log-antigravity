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iel\DESARROLLO DE APPS\personal-flight-log\"/>
    </mc:Choice>
  </mc:AlternateContent>
  <xr:revisionPtr revIDLastSave="0" documentId="8_{46E51057-0BC7-4366-9E81-6CD5591D1515}" xr6:coauthVersionLast="47" xr6:coauthVersionMax="47" xr10:uidLastSave="{00000000-0000-0000-0000-000000000000}"/>
  <bookViews>
    <workbookView xWindow="-108" yWindow="-108" windowWidth="30936" windowHeight="16776" xr2:uid="{8C456FE3-F7AC-43FD-81C8-51D1F59CB720}"/>
  </bookViews>
  <sheets>
    <sheet name="FOLIO 2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26" i="1" l="1"/>
  <c r="AJ26" i="1"/>
  <c r="AD26" i="1"/>
  <c r="AC26" i="1"/>
  <c r="AB26" i="1"/>
  <c r="AA26" i="1"/>
  <c r="Z26" i="1"/>
  <c r="Y26" i="1"/>
  <c r="X26" i="1"/>
  <c r="U26" i="1"/>
  <c r="T26" i="1"/>
  <c r="S26" i="1"/>
  <c r="R26" i="1"/>
  <c r="Q26" i="1"/>
  <c r="P26" i="1"/>
  <c r="O26" i="1"/>
  <c r="N26" i="1"/>
  <c r="M26" i="1"/>
  <c r="AE26" i="1" s="1"/>
  <c r="L26" i="1"/>
  <c r="W14" i="1"/>
  <c r="V14" i="1"/>
  <c r="W13" i="1"/>
  <c r="V13" i="1"/>
  <c r="V26" i="1" s="1"/>
  <c r="W12" i="1"/>
  <c r="V12" i="1"/>
  <c r="W11" i="1"/>
  <c r="W26" i="1" s="1"/>
  <c r="V11" i="1"/>
</calcChain>
</file>

<file path=xl/sharedStrings.xml><?xml version="1.0" encoding="utf-8"?>
<sst xmlns="http://schemas.openxmlformats.org/spreadsheetml/2006/main" count="91" uniqueCount="64">
  <si>
    <t>DIAS</t>
  </si>
  <si>
    <t>MES</t>
  </si>
  <si>
    <t>MATRICULA</t>
  </si>
  <si>
    <t>APELLIDO Y NOMBRE: Ariel Basseterre</t>
  </si>
  <si>
    <t>LICENCIA: TLA</t>
  </si>
  <si>
    <t>Nº</t>
  </si>
  <si>
    <t>LEGAJO Nº 82468</t>
  </si>
  <si>
    <t>LV-KED</t>
  </si>
  <si>
    <t>AÑO                   2024</t>
  </si>
  <si>
    <t>ITINERARIO</t>
  </si>
  <si>
    <t xml:space="preserve">FINALIDAD                                     DEL                                                 VUELO </t>
  </si>
  <si>
    <t>AERONAVES UTILIZADAS</t>
  </si>
  <si>
    <t>TIEMPOS DE VUELO</t>
  </si>
  <si>
    <t>ATERRIZAJES</t>
  </si>
  <si>
    <t>DISCRIMINACION DE TIEMPOS DE VUELO</t>
  </si>
  <si>
    <t>ADIESTRADOR TERRESTRE /  SIMULADOR</t>
  </si>
  <si>
    <t>CERTIFICACIONES</t>
  </si>
  <si>
    <t>HORA      DE         SALIDA                         UTC</t>
  </si>
  <si>
    <t>DESDE                   HASTA</t>
  </si>
  <si>
    <t>HORA     DE     LLEGADA                                                 UTC</t>
  </si>
  <si>
    <t>MARCA / MODELO</t>
  </si>
  <si>
    <t>POTENCIA</t>
  </si>
  <si>
    <t>CLASE</t>
  </si>
  <si>
    <t>SOBRE AERÓDROMO</t>
  </si>
  <si>
    <t>TRAVESIA</t>
  </si>
  <si>
    <t>INSTRUCT DE VUELO</t>
  </si>
  <si>
    <t>MULTI MOTOR</t>
  </si>
  <si>
    <t>REACTOR</t>
  </si>
  <si>
    <t>TURBO             HELICE</t>
  </si>
  <si>
    <t>AERO APLICA-      DOR</t>
  </si>
  <si>
    <t>VUELO POR INSTRUMENTOS</t>
  </si>
  <si>
    <t>INSTRUCTOR</t>
  </si>
  <si>
    <t>PILOTO EN INSTRUCCIÓN</t>
  </si>
  <si>
    <t>REAL</t>
  </si>
  <si>
    <t>CAPOTA</t>
  </si>
  <si>
    <t>DE DIA</t>
  </si>
  <si>
    <t>DE NOCHE</t>
  </si>
  <si>
    <t>Piloto</t>
  </si>
  <si>
    <t>Copiloto</t>
  </si>
  <si>
    <t>PILOTO</t>
  </si>
  <si>
    <t>COPILOTO</t>
  </si>
  <si>
    <t>DIA</t>
  </si>
  <si>
    <t>TOTALES PAGINA ANTERIOR</t>
  </si>
  <si>
    <t>Total horas de vuelo de la pagina anterior</t>
  </si>
  <si>
    <t>EZE-GIG-EZE</t>
  </si>
  <si>
    <t>LA</t>
  </si>
  <si>
    <t>B738</t>
  </si>
  <si>
    <t>LV-HKN</t>
  </si>
  <si>
    <t>26K</t>
  </si>
  <si>
    <t>MULT-T</t>
  </si>
  <si>
    <t>EZE-BRC-AEP</t>
  </si>
  <si>
    <t>LV-KJD</t>
  </si>
  <si>
    <t>EZE-GRU-EZE</t>
  </si>
  <si>
    <t>LV-KHO</t>
  </si>
  <si>
    <t>EZE-FTE-AEP</t>
  </si>
  <si>
    <t>LV-KJF</t>
  </si>
  <si>
    <t>C.E.F.E.P.R.A.</t>
  </si>
  <si>
    <t>INST</t>
  </si>
  <si>
    <t>EXA</t>
  </si>
  <si>
    <t>Total horas de vuelo de la pagina siguiente</t>
  </si>
  <si>
    <t xml:space="preserve">                                     TOTALES A LA PAGINA SIGUIENTE                   </t>
  </si>
  <si>
    <t>HOJA DE LIBRO DE VUELO DE PILOTOS RESOLUCION ANAC 290/2012 del 15/05/2012 - MEDIDAS 35.5 cm X 16.5 cm</t>
  </si>
  <si>
    <t>Los totales de estas columnas no deben sumarse a                                               los totales generales ya que estan comprendidos en                                                            la columna TIEMPOS DE VUELO</t>
  </si>
  <si>
    <t>FIRMA DEL TITULAR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</si>
</sst>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2">
    <font>
      <sz val="10"/>
      <color rgb="FF000000"/>
      <name val="Arial"/>
      <scheme val="minor"/>
    </font>
    <font>
      <sz val="7"/>
      <color theme="1"/>
      <name val="Arial"/>
    </font>
    <font>
      <b/>
      <sz val="10"/>
      <color theme="1"/>
      <name val="Arial"/>
    </font>
    <font>
      <b/>
      <sz val="11"/>
      <color theme="1"/>
      <name val="Arial"/>
    </font>
    <font>
      <sz val="9"/>
      <color theme="1"/>
      <name val="Arial"/>
    </font>
    <font>
      <sz val="10"/>
      <name val="Arial"/>
    </font>
    <font>
      <b/>
      <sz val="9"/>
      <color theme="1"/>
      <name val="Arial"/>
    </font>
    <font>
      <sz val="6"/>
      <color theme="1"/>
      <name val="Arial"/>
    </font>
    <font>
      <sz val="8"/>
      <color theme="1"/>
      <name val="Arial"/>
    </font>
    <font>
      <sz val="5"/>
      <color theme="1"/>
      <name val="Arial"/>
    </font>
    <font>
      <b/>
      <sz val="8"/>
      <color theme="1"/>
      <name val="Arial"/>
    </font>
    <font>
      <sz val="8"/>
      <color theme="1"/>
      <name val="Noto Sans Symbols"/>
    </font>
  </fonts>
  <fills count="2">
    <fill>
      <patternFill patternType="none"/>
    </fill>
    <fill>
      <patternFill patternType="gray125"/>
    </fill>
  </fills>
  <borders count="6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dotted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4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6" fillId="0" borderId="4" xfId="0" applyFont="1" applyBorder="1" applyAlignment="1">
      <alignment horizontal="center" vertical="center" wrapText="1"/>
    </xf>
    <xf numFmtId="0" fontId="5" fillId="0" borderId="5" xfId="0" applyFont="1" applyBorder="1"/>
    <xf numFmtId="0" fontId="5" fillId="0" borderId="6" xfId="0" applyFont="1" applyBorder="1"/>
    <xf numFmtId="0" fontId="1" fillId="0" borderId="7" xfId="0" applyFont="1" applyBorder="1" applyAlignment="1">
      <alignment horizontal="center" vertical="center" textRotation="90" wrapText="1"/>
    </xf>
    <xf numFmtId="0" fontId="6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1" fillId="0" borderId="13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5" fillId="0" borderId="15" xfId="0" applyFont="1" applyBorder="1"/>
    <xf numFmtId="0" fontId="1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18" xfId="0" applyFont="1" applyBorder="1"/>
    <xf numFmtId="0" fontId="5" fillId="0" borderId="19" xfId="0" applyFont="1" applyBorder="1"/>
    <xf numFmtId="0" fontId="8" fillId="0" borderId="20" xfId="0" applyFont="1" applyBorder="1" applyAlignment="1">
      <alignment horizontal="center" vertical="center" wrapText="1"/>
    </xf>
    <xf numFmtId="0" fontId="5" fillId="0" borderId="21" xfId="0" applyFont="1" applyBorder="1"/>
    <xf numFmtId="0" fontId="7" fillId="0" borderId="16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5" fillId="0" borderId="22" xfId="0" applyFont="1" applyBorder="1"/>
    <xf numFmtId="0" fontId="5" fillId="0" borderId="23" xfId="0" applyFont="1" applyBorder="1"/>
    <xf numFmtId="0" fontId="5" fillId="0" borderId="24" xfId="0" applyFont="1" applyBorder="1"/>
    <xf numFmtId="0" fontId="5" fillId="0" borderId="25" xfId="0" applyFont="1" applyBorder="1"/>
    <xf numFmtId="0" fontId="5" fillId="0" borderId="26" xfId="0" applyFont="1" applyBorder="1"/>
    <xf numFmtId="0" fontId="5" fillId="0" borderId="27" xfId="0" applyFont="1" applyBorder="1"/>
    <xf numFmtId="0" fontId="5" fillId="0" borderId="28" xfId="0" applyFont="1" applyBorder="1"/>
    <xf numFmtId="0" fontId="5" fillId="0" borderId="29" xfId="0" applyFont="1" applyBorder="1"/>
    <xf numFmtId="0" fontId="5" fillId="0" borderId="30" xfId="0" applyFont="1" applyBorder="1"/>
    <xf numFmtId="0" fontId="5" fillId="0" borderId="31" xfId="0" applyFont="1" applyBorder="1"/>
    <xf numFmtId="0" fontId="1" fillId="0" borderId="26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5" fillId="0" borderId="33" xfId="0" applyFont="1" applyBorder="1"/>
    <xf numFmtId="0" fontId="10" fillId="0" borderId="34" xfId="0" applyFont="1" applyBorder="1" applyAlignment="1">
      <alignment horizontal="center" vertical="center" wrapText="1"/>
    </xf>
    <xf numFmtId="0" fontId="5" fillId="0" borderId="35" xfId="0" applyFont="1" applyBorder="1"/>
    <xf numFmtId="0" fontId="10" fillId="0" borderId="36" xfId="0" applyFont="1" applyBorder="1" applyAlignment="1">
      <alignment horizontal="center" vertical="center" wrapText="1"/>
    </xf>
    <xf numFmtId="0" fontId="5" fillId="0" borderId="37" xfId="0" applyFont="1" applyBorder="1"/>
    <xf numFmtId="0" fontId="5" fillId="0" borderId="38" xfId="0" applyFont="1" applyBorder="1"/>
    <xf numFmtId="0" fontId="5" fillId="0" borderId="39" xfId="0" applyFont="1" applyBorder="1"/>
    <xf numFmtId="0" fontId="1" fillId="0" borderId="40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5" fillId="0" borderId="44" xfId="0" applyFont="1" applyBorder="1"/>
    <xf numFmtId="0" fontId="7" fillId="0" borderId="41" xfId="0" applyFont="1" applyBorder="1" applyAlignment="1">
      <alignment horizontal="center" vertical="center" wrapText="1"/>
    </xf>
    <xf numFmtId="0" fontId="5" fillId="0" borderId="45" xfId="0" applyFont="1" applyBorder="1"/>
    <xf numFmtId="0" fontId="5" fillId="0" borderId="46" xfId="0" applyFont="1" applyBorder="1"/>
    <xf numFmtId="0" fontId="8" fillId="0" borderId="40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left" vertical="center" wrapText="1"/>
    </xf>
    <xf numFmtId="0" fontId="11" fillId="0" borderId="46" xfId="0" applyFont="1" applyBorder="1" applyAlignment="1">
      <alignment horizontal="center" vertical="center" wrapText="1"/>
    </xf>
    <xf numFmtId="164" fontId="8" fillId="0" borderId="47" xfId="0" applyNumberFormat="1" applyFont="1" applyBorder="1" applyAlignment="1">
      <alignment horizontal="center" vertical="center" wrapText="1"/>
    </xf>
    <xf numFmtId="164" fontId="8" fillId="0" borderId="48" xfId="0" applyNumberFormat="1" applyFont="1" applyBorder="1" applyAlignment="1">
      <alignment horizontal="center" vertical="center" wrapText="1"/>
    </xf>
    <xf numFmtId="164" fontId="8" fillId="0" borderId="49" xfId="0" applyNumberFormat="1" applyFont="1" applyBorder="1" applyAlignment="1">
      <alignment horizontal="center" vertical="center" wrapText="1"/>
    </xf>
    <xf numFmtId="164" fontId="8" fillId="0" borderId="50" xfId="0" applyNumberFormat="1" applyFont="1" applyBorder="1" applyAlignment="1">
      <alignment horizontal="center" vertical="center" wrapText="1"/>
    </xf>
    <xf numFmtId="164" fontId="8" fillId="0" borderId="51" xfId="0" applyNumberFormat="1" applyFont="1" applyBorder="1" applyAlignment="1">
      <alignment horizontal="center" vertical="center" wrapText="1"/>
    </xf>
    <xf numFmtId="164" fontId="8" fillId="0" borderId="52" xfId="0" applyNumberFormat="1" applyFont="1" applyBorder="1" applyAlignment="1">
      <alignment horizontal="center" vertical="center" wrapText="1"/>
    </xf>
    <xf numFmtId="164" fontId="8" fillId="0" borderId="8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vertical="center" wrapText="1"/>
    </xf>
    <xf numFmtId="0" fontId="8" fillId="0" borderId="10" xfId="0" applyFont="1" applyBorder="1" applyAlignment="1">
      <alignment horizontal="left" vertical="center" wrapText="1"/>
    </xf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20" fontId="1" fillId="0" borderId="54" xfId="0" applyNumberFormat="1" applyFont="1" applyBorder="1" applyAlignment="1">
      <alignment horizontal="center" vertical="center" wrapText="1"/>
    </xf>
    <xf numFmtId="20" fontId="1" fillId="0" borderId="34" xfId="0" applyNumberFormat="1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164" fontId="1" fillId="0" borderId="33" xfId="0" applyNumberFormat="1" applyFont="1" applyBorder="1" applyAlignment="1">
      <alignment horizontal="center" vertical="center" wrapText="1"/>
    </xf>
    <xf numFmtId="164" fontId="1" fillId="0" borderId="54" xfId="0" applyNumberFormat="1" applyFont="1" applyBorder="1" applyAlignment="1">
      <alignment horizontal="center" vertical="center" wrapText="1"/>
    </xf>
    <xf numFmtId="164" fontId="1" fillId="0" borderId="56" xfId="0" applyNumberFormat="1" applyFont="1" applyBorder="1" applyAlignment="1">
      <alignment horizontal="center" vertical="center" wrapText="1"/>
    </xf>
    <xf numFmtId="164" fontId="1" fillId="0" borderId="34" xfId="0" applyNumberFormat="1" applyFont="1" applyBorder="1" applyAlignment="1">
      <alignment horizontal="center" vertical="center" wrapText="1"/>
    </xf>
    <xf numFmtId="3" fontId="1" fillId="0" borderId="55" xfId="0" applyNumberFormat="1" applyFont="1" applyBorder="1" applyAlignment="1">
      <alignment horizontal="center" vertical="center" wrapText="1"/>
    </xf>
    <xf numFmtId="164" fontId="8" fillId="0" borderId="57" xfId="0" applyNumberFormat="1" applyFont="1" applyBorder="1" applyAlignment="1">
      <alignment horizontal="center" vertical="center" wrapText="1"/>
    </xf>
    <xf numFmtId="164" fontId="8" fillId="0" borderId="58" xfId="0" applyNumberFormat="1" applyFont="1" applyBorder="1" applyAlignment="1">
      <alignment horizontal="center" vertical="center" wrapText="1"/>
    </xf>
    <xf numFmtId="164" fontId="8" fillId="0" borderId="4" xfId="0" applyNumberFormat="1" applyFont="1" applyBorder="1" applyAlignment="1">
      <alignment horizontal="center" vertical="center" wrapText="1"/>
    </xf>
    <xf numFmtId="0" fontId="8" fillId="0" borderId="30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1" fillId="0" borderId="32" xfId="0" applyFont="1" applyBorder="1" applyAlignment="1">
      <alignment horizontal="center" vertical="center" wrapText="1"/>
    </xf>
    <xf numFmtId="0" fontId="5" fillId="0" borderId="36" xfId="0" applyFont="1" applyBorder="1"/>
    <xf numFmtId="0" fontId="9" fillId="0" borderId="32" xfId="0" applyFont="1" applyBorder="1" applyAlignment="1">
      <alignment horizontal="center" vertical="center" wrapText="1"/>
    </xf>
    <xf numFmtId="20" fontId="1" fillId="0" borderId="0" xfId="0" applyNumberFormat="1" applyFont="1" applyAlignment="1">
      <alignment horizontal="center" vertical="center" wrapText="1"/>
    </xf>
    <xf numFmtId="0" fontId="1" fillId="0" borderId="32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4" fillId="0" borderId="21" xfId="0" applyFont="1" applyBorder="1" applyAlignment="1">
      <alignment horizontal="left" vertical="center" wrapText="1"/>
    </xf>
    <xf numFmtId="0" fontId="6" fillId="0" borderId="45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37" xfId="0" applyNumberFormat="1" applyFont="1" applyBorder="1" applyAlignment="1">
      <alignment horizontal="center" vertical="center" wrapText="1"/>
    </xf>
    <xf numFmtId="164" fontId="1" fillId="0" borderId="38" xfId="0" applyNumberFormat="1" applyFont="1" applyBorder="1" applyAlignment="1">
      <alignment horizontal="center" vertical="center" wrapText="1"/>
    </xf>
    <xf numFmtId="164" fontId="1" fillId="0" borderId="39" xfId="0" applyNumberFormat="1" applyFont="1" applyBorder="1" applyAlignment="1">
      <alignment horizontal="center" vertical="center" wrapText="1"/>
    </xf>
    <xf numFmtId="164" fontId="1" fillId="0" borderId="59" xfId="0" applyNumberFormat="1" applyFont="1" applyBorder="1" applyAlignment="1">
      <alignment horizontal="center" vertical="center" wrapText="1"/>
    </xf>
    <xf numFmtId="164" fontId="1" fillId="0" borderId="45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521970</xdr:colOff>
      <xdr:row>9</xdr:row>
      <xdr:rowOff>66675</xdr:rowOff>
    </xdr:from>
    <xdr:ext cx="885825" cy="180975"/>
    <xdr:grpSp>
      <xdr:nvGrpSpPr>
        <xdr:cNvPr id="2" name="Shape 2" title="Dibujo">
          <a:extLst>
            <a:ext uri="{FF2B5EF4-FFF2-40B4-BE49-F238E27FC236}">
              <a16:creationId xmlns:a16="http://schemas.microsoft.com/office/drawing/2014/main" id="{CF4B8481-7040-4397-A760-7077A83F8ECE}"/>
            </a:ext>
          </a:extLst>
        </xdr:cNvPr>
        <xdr:cNvGrpSpPr/>
      </xdr:nvGrpSpPr>
      <xdr:grpSpPr>
        <a:xfrm>
          <a:off x="4438650" y="1392555"/>
          <a:ext cx="885825" cy="180975"/>
          <a:chOff x="4352258" y="3582137"/>
          <a:chExt cx="866621" cy="16209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D1552E72-0393-50B6-264D-1D2B6BDE216F}"/>
              </a:ext>
            </a:extLst>
          </xdr:cNvPr>
          <xdr:cNvGrpSpPr/>
        </xdr:nvGrpSpPr>
        <xdr:grpSpPr>
          <a:xfrm>
            <a:off x="4352258" y="3582137"/>
            <a:ext cx="866621" cy="162090"/>
            <a:chOff x="4352075" y="3582200"/>
            <a:chExt cx="2500350" cy="905025"/>
          </a:xfrm>
        </xdr:grpSpPr>
        <xdr:cxnSp macro="">
          <xdr:nvCxnSpPr>
            <xdr:cNvPr id="4" name="Shape 4">
              <a:extLst>
                <a:ext uri="{FF2B5EF4-FFF2-40B4-BE49-F238E27FC236}">
                  <a16:creationId xmlns:a16="http://schemas.microsoft.com/office/drawing/2014/main" id="{42477680-55FC-C986-35B7-44AEA221C584}"/>
                </a:ext>
              </a:extLst>
            </xdr:cNvPr>
            <xdr:cNvCxnSpPr/>
          </xdr:nvCxnSpPr>
          <xdr:spPr>
            <a:xfrm rot="10800000">
              <a:off x="4352075" y="3582200"/>
              <a:ext cx="2500200" cy="47640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5" name="Shape 5">
              <a:extLst>
                <a:ext uri="{FF2B5EF4-FFF2-40B4-BE49-F238E27FC236}">
                  <a16:creationId xmlns:a16="http://schemas.microsoft.com/office/drawing/2014/main" id="{78647B50-39FB-2FD3-E933-3F82116354DC}"/>
                </a:ext>
              </a:extLst>
            </xdr:cNvPr>
            <xdr:cNvCxnSpPr/>
          </xdr:nvCxnSpPr>
          <xdr:spPr>
            <a:xfrm>
              <a:off x="4380550" y="3596650"/>
              <a:ext cx="642900" cy="48090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" name="Shape 6">
              <a:extLst>
                <a:ext uri="{FF2B5EF4-FFF2-40B4-BE49-F238E27FC236}">
                  <a16:creationId xmlns:a16="http://schemas.microsoft.com/office/drawing/2014/main" id="{E2AC29F3-080B-78C8-0B35-57B84A66331D}"/>
                </a:ext>
              </a:extLst>
            </xdr:cNvPr>
            <xdr:cNvCxnSpPr/>
          </xdr:nvCxnSpPr>
          <xdr:spPr>
            <a:xfrm flipH="1">
              <a:off x="4423550" y="4068125"/>
              <a:ext cx="590400" cy="41910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" name="Shape 7">
              <a:extLst>
                <a:ext uri="{FF2B5EF4-FFF2-40B4-BE49-F238E27FC236}">
                  <a16:creationId xmlns:a16="http://schemas.microsoft.com/office/drawing/2014/main" id="{FD7C9662-0F87-010C-5B20-E62C0DDBD15A}"/>
                </a:ext>
              </a:extLst>
            </xdr:cNvPr>
            <xdr:cNvCxnSpPr/>
          </xdr:nvCxnSpPr>
          <xdr:spPr>
            <a:xfrm rot="10800000" flipH="1">
              <a:off x="4394825" y="4063325"/>
              <a:ext cx="2457600" cy="42390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7</xdr:col>
      <xdr:colOff>276225</xdr:colOff>
      <xdr:row>25</xdr:row>
      <xdr:rowOff>114300</xdr:rowOff>
    </xdr:from>
    <xdr:ext cx="1752600" cy="219075"/>
    <xdr:grpSp>
      <xdr:nvGrpSpPr>
        <xdr:cNvPr id="8" name="Shape 2" title="Dibujo">
          <a:extLst>
            <a:ext uri="{FF2B5EF4-FFF2-40B4-BE49-F238E27FC236}">
              <a16:creationId xmlns:a16="http://schemas.microsoft.com/office/drawing/2014/main" id="{842D703D-6C98-4107-B2F8-DF6D8E34198D}"/>
            </a:ext>
          </a:extLst>
        </xdr:cNvPr>
        <xdr:cNvGrpSpPr/>
      </xdr:nvGrpSpPr>
      <xdr:grpSpPr>
        <a:xfrm>
          <a:off x="3735705" y="4907280"/>
          <a:ext cx="1752600" cy="219075"/>
          <a:chOff x="4485300" y="3672575"/>
          <a:chExt cx="1737900" cy="203088"/>
        </a:xfrm>
      </xdr:grpSpPr>
      <xdr:grpSp>
        <xdr:nvGrpSpPr>
          <xdr:cNvPr id="9" name="Shape 8">
            <a:extLst>
              <a:ext uri="{FF2B5EF4-FFF2-40B4-BE49-F238E27FC236}">
                <a16:creationId xmlns:a16="http://schemas.microsoft.com/office/drawing/2014/main" id="{84716BE9-F080-95BF-1E11-8792435735EA}"/>
              </a:ext>
            </a:extLst>
          </xdr:cNvPr>
          <xdr:cNvGrpSpPr/>
        </xdr:nvGrpSpPr>
        <xdr:grpSpPr>
          <a:xfrm>
            <a:off x="4485300" y="3672575"/>
            <a:ext cx="1737900" cy="203088"/>
            <a:chOff x="4485300" y="3672575"/>
            <a:chExt cx="1737900" cy="203088"/>
          </a:xfrm>
        </xdr:grpSpPr>
        <xdr:cxnSp macro="">
          <xdr:nvCxnSpPr>
            <xdr:cNvPr id="10" name="Shape 9">
              <a:extLst>
                <a:ext uri="{FF2B5EF4-FFF2-40B4-BE49-F238E27FC236}">
                  <a16:creationId xmlns:a16="http://schemas.microsoft.com/office/drawing/2014/main" id="{E0FEBE5A-CB19-E046-447C-65332D8BE087}"/>
                </a:ext>
              </a:extLst>
            </xdr:cNvPr>
            <xdr:cNvCxnSpPr/>
          </xdr:nvCxnSpPr>
          <xdr:spPr>
            <a:xfrm rot="10800000">
              <a:off x="4491300" y="3672575"/>
              <a:ext cx="1731900" cy="10350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" name="Shape 10">
              <a:extLst>
                <a:ext uri="{FF2B5EF4-FFF2-40B4-BE49-F238E27FC236}">
                  <a16:creationId xmlns:a16="http://schemas.microsoft.com/office/drawing/2014/main" id="{F20D7162-3AA9-B4DC-B10F-1FD89D587362}"/>
                </a:ext>
              </a:extLst>
            </xdr:cNvPr>
            <xdr:cNvCxnSpPr/>
          </xdr:nvCxnSpPr>
          <xdr:spPr>
            <a:xfrm flipH="1">
              <a:off x="4485300" y="3776063"/>
              <a:ext cx="1721400" cy="9960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2" name="Shape 11">
              <a:extLst>
                <a:ext uri="{FF2B5EF4-FFF2-40B4-BE49-F238E27FC236}">
                  <a16:creationId xmlns:a16="http://schemas.microsoft.com/office/drawing/2014/main" id="{98319ADB-979A-5135-167D-B88CBDAB4EFA}"/>
                </a:ext>
              </a:extLst>
            </xdr:cNvPr>
            <xdr:cNvCxnSpPr/>
          </xdr:nvCxnSpPr>
          <xdr:spPr>
            <a:xfrm>
              <a:off x="4485300" y="3673163"/>
              <a:ext cx="233400" cy="9960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3" name="Shape 12">
              <a:extLst>
                <a:ext uri="{FF2B5EF4-FFF2-40B4-BE49-F238E27FC236}">
                  <a16:creationId xmlns:a16="http://schemas.microsoft.com/office/drawing/2014/main" id="{C6A393EB-8BD5-9061-A113-0CCEE9E74B4B}"/>
                </a:ext>
              </a:extLst>
            </xdr:cNvPr>
            <xdr:cNvCxnSpPr/>
          </xdr:nvCxnSpPr>
          <xdr:spPr>
            <a:xfrm flipH="1">
              <a:off x="4492775" y="3772850"/>
              <a:ext cx="225900" cy="9240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9525</xdr:colOff>
      <xdr:row>26</xdr:row>
      <xdr:rowOff>9525</xdr:rowOff>
    </xdr:from>
    <xdr:ext cx="4457700" cy="333375"/>
    <xdr:sp macro="" textlink="">
      <xdr:nvSpPr>
        <xdr:cNvPr id="14" name="Shape 13">
          <a:extLst>
            <a:ext uri="{FF2B5EF4-FFF2-40B4-BE49-F238E27FC236}">
              <a16:creationId xmlns:a16="http://schemas.microsoft.com/office/drawing/2014/main" id="{40AFDB2A-876B-45D3-B4F5-F536A65EB777}"/>
            </a:ext>
          </a:extLst>
        </xdr:cNvPr>
        <xdr:cNvSpPr/>
      </xdr:nvSpPr>
      <xdr:spPr>
        <a:xfrm rot="5400000">
          <a:off x="10697527" y="3197543"/>
          <a:ext cx="333375" cy="4457700"/>
        </a:xfrm>
        <a:prstGeom prst="rightBrace">
          <a:avLst>
            <a:gd name="adj1" fmla="val 102381"/>
            <a:gd name="adj2" fmla="val 50000"/>
          </a:avLst>
        </a:pr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31</xdr:col>
      <xdr:colOff>552450</xdr:colOff>
      <xdr:row>9</xdr:row>
      <xdr:rowOff>9525</xdr:rowOff>
    </xdr:from>
    <xdr:ext cx="171450" cy="533400"/>
    <xdr:sp macro="" textlink="">
      <xdr:nvSpPr>
        <xdr:cNvPr id="15" name="Shape 14">
          <a:extLst>
            <a:ext uri="{FF2B5EF4-FFF2-40B4-BE49-F238E27FC236}">
              <a16:creationId xmlns:a16="http://schemas.microsoft.com/office/drawing/2014/main" id="{D12603BD-D11B-4854-9AEB-3FF8B476EB57}"/>
            </a:ext>
          </a:extLst>
        </xdr:cNvPr>
        <xdr:cNvSpPr/>
      </xdr:nvSpPr>
      <xdr:spPr>
        <a:xfrm>
          <a:off x="13879830" y="1335405"/>
          <a:ext cx="171450" cy="533400"/>
        </a:xfrm>
        <a:prstGeom prst="leftBrace">
          <a:avLst>
            <a:gd name="adj1" fmla="val 40000"/>
            <a:gd name="adj2" fmla="val 50000"/>
          </a:avLst>
        </a:pr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31</xdr:col>
      <xdr:colOff>561975</xdr:colOff>
      <xdr:row>23</xdr:row>
      <xdr:rowOff>200025</xdr:rowOff>
    </xdr:from>
    <xdr:ext cx="152400" cy="638175"/>
    <xdr:sp macro="" textlink="">
      <xdr:nvSpPr>
        <xdr:cNvPr id="16" name="Shape 15">
          <a:extLst>
            <a:ext uri="{FF2B5EF4-FFF2-40B4-BE49-F238E27FC236}">
              <a16:creationId xmlns:a16="http://schemas.microsoft.com/office/drawing/2014/main" id="{29424539-7DCE-43A2-BD41-E678DC1133B4}"/>
            </a:ext>
          </a:extLst>
        </xdr:cNvPr>
        <xdr:cNvSpPr/>
      </xdr:nvSpPr>
      <xdr:spPr>
        <a:xfrm>
          <a:off x="13889355" y="4581525"/>
          <a:ext cx="152400" cy="638175"/>
        </a:xfrm>
        <a:prstGeom prst="leftBrace">
          <a:avLst>
            <a:gd name="adj1" fmla="val 44907"/>
            <a:gd name="adj2" fmla="val 63396"/>
          </a:avLst>
        </a:pr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33</xdr:col>
      <xdr:colOff>419100</xdr:colOff>
      <xdr:row>7</xdr:row>
      <xdr:rowOff>85725</xdr:rowOff>
    </xdr:from>
    <xdr:ext cx="2247900" cy="2514600"/>
    <xdr:pic>
      <xdr:nvPicPr>
        <xdr:cNvPr id="17" name="image1.jpg" title="Imagen">
          <a:extLst>
            <a:ext uri="{FF2B5EF4-FFF2-40B4-BE49-F238E27FC236}">
              <a16:creationId xmlns:a16="http://schemas.microsoft.com/office/drawing/2014/main" id="{EB497A38-B5AF-461F-8492-750C33A7836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897100" y="1160145"/>
          <a:ext cx="2247900" cy="25146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97882-1D6A-45D1-AF09-D120906A0B00}">
  <sheetPr>
    <tabColor rgb="FFFFFFFF"/>
    <pageSetUpPr fitToPage="1"/>
  </sheetPr>
  <dimension ref="A1:AO1000"/>
  <sheetViews>
    <sheetView showGridLines="0" tabSelected="1" workbookViewId="0"/>
  </sheetViews>
  <sheetFormatPr baseColWidth="10" defaultColWidth="12.6640625" defaultRowHeight="15" customHeight="1"/>
  <cols>
    <col min="1" max="1" width="9.6640625" customWidth="1"/>
    <col min="2" max="3" width="4.109375" customWidth="1"/>
    <col min="4" max="4" width="5.6640625" customWidth="1"/>
    <col min="5" max="5" width="15.33203125" customWidth="1"/>
    <col min="6" max="6" width="6.88671875" customWidth="1"/>
    <col min="7" max="7" width="4.6640625" customWidth="1"/>
    <col min="8" max="8" width="6.6640625" customWidth="1"/>
    <col min="9" max="9" width="7.6640625" customWidth="1"/>
    <col min="10" max="10" width="5.77734375" customWidth="1"/>
    <col min="11" max="11" width="7.6640625" customWidth="1"/>
    <col min="12" max="19" width="5.33203125" customWidth="1"/>
    <col min="20" max="20" width="4.88671875" customWidth="1"/>
    <col min="21" max="21" width="6" customWidth="1"/>
    <col min="22" max="26" width="5.33203125" customWidth="1"/>
    <col min="27" max="27" width="6.6640625" customWidth="1"/>
    <col min="28" max="28" width="6" customWidth="1"/>
    <col min="29" max="30" width="6.77734375" customWidth="1"/>
    <col min="31" max="32" width="9.6640625" customWidth="1"/>
    <col min="33" max="33" width="7.77734375" customWidth="1"/>
    <col min="34" max="34" width="5.44140625" customWidth="1"/>
    <col min="35" max="41" width="11.44140625" customWidth="1"/>
  </cols>
  <sheetData>
    <row r="1" spans="1:41" ht="27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 t="s">
        <v>0</v>
      </c>
      <c r="AN1" s="1" t="s">
        <v>1</v>
      </c>
      <c r="AO1" s="1" t="s">
        <v>2</v>
      </c>
    </row>
    <row r="2" spans="1:41" ht="13.5" customHeight="1">
      <c r="A2" s="2"/>
      <c r="B2" s="2"/>
      <c r="C2" s="2"/>
      <c r="D2" s="3" t="s">
        <v>3</v>
      </c>
      <c r="E2" s="4"/>
      <c r="F2" s="4"/>
      <c r="G2" s="4"/>
      <c r="H2" s="4"/>
      <c r="I2" s="4"/>
      <c r="J2" s="5"/>
      <c r="K2" s="5"/>
      <c r="L2" s="5"/>
      <c r="M2" s="3" t="s">
        <v>4</v>
      </c>
      <c r="N2" s="4"/>
      <c r="O2" s="4"/>
      <c r="P2" s="5"/>
      <c r="Q2" s="5"/>
      <c r="R2" s="5"/>
      <c r="S2" s="5"/>
      <c r="T2" s="5"/>
      <c r="U2" s="5" t="s">
        <v>5</v>
      </c>
      <c r="V2" s="3">
        <v>29327413</v>
      </c>
      <c r="W2" s="4"/>
      <c r="X2" s="4"/>
      <c r="Y2" s="5"/>
      <c r="Z2" s="5"/>
      <c r="AA2" s="6" t="s">
        <v>6</v>
      </c>
      <c r="AB2" s="4"/>
      <c r="AC2" s="4"/>
      <c r="AD2" s="2"/>
      <c r="AE2" s="2"/>
      <c r="AF2" s="2"/>
      <c r="AG2" s="2"/>
      <c r="AH2" s="2"/>
      <c r="AI2" s="2"/>
      <c r="AJ2" s="2"/>
      <c r="AK2" s="2"/>
      <c r="AL2" s="2"/>
      <c r="AM2" s="2">
        <v>1</v>
      </c>
      <c r="AN2" s="2">
        <v>1</v>
      </c>
      <c r="AO2" s="2" t="s">
        <v>7</v>
      </c>
    </row>
    <row r="3" spans="1:41" ht="6.75" customHeight="1" thickBot="1">
      <c r="A3" s="1"/>
      <c r="B3" s="1"/>
      <c r="C3" s="1"/>
      <c r="D3" s="7"/>
      <c r="E3" s="8"/>
      <c r="F3" s="1"/>
      <c r="G3" s="1"/>
      <c r="H3" s="1"/>
      <c r="I3" s="1"/>
      <c r="J3" s="1"/>
      <c r="K3" s="1"/>
      <c r="L3" s="1"/>
      <c r="M3" s="7"/>
      <c r="N3" s="8"/>
      <c r="O3" s="1"/>
      <c r="P3" s="1"/>
      <c r="Q3" s="1"/>
      <c r="R3" s="1"/>
      <c r="S3" s="1"/>
      <c r="T3" s="1"/>
      <c r="U3" s="9"/>
      <c r="V3" s="1"/>
      <c r="W3" s="1"/>
      <c r="X3" s="1"/>
      <c r="Y3" s="1"/>
      <c r="Z3" s="1"/>
      <c r="AA3" s="7"/>
      <c r="AB3" s="8"/>
      <c r="AC3" s="1"/>
      <c r="AD3" s="1"/>
      <c r="AE3" s="1"/>
      <c r="AF3" s="1"/>
      <c r="AG3" s="1"/>
      <c r="AH3" s="1"/>
      <c r="AI3" s="1"/>
      <c r="AJ3" s="1"/>
      <c r="AK3" s="1"/>
      <c r="AL3" s="1"/>
      <c r="AM3" s="1">
        <v>2</v>
      </c>
      <c r="AN3" s="1">
        <v>2</v>
      </c>
      <c r="AO3" s="1"/>
    </row>
    <row r="4" spans="1:41" ht="23.25" customHeight="1">
      <c r="A4" s="1"/>
      <c r="B4" s="10" t="s">
        <v>8</v>
      </c>
      <c r="C4" s="11"/>
      <c r="D4" s="12" t="s">
        <v>9</v>
      </c>
      <c r="E4" s="13"/>
      <c r="F4" s="14"/>
      <c r="G4" s="15" t="s">
        <v>10</v>
      </c>
      <c r="H4" s="16" t="s">
        <v>11</v>
      </c>
      <c r="I4" s="13"/>
      <c r="J4" s="13"/>
      <c r="K4" s="14"/>
      <c r="L4" s="16" t="s">
        <v>12</v>
      </c>
      <c r="M4" s="13"/>
      <c r="N4" s="13"/>
      <c r="O4" s="13"/>
      <c r="P4" s="13"/>
      <c r="Q4" s="13"/>
      <c r="R4" s="13"/>
      <c r="S4" s="14"/>
      <c r="T4" s="17" t="s">
        <v>13</v>
      </c>
      <c r="U4" s="16" t="s">
        <v>14</v>
      </c>
      <c r="V4" s="13"/>
      <c r="W4" s="13"/>
      <c r="X4" s="13"/>
      <c r="Y4" s="13"/>
      <c r="Z4" s="13"/>
      <c r="AA4" s="13"/>
      <c r="AB4" s="14"/>
      <c r="AC4" s="18" t="s">
        <v>15</v>
      </c>
      <c r="AD4" s="14"/>
      <c r="AE4" s="19" t="s">
        <v>16</v>
      </c>
      <c r="AF4" s="20"/>
      <c r="AG4" s="21"/>
      <c r="AH4" s="1"/>
      <c r="AI4" s="1"/>
      <c r="AJ4" s="1"/>
      <c r="AK4" s="1"/>
      <c r="AL4" s="1"/>
      <c r="AM4" s="2">
        <v>3</v>
      </c>
      <c r="AN4" s="2">
        <v>3</v>
      </c>
      <c r="AO4" s="1"/>
    </row>
    <row r="5" spans="1:41" ht="5.25" customHeight="1">
      <c r="A5" s="1"/>
      <c r="B5" s="22"/>
      <c r="C5" s="23"/>
      <c r="D5" s="24" t="s">
        <v>17</v>
      </c>
      <c r="E5" s="25" t="s">
        <v>18</v>
      </c>
      <c r="F5" s="26" t="s">
        <v>19</v>
      </c>
      <c r="G5" s="27"/>
      <c r="H5" s="28" t="s">
        <v>20</v>
      </c>
      <c r="I5" s="24" t="s">
        <v>2</v>
      </c>
      <c r="J5" s="24" t="s">
        <v>21</v>
      </c>
      <c r="K5" s="26" t="s">
        <v>22</v>
      </c>
      <c r="L5" s="29" t="s">
        <v>23</v>
      </c>
      <c r="M5" s="30"/>
      <c r="N5" s="30"/>
      <c r="O5" s="31"/>
      <c r="P5" s="32" t="s">
        <v>24</v>
      </c>
      <c r="Q5" s="30"/>
      <c r="R5" s="30"/>
      <c r="S5" s="33"/>
      <c r="T5" s="27"/>
      <c r="U5" s="34" t="s">
        <v>25</v>
      </c>
      <c r="V5" s="24" t="s">
        <v>26</v>
      </c>
      <c r="W5" s="35" t="s">
        <v>27</v>
      </c>
      <c r="X5" s="24" t="s">
        <v>28</v>
      </c>
      <c r="Y5" s="24" t="s">
        <v>29</v>
      </c>
      <c r="Z5" s="36" t="s">
        <v>30</v>
      </c>
      <c r="AA5" s="30"/>
      <c r="AB5" s="33"/>
      <c r="AC5" s="37" t="s">
        <v>31</v>
      </c>
      <c r="AD5" s="38" t="s">
        <v>32</v>
      </c>
      <c r="AE5" s="22"/>
      <c r="AF5" s="4"/>
      <c r="AG5" s="39"/>
      <c r="AH5" s="1"/>
      <c r="AI5" s="1"/>
      <c r="AJ5" s="1"/>
      <c r="AK5" s="1"/>
      <c r="AL5" s="1"/>
      <c r="AM5" s="1">
        <v>4</v>
      </c>
      <c r="AN5" s="1">
        <v>4</v>
      </c>
      <c r="AO5" s="1"/>
    </row>
    <row r="6" spans="1:41" ht="5.25" customHeight="1">
      <c r="A6" s="1"/>
      <c r="B6" s="22"/>
      <c r="C6" s="23"/>
      <c r="D6" s="40"/>
      <c r="E6" s="40"/>
      <c r="F6" s="41"/>
      <c r="G6" s="27"/>
      <c r="H6" s="42"/>
      <c r="I6" s="40"/>
      <c r="J6" s="40"/>
      <c r="K6" s="41"/>
      <c r="L6" s="22"/>
      <c r="M6" s="4"/>
      <c r="N6" s="4"/>
      <c r="O6" s="23"/>
      <c r="P6" s="43"/>
      <c r="Q6" s="4"/>
      <c r="R6" s="4"/>
      <c r="S6" s="39"/>
      <c r="T6" s="27"/>
      <c r="U6" s="42"/>
      <c r="V6" s="40"/>
      <c r="W6" s="40"/>
      <c r="X6" s="40"/>
      <c r="Y6" s="40"/>
      <c r="Z6" s="44"/>
      <c r="AA6" s="45"/>
      <c r="AB6" s="46"/>
      <c r="AC6" s="42"/>
      <c r="AD6" s="41"/>
      <c r="AE6" s="22"/>
      <c r="AF6" s="4"/>
      <c r="AG6" s="39"/>
      <c r="AH6" s="1"/>
      <c r="AI6" s="1"/>
      <c r="AJ6" s="1"/>
      <c r="AK6" s="1"/>
      <c r="AL6" s="1"/>
      <c r="AM6" s="2">
        <v>5</v>
      </c>
      <c r="AN6" s="2">
        <v>5</v>
      </c>
      <c r="AO6" s="1"/>
    </row>
    <row r="7" spans="1:41" ht="5.25" customHeight="1">
      <c r="A7" s="1"/>
      <c r="B7" s="22"/>
      <c r="C7" s="23"/>
      <c r="D7" s="40"/>
      <c r="E7" s="40"/>
      <c r="F7" s="41"/>
      <c r="G7" s="27"/>
      <c r="H7" s="42"/>
      <c r="I7" s="40"/>
      <c r="J7" s="40"/>
      <c r="K7" s="41"/>
      <c r="L7" s="47"/>
      <c r="M7" s="45"/>
      <c r="N7" s="45"/>
      <c r="O7" s="48"/>
      <c r="P7" s="44"/>
      <c r="Q7" s="45"/>
      <c r="R7" s="45"/>
      <c r="S7" s="46"/>
      <c r="T7" s="27"/>
      <c r="U7" s="42"/>
      <c r="V7" s="40"/>
      <c r="W7" s="40"/>
      <c r="X7" s="40"/>
      <c r="Y7" s="40"/>
      <c r="Z7" s="49" t="s">
        <v>33</v>
      </c>
      <c r="AA7" s="23"/>
      <c r="AB7" s="26" t="s">
        <v>34</v>
      </c>
      <c r="AC7" s="42"/>
      <c r="AD7" s="41"/>
      <c r="AE7" s="22"/>
      <c r="AF7" s="4"/>
      <c r="AG7" s="39"/>
      <c r="AH7" s="1"/>
      <c r="AI7" s="1"/>
      <c r="AJ7" s="1"/>
      <c r="AK7" s="1"/>
      <c r="AL7" s="1"/>
      <c r="AM7" s="1">
        <v>6</v>
      </c>
      <c r="AN7" s="1">
        <v>6</v>
      </c>
      <c r="AO7" s="1"/>
    </row>
    <row r="8" spans="1:41" ht="11.25" customHeight="1">
      <c r="A8" s="1"/>
      <c r="B8" s="22"/>
      <c r="C8" s="23"/>
      <c r="D8" s="40"/>
      <c r="E8" s="40"/>
      <c r="F8" s="41"/>
      <c r="G8" s="27"/>
      <c r="H8" s="42"/>
      <c r="I8" s="40"/>
      <c r="J8" s="40"/>
      <c r="K8" s="41"/>
      <c r="L8" s="50" t="s">
        <v>35</v>
      </c>
      <c r="M8" s="51"/>
      <c r="N8" s="52" t="s">
        <v>36</v>
      </c>
      <c r="O8" s="53"/>
      <c r="P8" s="54" t="s">
        <v>35</v>
      </c>
      <c r="Q8" s="51"/>
      <c r="R8" s="52" t="s">
        <v>36</v>
      </c>
      <c r="S8" s="53"/>
      <c r="T8" s="27"/>
      <c r="U8" s="42"/>
      <c r="V8" s="40"/>
      <c r="W8" s="40"/>
      <c r="X8" s="40"/>
      <c r="Y8" s="40"/>
      <c r="Z8" s="44"/>
      <c r="AA8" s="48"/>
      <c r="AB8" s="41"/>
      <c r="AC8" s="42"/>
      <c r="AD8" s="41"/>
      <c r="AE8" s="22"/>
      <c r="AF8" s="4"/>
      <c r="AG8" s="39"/>
      <c r="AH8" s="1"/>
      <c r="AI8" s="1"/>
      <c r="AJ8" s="1"/>
      <c r="AK8" s="1"/>
      <c r="AL8" s="1"/>
      <c r="AM8" s="2">
        <v>7</v>
      </c>
      <c r="AN8" s="2">
        <v>7</v>
      </c>
      <c r="AO8" s="1"/>
    </row>
    <row r="9" spans="1:41" ht="9" customHeight="1" thickBot="1">
      <c r="A9" s="1"/>
      <c r="B9" s="47"/>
      <c r="C9" s="48"/>
      <c r="D9" s="40"/>
      <c r="E9" s="40"/>
      <c r="F9" s="41"/>
      <c r="G9" s="27"/>
      <c r="H9" s="55"/>
      <c r="I9" s="56"/>
      <c r="J9" s="56"/>
      <c r="K9" s="57"/>
      <c r="L9" s="58" t="s">
        <v>37</v>
      </c>
      <c r="M9" s="59" t="s">
        <v>38</v>
      </c>
      <c r="N9" s="59" t="s">
        <v>37</v>
      </c>
      <c r="O9" s="60" t="s">
        <v>38</v>
      </c>
      <c r="P9" s="61" t="s">
        <v>37</v>
      </c>
      <c r="Q9" s="59" t="s">
        <v>38</v>
      </c>
      <c r="R9" s="59" t="s">
        <v>37</v>
      </c>
      <c r="S9" s="60" t="s">
        <v>38</v>
      </c>
      <c r="T9" s="62"/>
      <c r="U9" s="55"/>
      <c r="V9" s="56"/>
      <c r="W9" s="56"/>
      <c r="X9" s="56"/>
      <c r="Y9" s="56"/>
      <c r="Z9" s="63" t="s">
        <v>39</v>
      </c>
      <c r="AA9" s="63" t="s">
        <v>40</v>
      </c>
      <c r="AB9" s="57"/>
      <c r="AC9" s="55"/>
      <c r="AD9" s="57"/>
      <c r="AE9" s="64"/>
      <c r="AF9" s="8"/>
      <c r="AG9" s="65"/>
      <c r="AH9" s="1"/>
      <c r="AI9" s="1"/>
      <c r="AJ9" s="1"/>
      <c r="AK9" s="1"/>
      <c r="AL9" s="1"/>
      <c r="AM9" s="1">
        <v>8</v>
      </c>
      <c r="AN9" s="1">
        <v>8</v>
      </c>
      <c r="AO9" s="1"/>
    </row>
    <row r="10" spans="1:41" ht="30" customHeight="1" thickBot="1">
      <c r="A10" s="1"/>
      <c r="B10" s="66" t="s">
        <v>41</v>
      </c>
      <c r="C10" s="67" t="s">
        <v>1</v>
      </c>
      <c r="D10" s="56"/>
      <c r="E10" s="56"/>
      <c r="F10" s="57"/>
      <c r="G10" s="62"/>
      <c r="H10" s="68" t="s">
        <v>42</v>
      </c>
      <c r="I10" s="8"/>
      <c r="J10" s="8"/>
      <c r="K10" s="69"/>
      <c r="L10" s="70">
        <v>2.8</v>
      </c>
      <c r="M10" s="71">
        <v>0</v>
      </c>
      <c r="N10" s="71">
        <v>0</v>
      </c>
      <c r="O10" s="72">
        <v>0</v>
      </c>
      <c r="P10" s="73">
        <v>16.7</v>
      </c>
      <c r="Q10" s="71">
        <v>518.09999999999991</v>
      </c>
      <c r="R10" s="71">
        <v>0</v>
      </c>
      <c r="S10" s="72">
        <v>344.7</v>
      </c>
      <c r="T10" s="74">
        <v>500</v>
      </c>
      <c r="U10" s="70">
        <v>0</v>
      </c>
      <c r="V10" s="73">
        <v>879.50000000000011</v>
      </c>
      <c r="W10" s="71">
        <v>784.00000000000023</v>
      </c>
      <c r="X10" s="71">
        <v>78.8</v>
      </c>
      <c r="Y10" s="71">
        <v>0</v>
      </c>
      <c r="Z10" s="71">
        <v>0</v>
      </c>
      <c r="AA10" s="71">
        <v>726.10000000000025</v>
      </c>
      <c r="AB10" s="72">
        <v>0</v>
      </c>
      <c r="AC10" s="70">
        <v>0</v>
      </c>
      <c r="AD10" s="75">
        <v>82</v>
      </c>
      <c r="AE10" s="76">
        <v>882.3</v>
      </c>
      <c r="AF10" s="77"/>
      <c r="AG10" s="78" t="s">
        <v>43</v>
      </c>
      <c r="AH10" s="1"/>
      <c r="AI10" s="1"/>
      <c r="AJ10" s="1"/>
      <c r="AK10" s="1"/>
      <c r="AL10" s="1"/>
      <c r="AM10" s="2">
        <v>9</v>
      </c>
      <c r="AN10" s="2">
        <v>9</v>
      </c>
      <c r="AO10" s="1"/>
    </row>
    <row r="11" spans="1:41" ht="16.5" customHeight="1">
      <c r="A11" s="1"/>
      <c r="B11" s="79">
        <v>30</v>
      </c>
      <c r="C11" s="80">
        <v>8</v>
      </c>
      <c r="D11" s="81">
        <v>0.77986111111111112</v>
      </c>
      <c r="E11" s="80" t="s">
        <v>44</v>
      </c>
      <c r="F11" s="82">
        <v>8.0555555555555561E-2</v>
      </c>
      <c r="G11" s="83" t="s">
        <v>45</v>
      </c>
      <c r="H11" s="84" t="s">
        <v>46</v>
      </c>
      <c r="I11" s="80" t="s">
        <v>47</v>
      </c>
      <c r="J11" s="80" t="s">
        <v>48</v>
      </c>
      <c r="K11" s="85" t="s">
        <v>49</v>
      </c>
      <c r="L11" s="86"/>
      <c r="M11" s="87"/>
      <c r="N11" s="87"/>
      <c r="O11" s="88"/>
      <c r="P11" s="86"/>
      <c r="Q11" s="87">
        <v>1.8</v>
      </c>
      <c r="R11" s="87"/>
      <c r="S11" s="89">
        <v>4.5999999999999996</v>
      </c>
      <c r="T11" s="90">
        <v>2</v>
      </c>
      <c r="U11" s="86"/>
      <c r="V11" s="87">
        <f t="shared" ref="V11:V14" si="0">SUM(L11:S11)</f>
        <v>6.3999999999999995</v>
      </c>
      <c r="W11" s="87">
        <f t="shared" ref="W11:W14" si="1">SUM(M11:S11)</f>
        <v>6.3999999999999995</v>
      </c>
      <c r="X11" s="87"/>
      <c r="Y11" s="87"/>
      <c r="Z11" s="87"/>
      <c r="AA11" s="87">
        <v>5.9</v>
      </c>
      <c r="AB11" s="91"/>
      <c r="AC11" s="92"/>
      <c r="AD11" s="93"/>
      <c r="AE11" s="94"/>
      <c r="AF11" s="95"/>
      <c r="AG11" s="46"/>
      <c r="AH11" s="1"/>
      <c r="AI11" s="1"/>
      <c r="AJ11" s="1"/>
      <c r="AK11" s="1"/>
      <c r="AL11" s="1"/>
      <c r="AM11" s="1">
        <v>10</v>
      </c>
      <c r="AN11" s="1">
        <v>10</v>
      </c>
      <c r="AO11" s="1"/>
    </row>
    <row r="12" spans="1:41" ht="16.5" customHeight="1">
      <c r="A12" s="1"/>
      <c r="B12" s="79">
        <v>2</v>
      </c>
      <c r="C12" s="80">
        <v>9</v>
      </c>
      <c r="D12" s="81">
        <v>0.38680555555555557</v>
      </c>
      <c r="E12" s="80" t="s">
        <v>50</v>
      </c>
      <c r="F12" s="82">
        <v>0.62430555555555556</v>
      </c>
      <c r="G12" s="83" t="s">
        <v>45</v>
      </c>
      <c r="H12" s="84" t="s">
        <v>46</v>
      </c>
      <c r="I12" s="80" t="s">
        <v>51</v>
      </c>
      <c r="J12" s="80" t="s">
        <v>48</v>
      </c>
      <c r="K12" s="85" t="s">
        <v>49</v>
      </c>
      <c r="L12" s="86"/>
      <c r="M12" s="87"/>
      <c r="N12" s="87"/>
      <c r="O12" s="88"/>
      <c r="P12" s="86"/>
      <c r="Q12" s="87">
        <v>3.6</v>
      </c>
      <c r="R12" s="87"/>
      <c r="S12" s="89">
        <v>1</v>
      </c>
      <c r="T12" s="90">
        <v>2</v>
      </c>
      <c r="U12" s="86"/>
      <c r="V12" s="87">
        <f t="shared" si="0"/>
        <v>4.5999999999999996</v>
      </c>
      <c r="W12" s="87">
        <f t="shared" si="1"/>
        <v>4.5999999999999996</v>
      </c>
      <c r="X12" s="87"/>
      <c r="Y12" s="87"/>
      <c r="Z12" s="87"/>
      <c r="AA12" s="87">
        <v>4.0999999999999996</v>
      </c>
      <c r="AB12" s="88"/>
      <c r="AC12" s="86"/>
      <c r="AD12" s="89"/>
      <c r="AE12" s="96"/>
      <c r="AF12" s="97"/>
      <c r="AG12" s="53"/>
      <c r="AH12" s="1"/>
      <c r="AI12" s="1"/>
      <c r="AJ12" s="1"/>
      <c r="AK12" s="1"/>
      <c r="AL12" s="1"/>
      <c r="AM12" s="2">
        <v>11</v>
      </c>
      <c r="AN12" s="2">
        <v>11</v>
      </c>
      <c r="AO12" s="1"/>
    </row>
    <row r="13" spans="1:41" ht="16.5" customHeight="1">
      <c r="A13" s="1"/>
      <c r="B13" s="79">
        <v>5</v>
      </c>
      <c r="C13" s="80">
        <v>9</v>
      </c>
      <c r="D13" s="81">
        <v>6.805555555555555E-2</v>
      </c>
      <c r="E13" s="80" t="s">
        <v>52</v>
      </c>
      <c r="F13" s="82">
        <v>0.34930555555555554</v>
      </c>
      <c r="G13" s="83" t="s">
        <v>45</v>
      </c>
      <c r="H13" s="84" t="s">
        <v>46</v>
      </c>
      <c r="I13" s="80" t="s">
        <v>53</v>
      </c>
      <c r="J13" s="80" t="s">
        <v>48</v>
      </c>
      <c r="K13" s="85" t="s">
        <v>49</v>
      </c>
      <c r="L13" s="86"/>
      <c r="M13" s="87"/>
      <c r="N13" s="87"/>
      <c r="O13" s="88"/>
      <c r="P13" s="86"/>
      <c r="Q13" s="87"/>
      <c r="R13" s="87"/>
      <c r="S13" s="89">
        <v>5.9</v>
      </c>
      <c r="T13" s="90">
        <v>2</v>
      </c>
      <c r="U13" s="86"/>
      <c r="V13" s="87">
        <f t="shared" si="0"/>
        <v>5.9</v>
      </c>
      <c r="W13" s="87">
        <f t="shared" si="1"/>
        <v>5.9</v>
      </c>
      <c r="X13" s="87"/>
      <c r="Y13" s="87"/>
      <c r="Z13" s="87"/>
      <c r="AA13" s="87">
        <v>5.2</v>
      </c>
      <c r="AB13" s="88"/>
      <c r="AC13" s="86"/>
      <c r="AD13" s="89"/>
      <c r="AE13" s="98"/>
      <c r="AF13" s="97"/>
      <c r="AG13" s="53"/>
      <c r="AH13" s="1"/>
      <c r="AI13" s="1"/>
      <c r="AJ13" s="1"/>
      <c r="AK13" s="1"/>
      <c r="AL13" s="1"/>
      <c r="AM13" s="1">
        <v>12</v>
      </c>
      <c r="AN13" s="1">
        <v>12</v>
      </c>
      <c r="AO13" s="1"/>
    </row>
    <row r="14" spans="1:41" ht="16.5" customHeight="1">
      <c r="A14" s="1"/>
      <c r="B14" s="79">
        <v>7</v>
      </c>
      <c r="C14" s="80">
        <v>9</v>
      </c>
      <c r="D14" s="81">
        <v>0.31736111111111109</v>
      </c>
      <c r="E14" s="80" t="s">
        <v>54</v>
      </c>
      <c r="F14" s="82">
        <v>0.61111111111111116</v>
      </c>
      <c r="G14" s="83" t="s">
        <v>45</v>
      </c>
      <c r="H14" s="84" t="s">
        <v>46</v>
      </c>
      <c r="I14" s="80" t="s">
        <v>55</v>
      </c>
      <c r="J14" s="80" t="s">
        <v>48</v>
      </c>
      <c r="K14" s="85" t="s">
        <v>49</v>
      </c>
      <c r="L14" s="86"/>
      <c r="M14" s="87"/>
      <c r="N14" s="87"/>
      <c r="O14" s="88"/>
      <c r="P14" s="86"/>
      <c r="Q14" s="87">
        <v>2.9</v>
      </c>
      <c r="R14" s="87"/>
      <c r="S14" s="89">
        <v>3.3</v>
      </c>
      <c r="T14" s="90">
        <v>2</v>
      </c>
      <c r="U14" s="86"/>
      <c r="V14" s="87">
        <f t="shared" si="0"/>
        <v>6.1999999999999993</v>
      </c>
      <c r="W14" s="87">
        <f t="shared" si="1"/>
        <v>6.1999999999999993</v>
      </c>
      <c r="X14" s="87"/>
      <c r="Y14" s="87"/>
      <c r="Z14" s="87"/>
      <c r="AA14" s="87">
        <v>4.9000000000000004</v>
      </c>
      <c r="AB14" s="88"/>
      <c r="AC14" s="86"/>
      <c r="AD14" s="89"/>
      <c r="AE14" s="96"/>
      <c r="AF14" s="97"/>
      <c r="AG14" s="53"/>
      <c r="AH14" s="1"/>
      <c r="AI14" s="1"/>
      <c r="AJ14" s="1"/>
      <c r="AK14" s="1"/>
      <c r="AL14" s="1"/>
      <c r="AM14" s="2">
        <v>13</v>
      </c>
      <c r="AN14" s="1"/>
      <c r="AO14" s="1"/>
    </row>
    <row r="15" spans="1:41" ht="16.5" customHeight="1">
      <c r="A15" s="1"/>
      <c r="B15" s="79">
        <v>9</v>
      </c>
      <c r="C15" s="80">
        <v>9</v>
      </c>
      <c r="D15" s="81">
        <v>0.17708333333333334</v>
      </c>
      <c r="E15" s="80" t="s">
        <v>56</v>
      </c>
      <c r="F15" s="82">
        <v>0.34375</v>
      </c>
      <c r="G15" s="83" t="s">
        <v>57</v>
      </c>
      <c r="H15" s="84"/>
      <c r="I15" s="80"/>
      <c r="J15" s="80"/>
      <c r="K15" s="85"/>
      <c r="L15" s="86"/>
      <c r="M15" s="87"/>
      <c r="N15" s="87"/>
      <c r="O15" s="88"/>
      <c r="P15" s="86"/>
      <c r="Q15" s="87"/>
      <c r="R15" s="87"/>
      <c r="S15" s="89"/>
      <c r="T15" s="90"/>
      <c r="U15" s="86"/>
      <c r="V15" s="87"/>
      <c r="W15" s="87"/>
      <c r="X15" s="87"/>
      <c r="Y15" s="87"/>
      <c r="Z15" s="87"/>
      <c r="AA15" s="87"/>
      <c r="AB15" s="88"/>
      <c r="AC15" s="86"/>
      <c r="AD15" s="89">
        <v>4</v>
      </c>
      <c r="AE15" s="96"/>
      <c r="AF15" s="97"/>
      <c r="AG15" s="53"/>
      <c r="AH15" s="1"/>
      <c r="AI15" s="1"/>
      <c r="AJ15" s="1"/>
      <c r="AK15" s="1"/>
      <c r="AL15" s="1"/>
      <c r="AM15" s="1">
        <v>14</v>
      </c>
      <c r="AN15" s="1"/>
      <c r="AO15" s="1"/>
    </row>
    <row r="16" spans="1:41" ht="16.5" customHeight="1">
      <c r="A16" s="1"/>
      <c r="B16" s="79">
        <v>10</v>
      </c>
      <c r="C16" s="80">
        <v>9</v>
      </c>
      <c r="D16" s="81">
        <v>0.17708333333333334</v>
      </c>
      <c r="E16" s="80" t="s">
        <v>56</v>
      </c>
      <c r="F16" s="82">
        <v>0.34375</v>
      </c>
      <c r="G16" s="83" t="s">
        <v>57</v>
      </c>
      <c r="H16" s="84"/>
      <c r="I16" s="80"/>
      <c r="J16" s="80"/>
      <c r="K16" s="85"/>
      <c r="L16" s="86"/>
      <c r="M16" s="87"/>
      <c r="N16" s="87"/>
      <c r="O16" s="88"/>
      <c r="P16" s="86"/>
      <c r="Q16" s="87"/>
      <c r="R16" s="87"/>
      <c r="S16" s="89"/>
      <c r="T16" s="90"/>
      <c r="U16" s="86"/>
      <c r="V16" s="87"/>
      <c r="W16" s="87"/>
      <c r="X16" s="87"/>
      <c r="Y16" s="87"/>
      <c r="Z16" s="87"/>
      <c r="AA16" s="87"/>
      <c r="AB16" s="88"/>
      <c r="AC16" s="86"/>
      <c r="AD16" s="89">
        <v>4</v>
      </c>
      <c r="AE16" s="96"/>
      <c r="AF16" s="97"/>
      <c r="AG16" s="53"/>
      <c r="AH16" s="1"/>
      <c r="AI16" s="1"/>
      <c r="AJ16" s="1"/>
      <c r="AK16" s="1"/>
      <c r="AL16" s="1"/>
      <c r="AM16" s="2">
        <v>15</v>
      </c>
      <c r="AN16" s="1"/>
      <c r="AO16" s="1"/>
    </row>
    <row r="17" spans="1:41" ht="16.5" customHeight="1">
      <c r="A17" s="1"/>
      <c r="B17" s="79">
        <v>12</v>
      </c>
      <c r="C17" s="80">
        <v>9</v>
      </c>
      <c r="D17" s="81">
        <v>0.88541666666666663</v>
      </c>
      <c r="E17" s="80" t="s">
        <v>56</v>
      </c>
      <c r="F17" s="82">
        <v>5.2083333333333336E-2</v>
      </c>
      <c r="G17" s="83" t="s">
        <v>57</v>
      </c>
      <c r="H17" s="84"/>
      <c r="I17" s="80"/>
      <c r="J17" s="80"/>
      <c r="K17" s="85"/>
      <c r="L17" s="86"/>
      <c r="M17" s="87"/>
      <c r="N17" s="87"/>
      <c r="O17" s="88"/>
      <c r="P17" s="86"/>
      <c r="Q17" s="87"/>
      <c r="R17" s="87"/>
      <c r="S17" s="89"/>
      <c r="T17" s="90"/>
      <c r="U17" s="86"/>
      <c r="V17" s="87"/>
      <c r="W17" s="87"/>
      <c r="X17" s="87"/>
      <c r="Y17" s="87"/>
      <c r="Z17" s="87"/>
      <c r="AA17" s="87"/>
      <c r="AB17" s="88"/>
      <c r="AC17" s="86"/>
      <c r="AD17" s="89">
        <v>4</v>
      </c>
      <c r="AE17" s="96"/>
      <c r="AF17" s="97"/>
      <c r="AG17" s="53"/>
      <c r="AH17" s="1"/>
      <c r="AI17" s="1"/>
      <c r="AJ17" s="1"/>
      <c r="AK17" s="1"/>
      <c r="AL17" s="1"/>
      <c r="AM17" s="1">
        <v>16</v>
      </c>
      <c r="AN17" s="1"/>
      <c r="AO17" s="1"/>
    </row>
    <row r="18" spans="1:41" ht="16.5" customHeight="1">
      <c r="A18" s="1"/>
      <c r="B18" s="79">
        <v>13</v>
      </c>
      <c r="C18" s="80">
        <v>9</v>
      </c>
      <c r="D18" s="81">
        <v>0.88541666666666663</v>
      </c>
      <c r="E18" s="80" t="s">
        <v>56</v>
      </c>
      <c r="F18" s="82">
        <v>5.2083333333333336E-2</v>
      </c>
      <c r="G18" s="83" t="s">
        <v>58</v>
      </c>
      <c r="H18" s="84"/>
      <c r="I18" s="80"/>
      <c r="J18" s="80"/>
      <c r="K18" s="85"/>
      <c r="L18" s="86"/>
      <c r="M18" s="87"/>
      <c r="N18" s="87"/>
      <c r="O18" s="88"/>
      <c r="P18" s="86"/>
      <c r="Q18" s="87"/>
      <c r="R18" s="87"/>
      <c r="S18" s="89"/>
      <c r="T18" s="90"/>
      <c r="U18" s="86"/>
      <c r="V18" s="87"/>
      <c r="W18" s="87"/>
      <c r="X18" s="87"/>
      <c r="Y18" s="87"/>
      <c r="Z18" s="87"/>
      <c r="AA18" s="87"/>
      <c r="AB18" s="88"/>
      <c r="AC18" s="86"/>
      <c r="AD18" s="89">
        <v>4</v>
      </c>
      <c r="AE18" s="96"/>
      <c r="AF18" s="97"/>
      <c r="AG18" s="53"/>
      <c r="AH18" s="1"/>
      <c r="AI18" s="1"/>
      <c r="AJ18" s="1"/>
      <c r="AK18" s="1"/>
      <c r="AL18" s="1"/>
      <c r="AM18" s="2">
        <v>17</v>
      </c>
      <c r="AN18" s="1"/>
      <c r="AO18" s="1"/>
    </row>
    <row r="19" spans="1:41" ht="16.5" customHeight="1">
      <c r="A19" s="1"/>
      <c r="B19" s="79"/>
      <c r="C19" s="80"/>
      <c r="D19" s="81"/>
      <c r="E19" s="80"/>
      <c r="F19" s="82"/>
      <c r="G19" s="83"/>
      <c r="H19" s="84"/>
      <c r="I19" s="80"/>
      <c r="J19" s="80"/>
      <c r="K19" s="85"/>
      <c r="L19" s="86"/>
      <c r="M19" s="87"/>
      <c r="N19" s="87"/>
      <c r="O19" s="88"/>
      <c r="P19" s="86"/>
      <c r="Q19" s="87"/>
      <c r="R19" s="87"/>
      <c r="S19" s="89"/>
      <c r="T19" s="90"/>
      <c r="U19" s="86"/>
      <c r="V19" s="87"/>
      <c r="W19" s="87"/>
      <c r="X19" s="87"/>
      <c r="Y19" s="87"/>
      <c r="Z19" s="87"/>
      <c r="AA19" s="87"/>
      <c r="AB19" s="88"/>
      <c r="AC19" s="86"/>
      <c r="AD19" s="89"/>
      <c r="AE19" s="96"/>
      <c r="AF19" s="97"/>
      <c r="AG19" s="53"/>
      <c r="AH19" s="1"/>
      <c r="AI19" s="1"/>
      <c r="AJ19" s="1"/>
      <c r="AK19" s="1"/>
      <c r="AL19" s="1"/>
      <c r="AM19" s="1">
        <v>18</v>
      </c>
      <c r="AN19" s="1"/>
      <c r="AO19" s="1"/>
    </row>
    <row r="20" spans="1:41" ht="16.5" customHeight="1">
      <c r="A20" s="1"/>
      <c r="B20" s="79"/>
      <c r="C20" s="80"/>
      <c r="D20" s="81"/>
      <c r="E20" s="80"/>
      <c r="F20" s="82"/>
      <c r="G20" s="83"/>
      <c r="H20" s="84"/>
      <c r="I20" s="80"/>
      <c r="J20" s="80"/>
      <c r="K20" s="85"/>
      <c r="L20" s="86"/>
      <c r="M20" s="87"/>
      <c r="N20" s="87"/>
      <c r="O20" s="88"/>
      <c r="P20" s="86"/>
      <c r="Q20" s="87"/>
      <c r="R20" s="87"/>
      <c r="S20" s="89"/>
      <c r="T20" s="90"/>
      <c r="U20" s="86"/>
      <c r="V20" s="87"/>
      <c r="W20" s="87"/>
      <c r="X20" s="87"/>
      <c r="Y20" s="87"/>
      <c r="Z20" s="87"/>
      <c r="AA20" s="87"/>
      <c r="AB20" s="88"/>
      <c r="AC20" s="86"/>
      <c r="AD20" s="89"/>
      <c r="AE20" s="96"/>
      <c r="AF20" s="97"/>
      <c r="AG20" s="53"/>
      <c r="AH20" s="1"/>
      <c r="AI20" s="1"/>
      <c r="AJ20" s="1"/>
      <c r="AK20" s="1"/>
      <c r="AL20" s="1"/>
      <c r="AM20" s="2">
        <v>19</v>
      </c>
      <c r="AN20" s="1"/>
      <c r="AO20" s="1"/>
    </row>
    <row r="21" spans="1:41" ht="16.5" customHeight="1">
      <c r="A21" s="1"/>
      <c r="B21" s="79"/>
      <c r="C21" s="80"/>
      <c r="D21" s="81"/>
      <c r="E21" s="80"/>
      <c r="F21" s="82"/>
      <c r="G21" s="83"/>
      <c r="H21" s="84"/>
      <c r="I21" s="80"/>
      <c r="J21" s="80"/>
      <c r="K21" s="85"/>
      <c r="L21" s="86"/>
      <c r="M21" s="87"/>
      <c r="N21" s="87"/>
      <c r="O21" s="88"/>
      <c r="P21" s="86"/>
      <c r="Q21" s="87"/>
      <c r="R21" s="87"/>
      <c r="S21" s="89"/>
      <c r="T21" s="90"/>
      <c r="U21" s="86"/>
      <c r="V21" s="87"/>
      <c r="W21" s="87"/>
      <c r="X21" s="87"/>
      <c r="Y21" s="87"/>
      <c r="Z21" s="87"/>
      <c r="AA21" s="87"/>
      <c r="AB21" s="88"/>
      <c r="AC21" s="86"/>
      <c r="AD21" s="89"/>
      <c r="AE21" s="96"/>
      <c r="AF21" s="97"/>
      <c r="AG21" s="53"/>
      <c r="AH21" s="1"/>
      <c r="AI21" s="1"/>
      <c r="AJ21" s="1"/>
      <c r="AK21" s="1"/>
      <c r="AL21" s="1"/>
      <c r="AM21" s="1">
        <v>20</v>
      </c>
      <c r="AN21" s="1"/>
      <c r="AO21" s="1"/>
    </row>
    <row r="22" spans="1:41" ht="16.5" customHeight="1">
      <c r="A22" s="1"/>
      <c r="B22" s="79"/>
      <c r="C22" s="80"/>
      <c r="D22" s="81"/>
      <c r="E22" s="80"/>
      <c r="F22" s="82"/>
      <c r="G22" s="83"/>
      <c r="H22" s="84"/>
      <c r="I22" s="80"/>
      <c r="J22" s="80"/>
      <c r="K22" s="85"/>
      <c r="L22" s="86"/>
      <c r="M22" s="87"/>
      <c r="N22" s="87"/>
      <c r="O22" s="88"/>
      <c r="P22" s="86"/>
      <c r="Q22" s="87"/>
      <c r="R22" s="87"/>
      <c r="S22" s="89"/>
      <c r="T22" s="90"/>
      <c r="U22" s="86"/>
      <c r="V22" s="87"/>
      <c r="W22" s="87"/>
      <c r="X22" s="87"/>
      <c r="Y22" s="87"/>
      <c r="Z22" s="87"/>
      <c r="AA22" s="87"/>
      <c r="AB22" s="88"/>
      <c r="AC22" s="86"/>
      <c r="AD22" s="89"/>
      <c r="AE22" s="96"/>
      <c r="AF22" s="97"/>
      <c r="AG22" s="53"/>
      <c r="AH22" s="1"/>
      <c r="AI22" s="1"/>
      <c r="AJ22" s="1"/>
      <c r="AK22" s="1"/>
      <c r="AL22" s="1"/>
      <c r="AM22" s="2">
        <v>21</v>
      </c>
      <c r="AN22" s="1"/>
      <c r="AO22" s="1"/>
    </row>
    <row r="23" spans="1:41" ht="16.5" customHeight="1">
      <c r="A23" s="1"/>
      <c r="B23" s="79"/>
      <c r="C23" s="80"/>
      <c r="D23" s="81"/>
      <c r="E23" s="80"/>
      <c r="F23" s="82"/>
      <c r="G23" s="83"/>
      <c r="H23" s="84"/>
      <c r="I23" s="80"/>
      <c r="J23" s="80"/>
      <c r="K23" s="85"/>
      <c r="L23" s="86"/>
      <c r="M23" s="87"/>
      <c r="N23" s="87"/>
      <c r="O23" s="88"/>
      <c r="P23" s="86"/>
      <c r="Q23" s="87"/>
      <c r="R23" s="87"/>
      <c r="S23" s="88"/>
      <c r="T23" s="90"/>
      <c r="U23" s="86"/>
      <c r="V23" s="87"/>
      <c r="W23" s="87"/>
      <c r="X23" s="87"/>
      <c r="Y23" s="87"/>
      <c r="Z23" s="87"/>
      <c r="AA23" s="87"/>
      <c r="AB23" s="88"/>
      <c r="AC23" s="86"/>
      <c r="AD23" s="89"/>
      <c r="AE23" s="96"/>
      <c r="AF23" s="97"/>
      <c r="AG23" s="53"/>
      <c r="AH23" s="1"/>
      <c r="AI23" s="1"/>
      <c r="AJ23" s="1"/>
      <c r="AK23" s="1"/>
      <c r="AL23" s="1"/>
      <c r="AM23" s="1">
        <v>22</v>
      </c>
      <c r="AN23" s="1"/>
      <c r="AO23" s="1"/>
    </row>
    <row r="24" spans="1:41" ht="16.5" customHeight="1">
      <c r="A24" s="1"/>
      <c r="B24" s="79"/>
      <c r="C24" s="80"/>
      <c r="D24" s="81"/>
      <c r="E24" s="80"/>
      <c r="F24" s="82"/>
      <c r="G24" s="83"/>
      <c r="H24" s="84"/>
      <c r="I24" s="80"/>
      <c r="J24" s="80"/>
      <c r="K24" s="85"/>
      <c r="L24" s="86"/>
      <c r="M24" s="87"/>
      <c r="N24" s="87"/>
      <c r="O24" s="88"/>
      <c r="P24" s="86"/>
      <c r="Q24" s="87"/>
      <c r="R24" s="87"/>
      <c r="S24" s="89"/>
      <c r="T24" s="90"/>
      <c r="U24" s="86"/>
      <c r="V24" s="87"/>
      <c r="W24" s="87"/>
      <c r="X24" s="87"/>
      <c r="Y24" s="87"/>
      <c r="Z24" s="87"/>
      <c r="AA24" s="87"/>
      <c r="AB24" s="88"/>
      <c r="AC24" s="86"/>
      <c r="AD24" s="89"/>
      <c r="AE24" s="96"/>
      <c r="AF24" s="97"/>
      <c r="AG24" s="53"/>
      <c r="AH24" s="1"/>
      <c r="AI24" s="1"/>
      <c r="AJ24" s="99">
        <v>0.25624999999999998</v>
      </c>
      <c r="AK24" s="1">
        <v>4.5999999999999996</v>
      </c>
      <c r="AL24" s="1"/>
      <c r="AM24" s="2">
        <v>23</v>
      </c>
      <c r="AN24" s="1"/>
      <c r="AO24" s="1"/>
    </row>
    <row r="25" spans="1:41" ht="16.5" customHeight="1">
      <c r="A25" s="1"/>
      <c r="B25" s="79"/>
      <c r="C25" s="80"/>
      <c r="D25" s="81"/>
      <c r="E25" s="80"/>
      <c r="F25" s="82"/>
      <c r="G25" s="83"/>
      <c r="H25" s="84"/>
      <c r="I25" s="80"/>
      <c r="J25" s="80"/>
      <c r="K25" s="85"/>
      <c r="L25" s="86"/>
      <c r="M25" s="87"/>
      <c r="N25" s="87"/>
      <c r="O25" s="88"/>
      <c r="P25" s="86"/>
      <c r="Q25" s="87"/>
      <c r="R25" s="87"/>
      <c r="S25" s="88"/>
      <c r="T25" s="90"/>
      <c r="U25" s="86"/>
      <c r="V25" s="87"/>
      <c r="W25" s="87"/>
      <c r="X25" s="87"/>
      <c r="Y25" s="87"/>
      <c r="Z25" s="87"/>
      <c r="AA25" s="87"/>
      <c r="AB25" s="88"/>
      <c r="AC25" s="86"/>
      <c r="AD25" s="89"/>
      <c r="AE25" s="100"/>
      <c r="AF25" s="101"/>
      <c r="AG25" s="102" t="s">
        <v>59</v>
      </c>
      <c r="AH25" s="1"/>
      <c r="AI25" s="1"/>
      <c r="AJ25" s="99">
        <v>0.13541666666666666</v>
      </c>
      <c r="AK25" s="1">
        <v>0.8</v>
      </c>
      <c r="AL25" s="1"/>
      <c r="AM25" s="1">
        <v>24</v>
      </c>
      <c r="AN25" s="1"/>
      <c r="AO25" s="1"/>
    </row>
    <row r="26" spans="1:41" ht="36" customHeight="1" thickBot="1">
      <c r="A26" s="1"/>
      <c r="B26" s="103" t="s">
        <v>60</v>
      </c>
      <c r="C26" s="8"/>
      <c r="D26" s="8"/>
      <c r="E26" s="8"/>
      <c r="F26" s="8"/>
      <c r="G26" s="8"/>
      <c r="H26" s="8"/>
      <c r="I26" s="104"/>
      <c r="J26" s="8"/>
      <c r="K26" s="65"/>
      <c r="L26" s="105">
        <f t="shared" ref="L26:AD26" si="2">SUM(L10:L25)</f>
        <v>2.8</v>
      </c>
      <c r="M26" s="106">
        <f t="shared" si="2"/>
        <v>0</v>
      </c>
      <c r="N26" s="106">
        <f t="shared" si="2"/>
        <v>0</v>
      </c>
      <c r="O26" s="107">
        <f t="shared" si="2"/>
        <v>0</v>
      </c>
      <c r="P26" s="108">
        <f t="shared" si="2"/>
        <v>16.7</v>
      </c>
      <c r="Q26" s="106">
        <f t="shared" si="2"/>
        <v>526.39999999999986</v>
      </c>
      <c r="R26" s="106">
        <f t="shared" si="2"/>
        <v>0</v>
      </c>
      <c r="S26" s="107">
        <f t="shared" si="2"/>
        <v>359.5</v>
      </c>
      <c r="T26" s="108">
        <f t="shared" si="2"/>
        <v>508</v>
      </c>
      <c r="U26" s="105">
        <f t="shared" si="2"/>
        <v>0</v>
      </c>
      <c r="V26" s="106">
        <f t="shared" si="2"/>
        <v>902.60000000000014</v>
      </c>
      <c r="W26" s="106">
        <f t="shared" si="2"/>
        <v>807.10000000000025</v>
      </c>
      <c r="X26" s="106">
        <f t="shared" si="2"/>
        <v>78.8</v>
      </c>
      <c r="Y26" s="106">
        <f t="shared" si="2"/>
        <v>0</v>
      </c>
      <c r="Z26" s="106">
        <f t="shared" si="2"/>
        <v>0</v>
      </c>
      <c r="AA26" s="106">
        <f t="shared" si="2"/>
        <v>746.20000000000027</v>
      </c>
      <c r="AB26" s="107">
        <f t="shared" si="2"/>
        <v>0</v>
      </c>
      <c r="AC26" s="105">
        <f t="shared" si="2"/>
        <v>0</v>
      </c>
      <c r="AD26" s="108">
        <f t="shared" si="2"/>
        <v>98</v>
      </c>
      <c r="AE26" s="109">
        <f>SUM(L26:S26)</f>
        <v>905.39999999999986</v>
      </c>
      <c r="AF26" s="110"/>
      <c r="AG26" s="65"/>
      <c r="AH26" s="1"/>
      <c r="AI26" s="1"/>
      <c r="AJ26" s="99">
        <f t="shared" ref="AJ26:AK26" si="3">AJ24-AJ25</f>
        <v>0.12083333333333332</v>
      </c>
      <c r="AK26" s="1">
        <f t="shared" si="3"/>
        <v>3.8</v>
      </c>
      <c r="AL26" s="1"/>
      <c r="AM26" s="2">
        <v>25</v>
      </c>
      <c r="AN26" s="1"/>
      <c r="AO26" s="1"/>
    </row>
    <row r="27" spans="1:41" ht="19.5" customHeight="1">
      <c r="A27" s="1"/>
      <c r="B27" s="111" t="s">
        <v>61</v>
      </c>
      <c r="C27" s="20"/>
      <c r="D27" s="20"/>
      <c r="E27" s="20"/>
      <c r="F27" s="20"/>
      <c r="G27" s="20"/>
      <c r="H27" s="20"/>
      <c r="I27" s="20"/>
      <c r="J27" s="20"/>
      <c r="K27" s="20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>
        <v>26</v>
      </c>
      <c r="AN27" s="1"/>
      <c r="AO27" s="1"/>
    </row>
    <row r="28" spans="1:41" ht="8.25" customHeight="1">
      <c r="A28" s="1"/>
      <c r="B28" s="112"/>
      <c r="C28" s="4"/>
      <c r="D28" s="4"/>
      <c r="E28" s="4"/>
      <c r="F28" s="4"/>
      <c r="G28" s="4"/>
      <c r="H28" s="4"/>
      <c r="I28" s="4"/>
      <c r="J28" s="4"/>
      <c r="K28" s="4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2">
        <v>27</v>
      </c>
      <c r="AN28" s="1"/>
      <c r="AO28" s="1"/>
    </row>
    <row r="29" spans="1:41" ht="5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13" t="s">
        <v>62</v>
      </c>
      <c r="W29" s="4"/>
      <c r="X29" s="4"/>
      <c r="Y29" s="4"/>
      <c r="Z29" s="4"/>
      <c r="AA29" s="4"/>
      <c r="AB29" s="4"/>
      <c r="AC29" s="4"/>
      <c r="AD29" s="1"/>
      <c r="AE29" s="1"/>
      <c r="AF29" s="1"/>
      <c r="AG29" s="1"/>
      <c r="AH29" s="1"/>
      <c r="AI29" s="1"/>
      <c r="AJ29" s="1"/>
      <c r="AK29" s="1"/>
      <c r="AL29" s="1"/>
      <c r="AM29" s="1">
        <v>28</v>
      </c>
      <c r="AN29" s="1"/>
      <c r="AO29" s="1"/>
    </row>
    <row r="30" spans="1:41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4"/>
      <c r="W30" s="4"/>
      <c r="X30" s="4"/>
      <c r="Y30" s="4"/>
      <c r="Z30" s="4"/>
      <c r="AA30" s="4"/>
      <c r="AB30" s="4"/>
      <c r="AC30" s="4"/>
      <c r="AD30" s="114"/>
      <c r="AE30" s="114"/>
      <c r="AF30" s="114"/>
      <c r="AG30" s="1"/>
      <c r="AH30" s="1"/>
      <c r="AI30" s="1"/>
      <c r="AJ30" s="1"/>
      <c r="AK30" s="1"/>
      <c r="AL30" s="1"/>
      <c r="AM30" s="2">
        <v>29</v>
      </c>
      <c r="AN30" s="1"/>
      <c r="AO30" s="1"/>
    </row>
    <row r="31" spans="1:41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4"/>
      <c r="W31" s="4"/>
      <c r="X31" s="4"/>
      <c r="Y31" s="4"/>
      <c r="Z31" s="4"/>
      <c r="AA31" s="4"/>
      <c r="AB31" s="4"/>
      <c r="AC31" s="4"/>
      <c r="AD31" s="115" t="s">
        <v>63</v>
      </c>
      <c r="AE31" s="30"/>
      <c r="AF31" s="30"/>
      <c r="AG31" s="30"/>
      <c r="AH31" s="1"/>
      <c r="AI31" s="1"/>
      <c r="AJ31" s="1"/>
      <c r="AK31" s="1"/>
      <c r="AL31" s="1"/>
      <c r="AM31" s="1">
        <v>30</v>
      </c>
      <c r="AN31" s="1"/>
      <c r="AO31" s="1"/>
    </row>
    <row r="32" spans="1:41" ht="51.75" customHeight="1">
      <c r="A32" s="116"/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"/>
      <c r="AJ32" s="1"/>
      <c r="AK32" s="1"/>
      <c r="AL32" s="1"/>
      <c r="AM32" s="2">
        <v>31</v>
      </c>
      <c r="AN32" s="1"/>
      <c r="AO32" s="1"/>
    </row>
    <row r="33" spans="1:41" ht="9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ht="9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2"/>
      <c r="AN34" s="1"/>
      <c r="AO34" s="1"/>
    </row>
    <row r="35" spans="1:41" ht="9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 ht="9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2"/>
      <c r="AN36" s="1"/>
      <c r="AO36" s="1"/>
    </row>
    <row r="37" spans="1:41" ht="9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 ht="9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2"/>
      <c r="AN38" s="1"/>
      <c r="AO38" s="1"/>
    </row>
    <row r="39" spans="1:41" ht="9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 ht="9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2"/>
      <c r="AN40" s="1"/>
      <c r="AO40" s="1"/>
    </row>
    <row r="41" spans="1:41" ht="9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 ht="9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2"/>
      <c r="AN42" s="1"/>
      <c r="AO42" s="1"/>
    </row>
    <row r="43" spans="1:41" ht="9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ht="9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2"/>
      <c r="AN44" s="1"/>
      <c r="AO44" s="1"/>
    </row>
    <row r="45" spans="1:41" ht="9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ht="9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2"/>
      <c r="AN46" s="1"/>
      <c r="AO46" s="1"/>
    </row>
    <row r="47" spans="1:41" ht="9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ht="9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2"/>
      <c r="AN48" s="1"/>
      <c r="AO48" s="1"/>
    </row>
    <row r="49" spans="1:41" ht="9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ht="9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2"/>
      <c r="AN50" s="1"/>
      <c r="AO50" s="1"/>
    </row>
    <row r="51" spans="1:41" ht="9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ht="9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ht="9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ht="9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ht="9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ht="9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ht="9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ht="9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ht="9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t="9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ht="9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ht="9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ht="9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ht="9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ht="9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t="9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ht="9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t="9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9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t="9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9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t="9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ht="9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t="9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t="9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9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9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9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ht="9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ht="9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ht="9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ht="9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t="9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t="9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9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9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9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9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9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t="9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ht="9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9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9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9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9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t="9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ht="9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t="9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ht="9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ht="9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ht="9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ht="9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ht="9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t="9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ht="9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ht="9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ht="9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ht="9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ht="9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ht="9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ht="9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9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t="9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ht="9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ht="9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ht="9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ht="9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ht="9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ht="9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ht="9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ht="9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ht="9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ht="9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ht="9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ht="9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ht="9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ht="9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ht="9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ht="9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ht="9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ht="9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ht="9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ht="9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ht="9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ht="9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ht="9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ht="9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ht="9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ht="9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ht="9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ht="9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ht="9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ht="9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ht="9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ht="9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ht="9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ht="9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ht="9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ht="9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ht="9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ht="9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ht="9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ht="9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ht="9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ht="9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ht="9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ht="9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ht="9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ht="9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ht="9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ht="9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ht="9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ht="9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ht="9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ht="9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ht="9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ht="9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ht="9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ht="9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ht="9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ht="9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ht="9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ht="9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ht="9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ht="9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ht="9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ht="9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ht="9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ht="9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ht="9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ht="9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ht="9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ht="9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ht="9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ht="9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ht="9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ht="9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ht="9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ht="9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ht="9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ht="9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ht="9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ht="9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ht="9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ht="9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ht="9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ht="9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ht="9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ht="9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ht="9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ht="9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ht="9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ht="9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ht="9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ht="9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ht="9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ht="9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ht="9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ht="9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ht="9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ht="9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ht="9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ht="9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ht="9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ht="9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ht="9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ht="9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ht="9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ht="9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ht="9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ht="9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ht="9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ht="9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ht="9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ht="9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ht="9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ht="9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ht="9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ht="9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ht="9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ht="9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ht="9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ht="9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ht="9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ht="9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ht="9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ht="9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ht="9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ht="9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ht="9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ht="9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ht="9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ht="9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ht="9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ht="9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ht="9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ht="9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ht="9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ht="9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ht="9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ht="9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ht="9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ht="9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ht="9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ht="9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ht="9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ht="9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ht="9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ht="9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ht="9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ht="9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ht="9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ht="9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ht="9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ht="9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ht="9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ht="9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ht="9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ht="9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ht="9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ht="9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ht="9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ht="9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ht="9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ht="9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ht="9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ht="9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ht="9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ht="9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ht="9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ht="9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ht="9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ht="9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ht="9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ht="9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ht="9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ht="9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ht="9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ht="9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ht="9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ht="9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ht="9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ht="9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ht="9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ht="9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ht="9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ht="9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ht="9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ht="9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ht="9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ht="9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ht="9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ht="9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ht="9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ht="9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ht="9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ht="9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ht="9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ht="9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ht="9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ht="9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ht="9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ht="9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ht="9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ht="9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ht="9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ht="9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ht="9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ht="9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ht="9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ht="9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ht="9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ht="9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ht="9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ht="9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ht="9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ht="9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ht="9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ht="9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ht="9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ht="9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ht="9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ht="9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ht="9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ht="9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ht="9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ht="9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ht="9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ht="9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ht="9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ht="9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ht="9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ht="9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ht="9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ht="9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ht="9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ht="9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ht="9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ht="9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ht="9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ht="9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ht="9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ht="9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ht="9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ht="9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ht="9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ht="9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ht="9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ht="9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ht="9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ht="9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ht="9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ht="9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ht="9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ht="9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ht="9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ht="9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ht="9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ht="9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ht="9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ht="9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ht="9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ht="9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ht="9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ht="9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ht="9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ht="9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ht="9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ht="9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ht="9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ht="9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ht="9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ht="9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ht="9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ht="9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ht="9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ht="9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ht="9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ht="9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ht="9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ht="9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ht="9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ht="9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ht="9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ht="9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ht="9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ht="9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ht="9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ht="9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ht="9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ht="9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ht="9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ht="9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ht="9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ht="9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ht="9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ht="9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ht="9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ht="9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ht="9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ht="9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ht="9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ht="9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ht="9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ht="9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ht="9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ht="9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ht="9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ht="9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ht="9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ht="9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ht="9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ht="9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ht="9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ht="9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ht="9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ht="9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ht="9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ht="9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ht="9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ht="9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ht="9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ht="9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ht="9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ht="9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ht="9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ht="9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ht="9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ht="9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ht="9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ht="9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ht="9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ht="9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ht="9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ht="9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ht="9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ht="9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ht="9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ht="9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ht="9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ht="9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ht="9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ht="9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ht="9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ht="9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ht="9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ht="9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ht="9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ht="9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ht="9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ht="9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ht="9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ht="9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ht="9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ht="9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ht="9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ht="9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ht="9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ht="9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ht="9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ht="9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ht="9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ht="9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ht="9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ht="9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ht="9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ht="9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ht="9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ht="9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ht="9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ht="9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ht="9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ht="9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ht="9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ht="9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ht="9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ht="9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ht="9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ht="9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ht="9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ht="9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ht="9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ht="9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ht="9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ht="9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ht="9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ht="9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ht="9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ht="9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ht="9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spans="1:41" ht="9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spans="1:41" ht="9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spans="1:41" ht="9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spans="1:41" ht="9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spans="1:41" ht="9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spans="1:41" ht="9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spans="1:41" ht="9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spans="1:41" ht="9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spans="1:41" ht="9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spans="1:41" ht="9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spans="1:41" ht="9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spans="1:41" ht="9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spans="1:41" ht="9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spans="1:41" ht="9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spans="1:41" ht="9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spans="1:41" ht="9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spans="1:41" ht="9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spans="1:41" ht="9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spans="1:41" ht="9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spans="1:41" ht="9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spans="1:41" ht="9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spans="1:41" ht="9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spans="1:41" ht="9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spans="1:41" ht="9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spans="1:41" ht="9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spans="1:41" ht="9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spans="1:41" ht="9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spans="1:41" ht="9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spans="1:41" ht="9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spans="1:41" ht="9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spans="1:41" ht="9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spans="1:41" ht="9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spans="1:41" ht="9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spans="1:41" ht="9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spans="1:41" ht="9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spans="1:41" ht="9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spans="1:41" ht="9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spans="1:41" ht="9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spans="1:41" ht="9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spans="1:41" ht="9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spans="1:41" ht="9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spans="1:41" ht="9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spans="1:41" ht="9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spans="1:41" ht="9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spans="1:41" ht="9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spans="1:41" ht="9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spans="1:41" ht="9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spans="1:41" ht="9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spans="1:41" ht="9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spans="1:41" ht="9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spans="1:41" ht="9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spans="1:41" ht="9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spans="1:41" ht="9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spans="1:41" ht="9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spans="1:41" ht="9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spans="1:41" ht="9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spans="1:41" ht="9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spans="1:41" ht="9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spans="1:41" ht="9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spans="1:41" ht="9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spans="1:41" ht="9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spans="1:41" ht="9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spans="1:41" ht="9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spans="1:41" ht="9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spans="1:41" ht="9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spans="1:41" ht="9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spans="1:41" ht="9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spans="1:41" ht="9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spans="1:41" ht="9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spans="1:41" ht="9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spans="1:41" ht="9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spans="1:41" ht="9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spans="1:41" ht="9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spans="1:41" ht="9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spans="1:41" ht="9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spans="1:41" ht="9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spans="1:41" ht="9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spans="1:41" ht="9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spans="1:41" ht="9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spans="1:41" ht="9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spans="1:41" ht="9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spans="1:41" ht="9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spans="1:41" ht="9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spans="1:41" ht="9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spans="1:41" ht="9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spans="1:41" ht="9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spans="1:41" ht="9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spans="1:41" ht="9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spans="1:41" ht="9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spans="1:41" ht="9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spans="1:41" ht="9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spans="1:41" ht="9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spans="1:41" ht="9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spans="1:41" ht="9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spans="1:41" ht="9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spans="1:41" ht="9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spans="1:41" ht="9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spans="1:41" ht="9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spans="1:41" ht="9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spans="1:41" ht="9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spans="1:41" ht="9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spans="1:41" ht="9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spans="1:41" ht="9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spans="1:41" ht="9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spans="1:41" ht="9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spans="1:41" ht="9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spans="1:41" ht="9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spans="1:41" ht="9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spans="1:41" ht="9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spans="1:41" ht="9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spans="1:41" ht="9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spans="1:41" ht="9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spans="1:41" ht="9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spans="1:41" ht="9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spans="1:41" ht="9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spans="1:41" ht="9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spans="1:41" ht="9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spans="1:41" ht="9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spans="1:41" ht="9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spans="1:41" ht="9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spans="1:41" ht="9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spans="1:41" ht="9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spans="1:41" ht="9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spans="1:41" ht="9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spans="1:41" ht="9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spans="1:41" ht="9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spans="1:41" ht="9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spans="1:41" ht="9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spans="1:41" ht="9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spans="1:41" ht="9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spans="1:41" ht="9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spans="1:41" ht="9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spans="1:41" ht="9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spans="1:41" ht="9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spans="1:41" ht="9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spans="1:41" ht="9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spans="1:41" ht="9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spans="1:41" ht="9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spans="1:41" ht="9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spans="1:41" ht="9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spans="1:41" ht="9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spans="1:41" ht="9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spans="1:41" ht="9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spans="1:41" ht="9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spans="1:41" ht="9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spans="1:41" ht="9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spans="1:41" ht="9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spans="1:41" ht="9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spans="1:41" ht="9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spans="1:41" ht="9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spans="1:41" ht="9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spans="1:41" ht="9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spans="1:41" ht="9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spans="1:41" ht="9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spans="1:41" ht="9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spans="1:41" ht="9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spans="1:41" ht="9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spans="1:41" ht="9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spans="1:41" ht="9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spans="1:41" ht="9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spans="1:41" ht="9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spans="1:41" ht="9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spans="1:41" ht="9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spans="1:41" ht="9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spans="1:41" ht="9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spans="1:41" ht="9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spans="1:41" ht="9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spans="1:41" ht="9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spans="1:41" ht="9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spans="1:41" ht="9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spans="1:41" ht="9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spans="1:41" ht="9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spans="1:41" ht="9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spans="1:41" ht="9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spans="1:41" ht="9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spans="1:41" ht="9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spans="1:41" ht="9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spans="1:41" ht="9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spans="1:41" ht="9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spans="1:41" ht="9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spans="1:41" ht="9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spans="1:41" ht="9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spans="1:41" ht="9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spans="1:41" ht="9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spans="1:41" ht="9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spans="1:41" ht="9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spans="1:41" ht="9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spans="1:41" ht="9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spans="1:41" ht="9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spans="1:41" ht="9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spans="1:41" ht="9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spans="1:41" ht="9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spans="1:41" ht="9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spans="1:41" ht="9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spans="1:41" ht="9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spans="1:41" ht="9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spans="1:41" ht="9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spans="1:41" ht="9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spans="1:41" ht="9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spans="1:41" ht="9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spans="1:41" ht="9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spans="1:41" ht="9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spans="1:41" ht="9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spans="1:41" ht="9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spans="1:41" ht="9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spans="1:41" ht="9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spans="1:41" ht="9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spans="1:41" ht="9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spans="1:41" ht="9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spans="1:41" ht="9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spans="1:41" ht="9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spans="1:41" ht="9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spans="1:41" ht="9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spans="1:41" ht="9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spans="1:41" ht="9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spans="1:41" ht="9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spans="1:41" ht="9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spans="1:41" ht="9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spans="1:41" ht="9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spans="1:41" ht="9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spans="1:41" ht="9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spans="1:41" ht="9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spans="1:41" ht="9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spans="1:41" ht="9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spans="1:41" ht="9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spans="1:41" ht="9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spans="1:41" ht="9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spans="1:41" ht="9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spans="1:41" ht="9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spans="1:41" ht="9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spans="1:41" ht="9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spans="1:41" ht="9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spans="1:41" ht="9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spans="1:41" ht="9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spans="1:41" ht="9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spans="1:41" ht="9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spans="1:41" ht="9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spans="1:41" ht="9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spans="1:41" ht="9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spans="1:41" ht="9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spans="1:41" ht="9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spans="1:41" ht="9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spans="1:41" ht="9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spans="1:41" ht="9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spans="1:41" ht="9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spans="1:41" ht="9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spans="1:41" ht="9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spans="1:41" ht="9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spans="1:41" ht="9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spans="1:41" ht="9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spans="1:41" ht="9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spans="1:41" ht="9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spans="1:41" ht="9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spans="1:41" ht="9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spans="1:41" ht="9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spans="1:41" ht="9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spans="1:41" ht="9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spans="1:41" ht="9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spans="1:41" ht="9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spans="1:41" ht="9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spans="1:41" ht="9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spans="1:41" ht="9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spans="1:41" ht="9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spans="1:41" ht="9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spans="1:41" ht="9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spans="1:41" ht="9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spans="1:41" ht="9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spans="1:41" ht="9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spans="1:41" ht="9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spans="1:41" ht="9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spans="1:41" ht="9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spans="1:41" ht="9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spans="1:41" ht="9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spans="1:41" ht="9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spans="1:41" ht="9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spans="1:41" ht="9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spans="1:41" ht="9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spans="1:41" ht="9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spans="1:41" ht="9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spans="1:41" ht="9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spans="1:41" ht="9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spans="1:41" ht="9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spans="1:41" ht="9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spans="1:41" ht="9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spans="1:41" ht="9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spans="1:41" ht="9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spans="1:41" ht="9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spans="1:41" ht="9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spans="1:41" ht="9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spans="1:41" ht="9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spans="1:41" ht="9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spans="1:41" ht="9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spans="1:41" ht="9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spans="1:41" ht="9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spans="1:41" ht="9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spans="1:41" ht="9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spans="1:41" ht="9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spans="1:41" ht="9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spans="1:41" ht="9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spans="1:41" ht="9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spans="1:41" ht="9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spans="1:41" ht="9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spans="1:41" ht="9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spans="1:41" ht="9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spans="1:41" ht="9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spans="1:41" ht="9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spans="1:41" ht="9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spans="1:41" ht="9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spans="1:41" ht="9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spans="1:41" ht="9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spans="1:41" ht="9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spans="1:41" ht="9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spans="1:41" ht="9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spans="1:41" ht="9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spans="1:41" ht="9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spans="1:41" ht="9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spans="1:41" ht="9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spans="1:41" ht="9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spans="1:41" ht="9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spans="1:41" ht="9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spans="1:41" ht="9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spans="1:41" ht="9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spans="1:41" ht="9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spans="1:41" ht="9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spans="1:41" ht="9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spans="1:41" ht="9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spans="1:41" ht="9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spans="1:41" ht="9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spans="1:41" ht="9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spans="1:41" ht="9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spans="1:41" ht="9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spans="1:41" ht="9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spans="1:41" ht="9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spans="1:41" ht="9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spans="1:41" ht="9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spans="1:41" ht="9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spans="1:41" ht="9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spans="1:41" ht="9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spans="1:41" ht="9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spans="1:41" ht="9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spans="1:41" ht="9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spans="1:41" ht="9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spans="1:41" ht="9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spans="1:41" ht="9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spans="1:41" ht="9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spans="1:41" ht="9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spans="1:41" ht="9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spans="1:41" ht="9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spans="1:41" ht="9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spans="1:41" ht="9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spans="1:41" ht="9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spans="1:41" ht="9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spans="1:41" ht="9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spans="1:41" ht="9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spans="1:41" ht="9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spans="1:41" ht="9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spans="1:41" ht="9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spans="1:41" ht="9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spans="1:41" ht="9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spans="1:41" ht="9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spans="1:41" ht="9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spans="1:41" ht="9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spans="1:41" ht="9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spans="1:41" ht="9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spans="1:41" ht="9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spans="1:41" ht="9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spans="1:41" ht="9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spans="1:41" ht="9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spans="1:41" ht="9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spans="1:41" ht="9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spans="1:41" ht="9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spans="1:41" ht="9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spans="1:41" ht="9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spans="1:41" ht="9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spans="1:41" ht="9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spans="1:41" ht="9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spans="1:41" ht="9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spans="1:41" ht="9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spans="1:41" ht="9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spans="1:41" ht="9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spans="1:41" ht="9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spans="1:41" ht="9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spans="1:41" ht="9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spans="1:41" ht="9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spans="1:41" ht="9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spans="1:41" ht="9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spans="1:41" ht="9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spans="1:41" ht="9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spans="1:41" ht="9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spans="1:41" ht="9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spans="1:41" ht="9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spans="1:41" ht="9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spans="1:41" ht="9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spans="1:41" ht="9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spans="1:41" ht="9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spans="1:41" ht="9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spans="1:41" ht="9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spans="1:41" ht="9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spans="1:41" ht="9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spans="1:41" ht="9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spans="1:41" ht="9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spans="1:41" ht="9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spans="1:41" ht="9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spans="1:41" ht="9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spans="1:41" ht="9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spans="1:41" ht="9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spans="1:41" ht="9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spans="1:41" ht="9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spans="1:41" ht="9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spans="1:41" ht="9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spans="1:41" ht="9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spans="1:41" ht="9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spans="1:41" ht="9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spans="1:41" ht="9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spans="1:41" ht="9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spans="1:41" ht="9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spans="1:41" ht="9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spans="1:41" ht="9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spans="1:41" ht="9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spans="1:41" ht="9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spans="1:41" ht="9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spans="1:41" ht="9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spans="1:41" ht="9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spans="1:41" ht="9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spans="1:41" ht="9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spans="1:41" ht="9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spans="1:41" ht="9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spans="1:41" ht="9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spans="1:41" ht="9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spans="1:41" ht="9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spans="1:41" ht="9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spans="1:41" ht="9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spans="1:41" ht="9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spans="1:41" ht="9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spans="1:41" ht="9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spans="1:41" ht="9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spans="1:41" ht="9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spans="1:41" ht="9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spans="1:41" ht="9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spans="1:41" ht="9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spans="1:41" ht="9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spans="1:41" ht="9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spans="1:41" ht="9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spans="1:41" ht="9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spans="1:41" ht="9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spans="1:41" ht="9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spans="1:41" ht="9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spans="1:41" ht="9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spans="1:41" ht="9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spans="1:41" ht="9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spans="1:41" ht="9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spans="1:41" ht="9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spans="1:41" ht="9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spans="1:41" ht="9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spans="1:41" ht="9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spans="1:41" ht="9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spans="1:41" ht="9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spans="1:41" ht="9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spans="1:41" ht="9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spans="1:41" ht="9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spans="1:41" ht="9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spans="1:41" ht="9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spans="1:41" ht="9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spans="1:41" ht="9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spans="1:41" ht="9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spans="1:41" ht="9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spans="1:41" ht="9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spans="1:41" ht="9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spans="1:41" ht="9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spans="1:41" ht="9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spans="1:41" ht="9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spans="1:41" ht="9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spans="1:41" ht="9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spans="1:41" ht="9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spans="1:41" ht="9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spans="1:41" ht="9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spans="1:41" ht="9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spans="1:41" ht="9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spans="1:41" ht="9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spans="1:41" ht="9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spans="1:41" ht="9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spans="1:41" ht="9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spans="1:41" ht="9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spans="1:41" ht="9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spans="1:41" ht="9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 spans="1:41" ht="9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 spans="1:41" ht="9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 spans="1:41" ht="9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 spans="1:41" ht="9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 spans="1:41" ht="9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 spans="1:41" ht="9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 spans="1:41" ht="9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 spans="1:41" ht="9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 spans="1:41" ht="9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 spans="1:41" ht="9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 spans="1:41" ht="9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 spans="1:41" ht="9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 spans="1:41" ht="9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  <row r="999" spans="1:41" ht="9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</row>
    <row r="1000" spans="1:41" ht="9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</row>
  </sheetData>
  <mergeCells count="61">
    <mergeCell ref="B28:K28"/>
    <mergeCell ref="V29:AC31"/>
    <mergeCell ref="AD31:AG31"/>
    <mergeCell ref="AE23:AG23"/>
    <mergeCell ref="AE24:AG24"/>
    <mergeCell ref="AG25:AG26"/>
    <mergeCell ref="B26:H26"/>
    <mergeCell ref="I26:K26"/>
    <mergeCell ref="B27:K27"/>
    <mergeCell ref="AE17:AG17"/>
    <mergeCell ref="AE18:AG18"/>
    <mergeCell ref="AE19:AG19"/>
    <mergeCell ref="AE20:AG20"/>
    <mergeCell ref="AE21:AG21"/>
    <mergeCell ref="AE22:AG22"/>
    <mergeCell ref="AG10:AG11"/>
    <mergeCell ref="AE12:AG12"/>
    <mergeCell ref="AE13:AG13"/>
    <mergeCell ref="AE14:AG14"/>
    <mergeCell ref="AE15:AG15"/>
    <mergeCell ref="AE16:AG16"/>
    <mergeCell ref="AC5:AC9"/>
    <mergeCell ref="AD5:AD9"/>
    <mergeCell ref="Z7:AA8"/>
    <mergeCell ref="AB7:AB9"/>
    <mergeCell ref="L8:M8"/>
    <mergeCell ref="N8:O8"/>
    <mergeCell ref="P8:Q8"/>
    <mergeCell ref="R8:S8"/>
    <mergeCell ref="U5:U9"/>
    <mergeCell ref="V5:V9"/>
    <mergeCell ref="W5:W9"/>
    <mergeCell ref="X5:X9"/>
    <mergeCell ref="Y5:Y9"/>
    <mergeCell ref="Z5:AB6"/>
    <mergeCell ref="U4:AB4"/>
    <mergeCell ref="AC4:AD4"/>
    <mergeCell ref="AE4:AG9"/>
    <mergeCell ref="D5:D10"/>
    <mergeCell ref="E5:E10"/>
    <mergeCell ref="F5:F10"/>
    <mergeCell ref="H5:H9"/>
    <mergeCell ref="I5:I9"/>
    <mergeCell ref="J5:J9"/>
    <mergeCell ref="K5:K9"/>
    <mergeCell ref="B4:C9"/>
    <mergeCell ref="D4:F4"/>
    <mergeCell ref="G4:G10"/>
    <mergeCell ref="H4:K4"/>
    <mergeCell ref="L4:S4"/>
    <mergeCell ref="T4:T9"/>
    <mergeCell ref="L5:O7"/>
    <mergeCell ref="P5:S7"/>
    <mergeCell ref="H10:J10"/>
    <mergeCell ref="D2:I2"/>
    <mergeCell ref="M2:O2"/>
    <mergeCell ref="V2:X2"/>
    <mergeCell ref="AA2:AC2"/>
    <mergeCell ref="D3:E3"/>
    <mergeCell ref="M3:N3"/>
    <mergeCell ref="AA3:AB3"/>
  </mergeCells>
  <dataValidations count="3">
    <dataValidation type="list" allowBlank="1" showErrorMessage="1" sqref="I11:I25" xr:uid="{D345B0F2-FE70-406E-A358-433889D734F4}">
      <formula1>"LV-KAY,LV-HKN,LV-KAH,LV-KCE,LV-KDQ,LV-KDR,LV-KED,LV-KEF,LV-KEG,LV-KEH,LV-KGN,LV-KHO,LV-KCD,LV-KDQ,LV-KJD,LV-KJE,LV-KJF,LV-KJT"</formula1>
    </dataValidation>
    <dataValidation type="list" allowBlank="1" showErrorMessage="1" sqref="B11:B25" xr:uid="{624FBBF8-CECE-42A4-AC4E-41647E51EBDE}">
      <formula1>$AM$2:$AM$32</formula1>
    </dataValidation>
    <dataValidation type="list" allowBlank="1" showErrorMessage="1" sqref="C11:C25" xr:uid="{E10093FC-643B-41E3-A2C7-D195846CB181}">
      <formula1>$AN$2:$AN$13</formula1>
    </dataValidation>
  </dataValidations>
  <pageMargins left="0" right="0" top="0" bottom="0" header="0" footer="0"/>
  <pageSetup paperSize="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FOLIO 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Basseterre</dc:creator>
  <cp:lastModifiedBy>Ariel Basseterre</cp:lastModifiedBy>
  <dcterms:created xsi:type="dcterms:W3CDTF">2026-08-21T20:16:57Z</dcterms:created>
  <dcterms:modified xsi:type="dcterms:W3CDTF">2026-08-21T20:17:45Z</dcterms:modified>
</cp:coreProperties>
</file>