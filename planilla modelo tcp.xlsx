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iel\Downloads\personal-flight-log\"/>
    </mc:Choice>
  </mc:AlternateContent>
  <xr:revisionPtr revIDLastSave="0" documentId="13_ncr:1_{E22AFBA9-82D4-4643-9079-8CD62918E28C}" xr6:coauthVersionLast="47" xr6:coauthVersionMax="47" xr10:uidLastSave="{00000000-0000-0000-0000-000000000000}"/>
  <bookViews>
    <workbookView xWindow="10596" yWindow="2160" windowWidth="17232" windowHeight="14400" activeTab="4" xr2:uid="{00000000-000D-0000-FFFF-FFFF00000000}"/>
  </bookViews>
  <sheets>
    <sheet name="Parametros" sheetId="71" r:id="rId1"/>
    <sheet name="TOTALES MENSUALES" sheetId="76" r:id="rId2"/>
    <sheet name="TOTALES DIARIOS" sheetId="74" r:id="rId3"/>
    <sheet name="Consolidado" sheetId="73" r:id="rId4"/>
    <sheet name="Hoja1" sheetId="72" r:id="rId5"/>
    <sheet name="Hoja2" sheetId="2" r:id="rId6"/>
    <sheet name="Hoja3" sheetId="3" r:id="rId7"/>
    <sheet name="Hoja4" sheetId="4" r:id="rId8"/>
    <sheet name="Hoja5" sheetId="5" r:id="rId9"/>
    <sheet name="Hoja6" sheetId="6" r:id="rId10"/>
    <sheet name="Hoja7" sheetId="7" r:id="rId11"/>
    <sheet name="Hoja8" sheetId="8" r:id="rId12"/>
    <sheet name="Hoja9" sheetId="9" r:id="rId13"/>
    <sheet name="Hoja10" sheetId="10" r:id="rId14"/>
    <sheet name="Hoja11" sheetId="11" r:id="rId15"/>
    <sheet name="Hoja12" sheetId="12" r:id="rId16"/>
    <sheet name="Hoja13" sheetId="13" r:id="rId17"/>
    <sheet name="Hoja14" sheetId="14" r:id="rId18"/>
    <sheet name="Hoja15" sheetId="15" r:id="rId19"/>
    <sheet name="Hoja16" sheetId="16" r:id="rId20"/>
    <sheet name="Hoja17" sheetId="17" r:id="rId21"/>
    <sheet name="Hoja18" sheetId="18" r:id="rId22"/>
    <sheet name="Hoja19" sheetId="19" r:id="rId23"/>
    <sheet name="Hoja20" sheetId="20" r:id="rId24"/>
    <sheet name="Hoja21" sheetId="21" r:id="rId25"/>
    <sheet name="Hoja22" sheetId="22" r:id="rId26"/>
    <sheet name="Hoja23" sheetId="23" r:id="rId27"/>
    <sheet name="Hoja24" sheetId="24" r:id="rId28"/>
    <sheet name="Hoja25" sheetId="25" r:id="rId29"/>
  </sheets>
  <definedNames>
    <definedName name="animales">#REF!</definedName>
    <definedName name="_xlnm.Print_Area" localSheetId="3">Consolidado!$A$3:$G$380</definedName>
    <definedName name="_xlnm.Print_Area" localSheetId="4">Hoja1!$A$1:$Q$26</definedName>
    <definedName name="_xlnm.Print_Area" localSheetId="13">Hoja10!$A$1:$Q$27</definedName>
    <definedName name="_xlnm.Print_Area" localSheetId="14">Hoja11!$A$1:$Q$27</definedName>
    <definedName name="_xlnm.Print_Area" localSheetId="15">Hoja12!$A$1:$Q$27</definedName>
    <definedName name="_xlnm.Print_Area" localSheetId="16">Hoja13!$A$1:$Q$27</definedName>
    <definedName name="_xlnm.Print_Area" localSheetId="17">Hoja14!$A$1:$Q$26</definedName>
    <definedName name="_xlnm.Print_Area" localSheetId="18">Hoja15!$A$1:$Q$27</definedName>
    <definedName name="_xlnm.Print_Area" localSheetId="19">Hoja16!$A$1:$Q$27</definedName>
    <definedName name="_xlnm.Print_Area" localSheetId="20">Hoja17!$A$1:$Q$27</definedName>
    <definedName name="_xlnm.Print_Area" localSheetId="21">Hoja18!$A$1:$Q$27</definedName>
    <definedName name="_xlnm.Print_Area" localSheetId="22">Hoja19!$A$1:$Q$27</definedName>
    <definedName name="_xlnm.Print_Area" localSheetId="5">Hoja2!$A$1:$Q$27</definedName>
    <definedName name="_xlnm.Print_Area" localSheetId="23">Hoja20!$A$1:$Q$27</definedName>
    <definedName name="_xlnm.Print_Area" localSheetId="24">Hoja21!$A$1:$Q$27</definedName>
    <definedName name="_xlnm.Print_Area" localSheetId="25">Hoja22!$A$1:$Q$27</definedName>
    <definedName name="_xlnm.Print_Area" localSheetId="26">Hoja23!$A$1:$Q$27</definedName>
    <definedName name="_xlnm.Print_Area" localSheetId="27">Hoja24!$A$1:$Q$27</definedName>
    <definedName name="_xlnm.Print_Area" localSheetId="28">Hoja25!$A$1:$Q$27</definedName>
    <definedName name="_xlnm.Print_Area" localSheetId="6">Hoja3!$A$2:$Q$26</definedName>
    <definedName name="_xlnm.Print_Area" localSheetId="7">Hoja4!$A$2:$Q$27</definedName>
    <definedName name="_xlnm.Print_Area" localSheetId="8">Hoja5!$A$1:$Q$26</definedName>
    <definedName name="_xlnm.Print_Area" localSheetId="9">Hoja6!$A$1:$Q$27</definedName>
    <definedName name="_xlnm.Print_Area" localSheetId="10">Hoja7!$A$1:$Q$27</definedName>
    <definedName name="_xlnm.Print_Area" localSheetId="11">Hoja8!$A$1:$Q$27</definedName>
    <definedName name="_xlnm.Print_Area" localSheetId="12">Hoja9!$A$1:$Q$27</definedName>
  </definedNames>
  <calcPr calcId="191029"/>
</workbook>
</file>

<file path=xl/calcChain.xml><?xml version="1.0" encoding="utf-8"?>
<calcChain xmlns="http://schemas.openxmlformats.org/spreadsheetml/2006/main">
  <c r="P6" i="72" l="1"/>
  <c r="H12" i="72" l="1"/>
  <c r="H13" i="72"/>
  <c r="H14" i="72"/>
  <c r="H15" i="72"/>
  <c r="H16" i="72"/>
  <c r="H17" i="72"/>
  <c r="H18" i="72"/>
  <c r="H19" i="72"/>
  <c r="H20" i="72"/>
  <c r="H21" i="72"/>
  <c r="H7" i="2"/>
  <c r="H8" i="2"/>
  <c r="H9" i="2"/>
  <c r="H10" i="2"/>
  <c r="H11" i="2"/>
  <c r="H12" i="2"/>
  <c r="H13" i="2"/>
  <c r="H14" i="2"/>
  <c r="H15" i="2"/>
  <c r="T21" i="25" l="1"/>
  <c r="Y21" i="25" s="1"/>
  <c r="S21" i="25"/>
  <c r="T20" i="25"/>
  <c r="Y20" i="25" s="1"/>
  <c r="X20" i="25" s="1"/>
  <c r="S20" i="25"/>
  <c r="T19" i="25"/>
  <c r="Y19" i="25" s="1"/>
  <c r="S19" i="25"/>
  <c r="T18" i="25"/>
  <c r="Y18" i="25" s="1"/>
  <c r="S18" i="25"/>
  <c r="T17" i="25"/>
  <c r="S17" i="25"/>
  <c r="T16" i="25"/>
  <c r="Y16" i="25" s="1"/>
  <c r="X16" i="25" s="1"/>
  <c r="S16" i="25"/>
  <c r="T15" i="25"/>
  <c r="Y15" i="25" s="1"/>
  <c r="S15" i="25"/>
  <c r="T14" i="25"/>
  <c r="S14" i="25"/>
  <c r="T13" i="25"/>
  <c r="S13" i="25"/>
  <c r="T12" i="25"/>
  <c r="Y12" i="25" s="1"/>
  <c r="X12" i="25" s="1"/>
  <c r="S12" i="25"/>
  <c r="T11" i="25"/>
  <c r="S11" i="25"/>
  <c r="T10" i="25"/>
  <c r="S10" i="25"/>
  <c r="T9" i="25"/>
  <c r="S9" i="25"/>
  <c r="T8" i="25"/>
  <c r="S8" i="25"/>
  <c r="Y8" i="25" s="1"/>
  <c r="X8" i="25" s="1"/>
  <c r="T7" i="25"/>
  <c r="S7" i="25"/>
  <c r="T21" i="24"/>
  <c r="S21" i="24"/>
  <c r="Y20" i="24"/>
  <c r="X20" i="24" s="1"/>
  <c r="T20" i="24"/>
  <c r="S20" i="24"/>
  <c r="T19" i="24"/>
  <c r="S19" i="24"/>
  <c r="T18" i="24"/>
  <c r="Y18" i="24" s="1"/>
  <c r="S18" i="24"/>
  <c r="T17" i="24"/>
  <c r="Y17" i="24" s="1"/>
  <c r="S17" i="24"/>
  <c r="T16" i="24"/>
  <c r="Y16" i="24" s="1"/>
  <c r="X16" i="24" s="1"/>
  <c r="S16" i="24"/>
  <c r="T15" i="24"/>
  <c r="Y15" i="24" s="1"/>
  <c r="S15" i="24"/>
  <c r="T14" i="24"/>
  <c r="Y14" i="24" s="1"/>
  <c r="S14" i="24"/>
  <c r="T13" i="24"/>
  <c r="S13" i="24"/>
  <c r="T12" i="24"/>
  <c r="Y12" i="24" s="1"/>
  <c r="X12" i="24" s="1"/>
  <c r="S12" i="24"/>
  <c r="T11" i="24"/>
  <c r="S11" i="24"/>
  <c r="T10" i="24"/>
  <c r="S10" i="24"/>
  <c r="T9" i="24"/>
  <c r="S9" i="24"/>
  <c r="T8" i="24"/>
  <c r="Y8" i="24" s="1"/>
  <c r="X8" i="24" s="1"/>
  <c r="S8" i="24"/>
  <c r="T7" i="24"/>
  <c r="S7" i="24"/>
  <c r="T21" i="23"/>
  <c r="Y21" i="23" s="1"/>
  <c r="S21" i="23"/>
  <c r="T20" i="23"/>
  <c r="Y20" i="23" s="1"/>
  <c r="X20" i="23" s="1"/>
  <c r="S20" i="23"/>
  <c r="T19" i="23"/>
  <c r="S19" i="23"/>
  <c r="T18" i="23"/>
  <c r="S18" i="23"/>
  <c r="T17" i="23"/>
  <c r="Y17" i="23" s="1"/>
  <c r="S17" i="23"/>
  <c r="Y16" i="23"/>
  <c r="X16" i="23" s="1"/>
  <c r="T16" i="23"/>
  <c r="S16" i="23"/>
  <c r="T15" i="23"/>
  <c r="S15" i="23"/>
  <c r="T14" i="23"/>
  <c r="Y14" i="23" s="1"/>
  <c r="S14" i="23"/>
  <c r="T13" i="23"/>
  <c r="Y13" i="23" s="1"/>
  <c r="S13" i="23"/>
  <c r="T12" i="23"/>
  <c r="Y12" i="23" s="1"/>
  <c r="X12" i="23" s="1"/>
  <c r="S12" i="23"/>
  <c r="T11" i="23"/>
  <c r="Y11" i="23" s="1"/>
  <c r="S11" i="23"/>
  <c r="T10" i="23"/>
  <c r="S10" i="23"/>
  <c r="T9" i="23"/>
  <c r="S9" i="23"/>
  <c r="T8" i="23"/>
  <c r="Y8" i="23" s="1"/>
  <c r="X8" i="23" s="1"/>
  <c r="S8" i="23"/>
  <c r="T7" i="23"/>
  <c r="S7" i="23"/>
  <c r="T21" i="22"/>
  <c r="S21" i="22"/>
  <c r="Y20" i="22"/>
  <c r="X20" i="22" s="1"/>
  <c r="T20" i="22"/>
  <c r="S20" i="22"/>
  <c r="T19" i="22"/>
  <c r="S19" i="22"/>
  <c r="T18" i="22"/>
  <c r="S18" i="22"/>
  <c r="T17" i="22"/>
  <c r="S17" i="22"/>
  <c r="T16" i="22"/>
  <c r="S16" i="22"/>
  <c r="Y16" i="22" s="1"/>
  <c r="X16" i="22" s="1"/>
  <c r="T15" i="22"/>
  <c r="Y15" i="22" s="1"/>
  <c r="S15" i="22"/>
  <c r="T14" i="22"/>
  <c r="S14" i="22"/>
  <c r="T13" i="22"/>
  <c r="Y13" i="22" s="1"/>
  <c r="S13" i="22"/>
  <c r="Y12" i="22"/>
  <c r="X12" i="22" s="1"/>
  <c r="T12" i="22"/>
  <c r="S12" i="22"/>
  <c r="T11" i="22"/>
  <c r="Y11" i="22" s="1"/>
  <c r="S11" i="22"/>
  <c r="T10" i="22"/>
  <c r="S10" i="22"/>
  <c r="T9" i="22"/>
  <c r="S9" i="22"/>
  <c r="T8" i="22"/>
  <c r="Y8" i="22" s="1"/>
  <c r="X8" i="22" s="1"/>
  <c r="S8" i="22"/>
  <c r="T7" i="22"/>
  <c r="Y7" i="22" s="1"/>
  <c r="S7" i="22"/>
  <c r="T21" i="21"/>
  <c r="S21" i="21"/>
  <c r="T20" i="21"/>
  <c r="Y20" i="21" s="1"/>
  <c r="X20" i="21" s="1"/>
  <c r="S20" i="21"/>
  <c r="T19" i="21"/>
  <c r="Y19" i="21" s="1"/>
  <c r="S19" i="21"/>
  <c r="T18" i="21"/>
  <c r="S18" i="21"/>
  <c r="T17" i="21"/>
  <c r="S17" i="21"/>
  <c r="T16" i="21"/>
  <c r="Y16" i="21" s="1"/>
  <c r="X16" i="21" s="1"/>
  <c r="S16" i="21"/>
  <c r="T15" i="21"/>
  <c r="S15" i="21"/>
  <c r="T14" i="21"/>
  <c r="Y14" i="21" s="1"/>
  <c r="S14" i="21"/>
  <c r="T13" i="21"/>
  <c r="S13" i="21"/>
  <c r="Y12" i="21"/>
  <c r="X12" i="21" s="1"/>
  <c r="T12" i="21"/>
  <c r="S12" i="21"/>
  <c r="T11" i="21"/>
  <c r="S11" i="21"/>
  <c r="T10" i="21"/>
  <c r="Y10" i="21" s="1"/>
  <c r="S10" i="21"/>
  <c r="T9" i="21"/>
  <c r="Y9" i="21" s="1"/>
  <c r="X9" i="21" s="1"/>
  <c r="S9" i="21"/>
  <c r="T8" i="21"/>
  <c r="Y8" i="21" s="1"/>
  <c r="X8" i="21" s="1"/>
  <c r="S8" i="21"/>
  <c r="T7" i="21"/>
  <c r="S7" i="21"/>
  <c r="T21" i="20"/>
  <c r="S21" i="20"/>
  <c r="T20" i="20"/>
  <c r="S20" i="20"/>
  <c r="Y20" i="20" s="1"/>
  <c r="X20" i="20" s="1"/>
  <c r="T19" i="20"/>
  <c r="Y19" i="20" s="1"/>
  <c r="S19" i="20"/>
  <c r="T18" i="20"/>
  <c r="S18" i="20"/>
  <c r="T17" i="20"/>
  <c r="Y17" i="20" s="1"/>
  <c r="S17" i="20"/>
  <c r="Y16" i="20"/>
  <c r="X16" i="20" s="1"/>
  <c r="T16" i="20"/>
  <c r="S16" i="20"/>
  <c r="T15" i="20"/>
  <c r="Y15" i="20" s="1"/>
  <c r="S15" i="20"/>
  <c r="T14" i="20"/>
  <c r="S14" i="20"/>
  <c r="T13" i="20"/>
  <c r="Y13" i="20" s="1"/>
  <c r="S13" i="20"/>
  <c r="T12" i="20"/>
  <c r="Y12" i="20" s="1"/>
  <c r="X12" i="20" s="1"/>
  <c r="S12" i="20"/>
  <c r="T11" i="20"/>
  <c r="Y11" i="20" s="1"/>
  <c r="S11" i="20"/>
  <c r="T10" i="20"/>
  <c r="S10" i="20"/>
  <c r="T9" i="20"/>
  <c r="S9" i="20"/>
  <c r="Y8" i="20"/>
  <c r="X8" i="20" s="1"/>
  <c r="T8" i="20"/>
  <c r="S8" i="20"/>
  <c r="T7" i="20"/>
  <c r="S7" i="20"/>
  <c r="T21" i="19"/>
  <c r="S21" i="19"/>
  <c r="T20" i="19"/>
  <c r="Y20" i="19" s="1"/>
  <c r="X20" i="19" s="1"/>
  <c r="S20" i="19"/>
  <c r="T19" i="19"/>
  <c r="S19" i="19"/>
  <c r="T18" i="19"/>
  <c r="Y18" i="19" s="1"/>
  <c r="S18" i="19"/>
  <c r="T17" i="19"/>
  <c r="S17" i="19"/>
  <c r="Y16" i="19"/>
  <c r="X16" i="19" s="1"/>
  <c r="T16" i="19"/>
  <c r="S16" i="19"/>
  <c r="T15" i="19"/>
  <c r="S15" i="19"/>
  <c r="T14" i="19"/>
  <c r="Y14" i="19" s="1"/>
  <c r="S14" i="19"/>
  <c r="T13" i="19"/>
  <c r="S13" i="19"/>
  <c r="Y12" i="19"/>
  <c r="X12" i="19" s="1"/>
  <c r="T12" i="19"/>
  <c r="S12" i="19"/>
  <c r="T11" i="19"/>
  <c r="Y11" i="19" s="1"/>
  <c r="S11" i="19"/>
  <c r="T10" i="19"/>
  <c r="Y10" i="19" s="1"/>
  <c r="S10" i="19"/>
  <c r="T9" i="19"/>
  <c r="S9" i="19"/>
  <c r="T8" i="19"/>
  <c r="Y8" i="19" s="1"/>
  <c r="X8" i="19" s="1"/>
  <c r="S8" i="19"/>
  <c r="T7" i="19"/>
  <c r="Y7" i="19" s="1"/>
  <c r="S7" i="19"/>
  <c r="T21" i="18"/>
  <c r="S21" i="18"/>
  <c r="T20" i="18"/>
  <c r="Y20" i="18" s="1"/>
  <c r="X20" i="18" s="1"/>
  <c r="S20" i="18"/>
  <c r="T19" i="18"/>
  <c r="S19" i="18"/>
  <c r="T18" i="18"/>
  <c r="S18" i="18"/>
  <c r="T17" i="18"/>
  <c r="S17" i="18"/>
  <c r="T16" i="18"/>
  <c r="Y16" i="18" s="1"/>
  <c r="X16" i="18" s="1"/>
  <c r="S16" i="18"/>
  <c r="T15" i="18"/>
  <c r="S15" i="18"/>
  <c r="T14" i="18"/>
  <c r="S14" i="18"/>
  <c r="T13" i="18"/>
  <c r="Y13" i="18" s="1"/>
  <c r="S13" i="18"/>
  <c r="T12" i="18"/>
  <c r="Y12" i="18" s="1"/>
  <c r="X12" i="18" s="1"/>
  <c r="S12" i="18"/>
  <c r="T11" i="18"/>
  <c r="S11" i="18"/>
  <c r="T10" i="18"/>
  <c r="Y10" i="18" s="1"/>
  <c r="S10" i="18"/>
  <c r="T9" i="18"/>
  <c r="Y9" i="18" s="1"/>
  <c r="S9" i="18"/>
  <c r="T8" i="18"/>
  <c r="Y8" i="18" s="1"/>
  <c r="X8" i="18" s="1"/>
  <c r="S8" i="18"/>
  <c r="T7" i="18"/>
  <c r="S7" i="18"/>
  <c r="T21" i="17"/>
  <c r="Y21" i="17" s="1"/>
  <c r="S21" i="17"/>
  <c r="T20" i="17"/>
  <c r="Y20" i="17" s="1"/>
  <c r="X20" i="17" s="1"/>
  <c r="S20" i="17"/>
  <c r="T19" i="17"/>
  <c r="Y19" i="17" s="1"/>
  <c r="S19" i="17"/>
  <c r="T18" i="17"/>
  <c r="S18" i="17"/>
  <c r="T17" i="17"/>
  <c r="S17" i="17"/>
  <c r="T16" i="17"/>
  <c r="Y16" i="17" s="1"/>
  <c r="X16" i="17" s="1"/>
  <c r="S16" i="17"/>
  <c r="T15" i="17"/>
  <c r="S15" i="17"/>
  <c r="T14" i="17"/>
  <c r="S14" i="17"/>
  <c r="T13" i="17"/>
  <c r="S13" i="17"/>
  <c r="T12" i="17"/>
  <c r="S12" i="17"/>
  <c r="Y12" i="17" s="1"/>
  <c r="X12" i="17" s="1"/>
  <c r="T11" i="17"/>
  <c r="S11" i="17"/>
  <c r="T10" i="17"/>
  <c r="S10" i="17"/>
  <c r="T9" i="17"/>
  <c r="Y9" i="17" s="1"/>
  <c r="S9" i="17"/>
  <c r="Y8" i="17"/>
  <c r="X8" i="17" s="1"/>
  <c r="T8" i="17"/>
  <c r="S8" i="17"/>
  <c r="T7" i="17"/>
  <c r="Y7" i="17" s="1"/>
  <c r="S7" i="17"/>
  <c r="T21" i="16"/>
  <c r="S21" i="16"/>
  <c r="T20" i="16"/>
  <c r="S20" i="16"/>
  <c r="T19" i="16"/>
  <c r="S19" i="16"/>
  <c r="T18" i="16"/>
  <c r="S18" i="16"/>
  <c r="Y18" i="16" s="1"/>
  <c r="T17" i="16"/>
  <c r="S17" i="16"/>
  <c r="T16" i="16"/>
  <c r="S16" i="16"/>
  <c r="T15" i="16"/>
  <c r="S15" i="16"/>
  <c r="T14" i="16"/>
  <c r="S14" i="16"/>
  <c r="T13" i="16"/>
  <c r="S13" i="16"/>
  <c r="T12" i="16"/>
  <c r="S12" i="16"/>
  <c r="Y12" i="16" s="1"/>
  <c r="T11" i="16"/>
  <c r="S11" i="16"/>
  <c r="T10" i="16"/>
  <c r="S10" i="16"/>
  <c r="T9" i="16"/>
  <c r="S9" i="16"/>
  <c r="T8" i="16"/>
  <c r="S8" i="16"/>
  <c r="T7" i="16"/>
  <c r="S7" i="16"/>
  <c r="T21" i="15"/>
  <c r="S21" i="15"/>
  <c r="T20" i="15"/>
  <c r="Y20" i="15" s="1"/>
  <c r="X20" i="15" s="1"/>
  <c r="S20" i="15"/>
  <c r="T19" i="15"/>
  <c r="S19" i="15"/>
  <c r="T18" i="15"/>
  <c r="S18" i="15"/>
  <c r="T17" i="15"/>
  <c r="S17" i="15"/>
  <c r="T16" i="15"/>
  <c r="S16" i="15"/>
  <c r="Y16" i="15" s="1"/>
  <c r="X16" i="15" s="1"/>
  <c r="T15" i="15"/>
  <c r="S15" i="15"/>
  <c r="T14" i="15"/>
  <c r="Y14" i="15" s="1"/>
  <c r="S14" i="15"/>
  <c r="T13" i="15"/>
  <c r="S13" i="15"/>
  <c r="Y12" i="15"/>
  <c r="X12" i="15" s="1"/>
  <c r="T12" i="15"/>
  <c r="S12" i="15"/>
  <c r="T11" i="15"/>
  <c r="Y11" i="15" s="1"/>
  <c r="S11" i="15"/>
  <c r="T10" i="15"/>
  <c r="Y10" i="15" s="1"/>
  <c r="S10" i="15"/>
  <c r="T9" i="15"/>
  <c r="S9" i="15"/>
  <c r="T8" i="15"/>
  <c r="Y8" i="15" s="1"/>
  <c r="X8" i="15" s="1"/>
  <c r="S8" i="15"/>
  <c r="T7" i="15"/>
  <c r="Y7" i="15" s="1"/>
  <c r="S7" i="15"/>
  <c r="T21" i="14"/>
  <c r="S21" i="14"/>
  <c r="T20" i="14"/>
  <c r="S20" i="14"/>
  <c r="T19" i="14"/>
  <c r="S19" i="14"/>
  <c r="T18" i="14"/>
  <c r="Y18" i="14" s="1"/>
  <c r="S18" i="14"/>
  <c r="T17" i="14"/>
  <c r="Y17" i="14" s="1"/>
  <c r="X17" i="14" s="1"/>
  <c r="S17" i="14"/>
  <c r="T16" i="14"/>
  <c r="S16" i="14"/>
  <c r="T15" i="14"/>
  <c r="Y15" i="14" s="1"/>
  <c r="S15" i="14"/>
  <c r="T14" i="14"/>
  <c r="Y14" i="14" s="1"/>
  <c r="S14" i="14"/>
  <c r="T13" i="14"/>
  <c r="Y13" i="14" s="1"/>
  <c r="U13" i="14" s="1"/>
  <c r="S13" i="14"/>
  <c r="T12" i="14"/>
  <c r="S12" i="14"/>
  <c r="T11" i="14"/>
  <c r="Y11" i="14" s="1"/>
  <c r="S11" i="14"/>
  <c r="T10" i="14"/>
  <c r="S10" i="14"/>
  <c r="T9" i="14"/>
  <c r="Y9" i="14" s="1"/>
  <c r="X9" i="14" s="1"/>
  <c r="S9" i="14"/>
  <c r="T8" i="14"/>
  <c r="S8" i="14"/>
  <c r="T7" i="14"/>
  <c r="S7" i="14"/>
  <c r="T21" i="13"/>
  <c r="S21" i="13"/>
  <c r="T20" i="13"/>
  <c r="Y20" i="13" s="1"/>
  <c r="X20" i="13" s="1"/>
  <c r="S20" i="13"/>
  <c r="T19" i="13"/>
  <c r="S19" i="13"/>
  <c r="T18" i="13"/>
  <c r="S18" i="13"/>
  <c r="T17" i="13"/>
  <c r="Y17" i="13" s="1"/>
  <c r="S17" i="13"/>
  <c r="T16" i="13"/>
  <c r="Y16" i="13" s="1"/>
  <c r="X16" i="13" s="1"/>
  <c r="S16" i="13"/>
  <c r="T15" i="13"/>
  <c r="S15" i="13"/>
  <c r="T14" i="13"/>
  <c r="Y14" i="13" s="1"/>
  <c r="S14" i="13"/>
  <c r="T13" i="13"/>
  <c r="Y13" i="13" s="1"/>
  <c r="S13" i="13"/>
  <c r="T12" i="13"/>
  <c r="Y12" i="13" s="1"/>
  <c r="X12" i="13" s="1"/>
  <c r="S12" i="13"/>
  <c r="T11" i="13"/>
  <c r="S11" i="13"/>
  <c r="T10" i="13"/>
  <c r="Y10" i="13" s="1"/>
  <c r="S10" i="13"/>
  <c r="T9" i="13"/>
  <c r="S9" i="13"/>
  <c r="T8" i="13"/>
  <c r="Y8" i="13" s="1"/>
  <c r="X8" i="13" s="1"/>
  <c r="S8" i="13"/>
  <c r="T7" i="13"/>
  <c r="S7" i="13"/>
  <c r="T21" i="12"/>
  <c r="S21" i="12"/>
  <c r="T20" i="12"/>
  <c r="S20" i="12"/>
  <c r="T19" i="12"/>
  <c r="S19" i="12"/>
  <c r="Y19" i="12" s="1"/>
  <c r="T18" i="12"/>
  <c r="Y18" i="12" s="1"/>
  <c r="S18" i="12"/>
  <c r="T17" i="12"/>
  <c r="Y17" i="12" s="1"/>
  <c r="S17" i="12"/>
  <c r="T16" i="12"/>
  <c r="S16" i="12"/>
  <c r="T15" i="12"/>
  <c r="S15" i="12"/>
  <c r="T14" i="12"/>
  <c r="S14" i="12"/>
  <c r="T13" i="12"/>
  <c r="S13" i="12"/>
  <c r="T12" i="12"/>
  <c r="Y12" i="12" s="1"/>
  <c r="S12" i="12"/>
  <c r="T11" i="12"/>
  <c r="Y11" i="12" s="1"/>
  <c r="S11" i="12"/>
  <c r="T10" i="12"/>
  <c r="S10" i="12"/>
  <c r="T9" i="12"/>
  <c r="S9" i="12"/>
  <c r="T8" i="12"/>
  <c r="S8" i="12"/>
  <c r="T7" i="12"/>
  <c r="S7" i="12"/>
  <c r="T21" i="11"/>
  <c r="Y21" i="11" s="1"/>
  <c r="S21" i="11"/>
  <c r="Y20" i="11"/>
  <c r="X20" i="11" s="1"/>
  <c r="T20" i="11"/>
  <c r="S20" i="11"/>
  <c r="T19" i="11"/>
  <c r="Y19" i="11" s="1"/>
  <c r="S19" i="11"/>
  <c r="T18" i="11"/>
  <c r="S18" i="11"/>
  <c r="T17" i="11"/>
  <c r="Y17" i="11" s="1"/>
  <c r="S17" i="11"/>
  <c r="T16" i="11"/>
  <c r="Y16" i="11" s="1"/>
  <c r="X16" i="11" s="1"/>
  <c r="S16" i="11"/>
  <c r="T15" i="11"/>
  <c r="Y15" i="11" s="1"/>
  <c r="S15" i="11"/>
  <c r="T14" i="11"/>
  <c r="S14" i="11"/>
  <c r="T13" i="11"/>
  <c r="S13" i="11"/>
  <c r="T12" i="11"/>
  <c r="Y12" i="11" s="1"/>
  <c r="X12" i="11" s="1"/>
  <c r="S12" i="11"/>
  <c r="T11" i="11"/>
  <c r="S11" i="11"/>
  <c r="T10" i="11"/>
  <c r="S10" i="11"/>
  <c r="T9" i="11"/>
  <c r="S9" i="11"/>
  <c r="T8" i="11"/>
  <c r="S8" i="11"/>
  <c r="Y8" i="11" s="1"/>
  <c r="X8" i="11" s="1"/>
  <c r="T7" i="11"/>
  <c r="S7" i="11"/>
  <c r="T21" i="10"/>
  <c r="S21" i="10"/>
  <c r="T20" i="10"/>
  <c r="Y20" i="10" s="1"/>
  <c r="S20" i="10"/>
  <c r="T19" i="10"/>
  <c r="S19" i="10"/>
  <c r="T18" i="10"/>
  <c r="S18" i="10"/>
  <c r="T17" i="10"/>
  <c r="S17" i="10"/>
  <c r="T16" i="10"/>
  <c r="S16" i="10"/>
  <c r="T15" i="10"/>
  <c r="S15" i="10"/>
  <c r="T14" i="10"/>
  <c r="Y14" i="10" s="1"/>
  <c r="S14" i="10"/>
  <c r="T13" i="10"/>
  <c r="Y13" i="10" s="1"/>
  <c r="S13" i="10"/>
  <c r="T12" i="10"/>
  <c r="S12" i="10"/>
  <c r="T11" i="10"/>
  <c r="S11" i="10"/>
  <c r="T10" i="10"/>
  <c r="S10" i="10"/>
  <c r="T9" i="10"/>
  <c r="S9" i="10"/>
  <c r="T8" i="10"/>
  <c r="Y8" i="10" s="1"/>
  <c r="S8" i="10"/>
  <c r="T7" i="10"/>
  <c r="Y7" i="10" s="1"/>
  <c r="S7" i="10"/>
  <c r="T21" i="8"/>
  <c r="S21" i="8"/>
  <c r="T20" i="8"/>
  <c r="S20" i="8"/>
  <c r="T19" i="8"/>
  <c r="S19" i="8"/>
  <c r="Y19" i="8" s="1"/>
  <c r="T18" i="8"/>
  <c r="S18" i="8"/>
  <c r="T17" i="8"/>
  <c r="Y17" i="8" s="1"/>
  <c r="S17" i="8"/>
  <c r="T16" i="8"/>
  <c r="Y16" i="8" s="1"/>
  <c r="S16" i="8"/>
  <c r="T15" i="8"/>
  <c r="S15" i="8"/>
  <c r="T14" i="8"/>
  <c r="S14" i="8"/>
  <c r="T13" i="8"/>
  <c r="S13" i="8"/>
  <c r="T12" i="8"/>
  <c r="S12" i="8"/>
  <c r="T11" i="8"/>
  <c r="Y11" i="8" s="1"/>
  <c r="S11" i="8"/>
  <c r="T10" i="8"/>
  <c r="Y10" i="8" s="1"/>
  <c r="S10" i="8"/>
  <c r="T9" i="8"/>
  <c r="S9" i="8"/>
  <c r="T8" i="8"/>
  <c r="S8" i="8"/>
  <c r="T7" i="8"/>
  <c r="S7" i="8"/>
  <c r="T21" i="7"/>
  <c r="S21" i="7"/>
  <c r="T20" i="7"/>
  <c r="S20" i="7"/>
  <c r="Y20" i="7" s="1"/>
  <c r="X20" i="7" s="1"/>
  <c r="T19" i="7"/>
  <c r="S19" i="7"/>
  <c r="T18" i="7"/>
  <c r="Y18" i="7" s="1"/>
  <c r="S18" i="7"/>
  <c r="T17" i="7"/>
  <c r="S17" i="7"/>
  <c r="Y16" i="7"/>
  <c r="X16" i="7" s="1"/>
  <c r="T16" i="7"/>
  <c r="S16" i="7"/>
  <c r="T15" i="7"/>
  <c r="Y15" i="7" s="1"/>
  <c r="S15" i="7"/>
  <c r="T14" i="7"/>
  <c r="Y14" i="7" s="1"/>
  <c r="S14" i="7"/>
  <c r="T13" i="7"/>
  <c r="S13" i="7"/>
  <c r="T12" i="7"/>
  <c r="Y12" i="7" s="1"/>
  <c r="X12" i="7" s="1"/>
  <c r="S12" i="7"/>
  <c r="T11" i="7"/>
  <c r="Y11" i="7" s="1"/>
  <c r="S11" i="7"/>
  <c r="T10" i="7"/>
  <c r="S10" i="7"/>
  <c r="T9" i="7"/>
  <c r="S9" i="7"/>
  <c r="T8" i="7"/>
  <c r="Y8" i="7" s="1"/>
  <c r="X8" i="7" s="1"/>
  <c r="S8" i="7"/>
  <c r="T7" i="7"/>
  <c r="S7" i="7"/>
  <c r="T21" i="6"/>
  <c r="S21" i="6"/>
  <c r="T20" i="6"/>
  <c r="Y20" i="6" s="1"/>
  <c r="X20" i="6" s="1"/>
  <c r="S20" i="6"/>
  <c r="T19" i="6"/>
  <c r="S19" i="6"/>
  <c r="T18" i="6"/>
  <c r="S18" i="6"/>
  <c r="T17" i="6"/>
  <c r="Y17" i="6" s="1"/>
  <c r="S17" i="6"/>
  <c r="T16" i="6"/>
  <c r="Y16" i="6" s="1"/>
  <c r="X16" i="6" s="1"/>
  <c r="S16" i="6"/>
  <c r="T15" i="6"/>
  <c r="S15" i="6"/>
  <c r="T14" i="6"/>
  <c r="Y14" i="6" s="1"/>
  <c r="S14" i="6"/>
  <c r="T13" i="6"/>
  <c r="Y13" i="6" s="1"/>
  <c r="S13" i="6"/>
  <c r="T12" i="6"/>
  <c r="Y12" i="6" s="1"/>
  <c r="X12" i="6" s="1"/>
  <c r="S12" i="6"/>
  <c r="T11" i="6"/>
  <c r="S11" i="6"/>
  <c r="T10" i="6"/>
  <c r="Y10" i="6" s="1"/>
  <c r="S10" i="6"/>
  <c r="T9" i="6"/>
  <c r="S9" i="6"/>
  <c r="Y9" i="6" s="1"/>
  <c r="T8" i="6"/>
  <c r="Y8" i="6" s="1"/>
  <c r="X8" i="6" s="1"/>
  <c r="S8" i="6"/>
  <c r="T7" i="6"/>
  <c r="S7" i="6"/>
  <c r="T21" i="5"/>
  <c r="S21" i="5"/>
  <c r="T20" i="5"/>
  <c r="S20" i="5"/>
  <c r="T19" i="5"/>
  <c r="S19" i="5"/>
  <c r="Y19" i="5" s="1"/>
  <c r="T18" i="5"/>
  <c r="Y18" i="5" s="1"/>
  <c r="S18" i="5"/>
  <c r="T17" i="5"/>
  <c r="Y17" i="5" s="1"/>
  <c r="S17" i="5"/>
  <c r="T16" i="5"/>
  <c r="S16" i="5"/>
  <c r="T15" i="5"/>
  <c r="S15" i="5"/>
  <c r="T14" i="5"/>
  <c r="S14" i="5"/>
  <c r="T13" i="5"/>
  <c r="S13" i="5"/>
  <c r="T12" i="5"/>
  <c r="Y12" i="5" s="1"/>
  <c r="S12" i="5"/>
  <c r="T11" i="5"/>
  <c r="Y11" i="5" s="1"/>
  <c r="S11" i="5"/>
  <c r="T10" i="5"/>
  <c r="S10" i="5"/>
  <c r="T9" i="5"/>
  <c r="S9" i="5"/>
  <c r="T8" i="5"/>
  <c r="S8" i="5"/>
  <c r="T7" i="5"/>
  <c r="S7" i="5"/>
  <c r="T21" i="4"/>
  <c r="Y21" i="4" s="1"/>
  <c r="S21" i="4"/>
  <c r="Y20" i="4"/>
  <c r="X20" i="4" s="1"/>
  <c r="T20" i="4"/>
  <c r="S20" i="4"/>
  <c r="T19" i="4"/>
  <c r="Y19" i="4" s="1"/>
  <c r="S19" i="4"/>
  <c r="T18" i="4"/>
  <c r="S18" i="4"/>
  <c r="T17" i="4"/>
  <c r="Y17" i="4" s="1"/>
  <c r="S17" i="4"/>
  <c r="T16" i="4"/>
  <c r="Y16" i="4" s="1"/>
  <c r="X16" i="4" s="1"/>
  <c r="S16" i="4"/>
  <c r="T15" i="4"/>
  <c r="Y15" i="4" s="1"/>
  <c r="S15" i="4"/>
  <c r="T14" i="4"/>
  <c r="S14" i="4"/>
  <c r="T13" i="4"/>
  <c r="S13" i="4"/>
  <c r="T12" i="4"/>
  <c r="Y12" i="4" s="1"/>
  <c r="X12" i="4" s="1"/>
  <c r="S12" i="4"/>
  <c r="T11" i="4"/>
  <c r="S11" i="4"/>
  <c r="T10" i="4"/>
  <c r="S10" i="4"/>
  <c r="T9" i="4"/>
  <c r="S9" i="4"/>
  <c r="T8" i="4"/>
  <c r="S8" i="4"/>
  <c r="Y8" i="4" s="1"/>
  <c r="X8" i="4" s="1"/>
  <c r="T7" i="4"/>
  <c r="S7" i="4"/>
  <c r="T21" i="3"/>
  <c r="S21" i="3"/>
  <c r="T20" i="3"/>
  <c r="S20" i="3"/>
  <c r="Y20" i="3" s="1"/>
  <c r="X20" i="3" s="1"/>
  <c r="T19" i="3"/>
  <c r="S19" i="3"/>
  <c r="T18" i="3"/>
  <c r="Y18" i="3" s="1"/>
  <c r="S18" i="3"/>
  <c r="T17" i="3"/>
  <c r="S17" i="3"/>
  <c r="Y16" i="3"/>
  <c r="X16" i="3" s="1"/>
  <c r="T16" i="3"/>
  <c r="S16" i="3"/>
  <c r="T15" i="3"/>
  <c r="Y15" i="3" s="1"/>
  <c r="S15" i="3"/>
  <c r="T14" i="3"/>
  <c r="Y14" i="3" s="1"/>
  <c r="S14" i="3"/>
  <c r="T13" i="3"/>
  <c r="S13" i="3"/>
  <c r="T12" i="3"/>
  <c r="Y12" i="3" s="1"/>
  <c r="X12" i="3" s="1"/>
  <c r="S12" i="3"/>
  <c r="T11" i="3"/>
  <c r="Y11" i="3" s="1"/>
  <c r="S11" i="3"/>
  <c r="T10" i="3"/>
  <c r="S10" i="3"/>
  <c r="T9" i="3"/>
  <c r="S9" i="3"/>
  <c r="T8" i="3"/>
  <c r="Y8" i="3" s="1"/>
  <c r="X8" i="3" s="1"/>
  <c r="S8" i="3"/>
  <c r="T7" i="3"/>
  <c r="S7" i="3"/>
  <c r="T21" i="2"/>
  <c r="S21" i="2"/>
  <c r="T20" i="2"/>
  <c r="Y20" i="2" s="1"/>
  <c r="X20" i="2" s="1"/>
  <c r="S20" i="2"/>
  <c r="T19" i="2"/>
  <c r="S19" i="2"/>
  <c r="T18" i="2"/>
  <c r="S18" i="2"/>
  <c r="T17" i="2"/>
  <c r="Y17" i="2" s="1"/>
  <c r="S17" i="2"/>
  <c r="T16" i="2"/>
  <c r="Y16" i="2" s="1"/>
  <c r="X16" i="2" s="1"/>
  <c r="S16" i="2"/>
  <c r="T15" i="2"/>
  <c r="S15" i="2"/>
  <c r="T14" i="2"/>
  <c r="Y14" i="2" s="1"/>
  <c r="S14" i="2"/>
  <c r="T13" i="2"/>
  <c r="S13" i="2"/>
  <c r="T12" i="2"/>
  <c r="Y12" i="2" s="1"/>
  <c r="X12" i="2" s="1"/>
  <c r="S12" i="2"/>
  <c r="T11" i="2"/>
  <c r="S11" i="2"/>
  <c r="T10" i="2"/>
  <c r="S10" i="2"/>
  <c r="T9" i="2"/>
  <c r="S9" i="2"/>
  <c r="T8" i="2"/>
  <c r="S8" i="2"/>
  <c r="T7" i="2"/>
  <c r="S7" i="2"/>
  <c r="S8" i="72"/>
  <c r="T8" i="72"/>
  <c r="S9" i="72"/>
  <c r="T9" i="72"/>
  <c r="S10" i="72"/>
  <c r="T10" i="72"/>
  <c r="S11" i="72"/>
  <c r="T11" i="72"/>
  <c r="S12" i="72"/>
  <c r="T12" i="72"/>
  <c r="S13" i="72"/>
  <c r="T13" i="72"/>
  <c r="S14" i="72"/>
  <c r="T14" i="72"/>
  <c r="S15" i="72"/>
  <c r="T15" i="72"/>
  <c r="S16" i="72"/>
  <c r="T16" i="72"/>
  <c r="S17" i="72"/>
  <c r="T17" i="72"/>
  <c r="S18" i="72"/>
  <c r="T18" i="72"/>
  <c r="Y18" i="72" s="1"/>
  <c r="W18" i="72" s="1"/>
  <c r="S19" i="72"/>
  <c r="T19" i="72"/>
  <c r="S20" i="72"/>
  <c r="T20" i="72"/>
  <c r="S21" i="72"/>
  <c r="T21" i="72"/>
  <c r="Y21" i="72" s="1"/>
  <c r="U21" i="72" s="1"/>
  <c r="T7" i="72"/>
  <c r="S7" i="72"/>
  <c r="Y13" i="72"/>
  <c r="U13" i="72" s="1"/>
  <c r="Y10" i="3" l="1"/>
  <c r="Y9" i="13"/>
  <c r="Y10" i="14"/>
  <c r="Y21" i="14"/>
  <c r="Y7" i="16"/>
  <c r="Y13" i="16"/>
  <c r="Y19" i="16"/>
  <c r="Y15" i="17"/>
  <c r="Y21" i="18"/>
  <c r="Y7" i="20"/>
  <c r="Y18" i="21"/>
  <c r="V18" i="21" s="1"/>
  <c r="Y19" i="22"/>
  <c r="Y9" i="23"/>
  <c r="Y10" i="24"/>
  <c r="Y11" i="25"/>
  <c r="Y17" i="72"/>
  <c r="U17" i="72" s="1"/>
  <c r="Y11" i="4"/>
  <c r="Y10" i="7"/>
  <c r="Y11" i="11"/>
  <c r="Y21" i="3"/>
  <c r="Y7" i="5"/>
  <c r="Y13" i="5"/>
  <c r="Y15" i="6"/>
  <c r="Y21" i="7"/>
  <c r="Y12" i="8"/>
  <c r="Y18" i="8"/>
  <c r="Y9" i="10"/>
  <c r="Y15" i="10"/>
  <c r="Y21" i="10"/>
  <c r="Y7" i="12"/>
  <c r="Y13" i="12"/>
  <c r="Y15" i="13"/>
  <c r="Y16" i="14"/>
  <c r="Y17" i="15"/>
  <c r="Y8" i="16"/>
  <c r="U8" i="16" s="1"/>
  <c r="Y14" i="16"/>
  <c r="Y20" i="16"/>
  <c r="Y10" i="17"/>
  <c r="Y11" i="18"/>
  <c r="Y17" i="19"/>
  <c r="Y18" i="20"/>
  <c r="Y13" i="21"/>
  <c r="Y14" i="22"/>
  <c r="Y15" i="23"/>
  <c r="Y21" i="24"/>
  <c r="Y9" i="22"/>
  <c r="Y10" i="23"/>
  <c r="V10" i="23" s="1"/>
  <c r="Y11" i="24"/>
  <c r="Y17" i="25"/>
  <c r="Y7" i="25"/>
  <c r="X7" i="25" s="1"/>
  <c r="Y10" i="10"/>
  <c r="Y8" i="12"/>
  <c r="Y17" i="18"/>
  <c r="Y18" i="4"/>
  <c r="Y18" i="11"/>
  <c r="Y11" i="13"/>
  <c r="Y13" i="15"/>
  <c r="Y9" i="16"/>
  <c r="Y15" i="16"/>
  <c r="X15" i="16" s="1"/>
  <c r="Y21" i="16"/>
  <c r="Y7" i="18"/>
  <c r="Y13" i="19"/>
  <c r="Y14" i="20"/>
  <c r="Y10" i="22"/>
  <c r="Y14" i="72"/>
  <c r="W14" i="72" s="1"/>
  <c r="Y7" i="3"/>
  <c r="Y13" i="4"/>
  <c r="Y9" i="5"/>
  <c r="Y15" i="5"/>
  <c r="Y21" i="5"/>
  <c r="Y7" i="7"/>
  <c r="Y8" i="8"/>
  <c r="Y14" i="8"/>
  <c r="Y20" i="8"/>
  <c r="Y11" i="10"/>
  <c r="Y17" i="10"/>
  <c r="Y13" i="11"/>
  <c r="Y9" i="12"/>
  <c r="Y15" i="12"/>
  <c r="Y21" i="12"/>
  <c r="Y7" i="14"/>
  <c r="Y19" i="15"/>
  <c r="Y10" i="16"/>
  <c r="X10" i="16" s="1"/>
  <c r="Y16" i="16"/>
  <c r="Y17" i="17"/>
  <c r="Y18" i="18"/>
  <c r="Y19" i="19"/>
  <c r="Y9" i="20"/>
  <c r="Y15" i="21"/>
  <c r="Y21" i="22"/>
  <c r="Y7" i="24"/>
  <c r="Y13" i="25"/>
  <c r="U13" i="25" s="1"/>
  <c r="Y17" i="7"/>
  <c r="Y12" i="14"/>
  <c r="Y8" i="5"/>
  <c r="Y20" i="5"/>
  <c r="Y13" i="8"/>
  <c r="Y16" i="10"/>
  <c r="Y20" i="12"/>
  <c r="Y11" i="17"/>
  <c r="Y11" i="6"/>
  <c r="Y16" i="5"/>
  <c r="Y13" i="7"/>
  <c r="Y9" i="8"/>
  <c r="Y15" i="8"/>
  <c r="Y12" i="10"/>
  <c r="Y18" i="10"/>
  <c r="Y14" i="11"/>
  <c r="Y10" i="12"/>
  <c r="Y16" i="12"/>
  <c r="Y7" i="13"/>
  <c r="Y8" i="14"/>
  <c r="Y9" i="15"/>
  <c r="Y18" i="17"/>
  <c r="Y19" i="18"/>
  <c r="Y9" i="19"/>
  <c r="Y10" i="20"/>
  <c r="X10" i="20" s="1"/>
  <c r="Y21" i="21"/>
  <c r="Y7" i="23"/>
  <c r="W7" i="23" s="1"/>
  <c r="Y13" i="24"/>
  <c r="Y14" i="25"/>
  <c r="Y21" i="2"/>
  <c r="Y7" i="4"/>
  <c r="Y14" i="5"/>
  <c r="Y21" i="6"/>
  <c r="Y7" i="8"/>
  <c r="Y7" i="11"/>
  <c r="Y14" i="12"/>
  <c r="Y21" i="13"/>
  <c r="Y18" i="15"/>
  <c r="Y17" i="3"/>
  <c r="Y13" i="3"/>
  <c r="Y14" i="4"/>
  <c r="Y10" i="5"/>
  <c r="Y7" i="6"/>
  <c r="Y21" i="8"/>
  <c r="Y18" i="2"/>
  <c r="Y19" i="3"/>
  <c r="Y9" i="4"/>
  <c r="Y18" i="6"/>
  <c r="Y19" i="7"/>
  <c r="Y19" i="10"/>
  <c r="Y9" i="11"/>
  <c r="X9" i="11" s="1"/>
  <c r="Y18" i="13"/>
  <c r="Y19" i="14"/>
  <c r="Y15" i="15"/>
  <c r="Y11" i="16"/>
  <c r="Y17" i="16"/>
  <c r="Y13" i="17"/>
  <c r="Y14" i="18"/>
  <c r="Y15" i="19"/>
  <c r="Y21" i="20"/>
  <c r="X21" i="20" s="1"/>
  <c r="Y11" i="21"/>
  <c r="U11" i="21" s="1"/>
  <c r="Y17" i="22"/>
  <c r="Y18" i="23"/>
  <c r="V18" i="23" s="1"/>
  <c r="Y19" i="24"/>
  <c r="Y9" i="25"/>
  <c r="Y8" i="2"/>
  <c r="X8" i="2" s="1"/>
  <c r="Y19" i="2"/>
  <c r="Y9" i="3"/>
  <c r="Y10" i="4"/>
  <c r="Y19" i="6"/>
  <c r="Y9" i="7"/>
  <c r="Y10" i="11"/>
  <c r="Y19" i="13"/>
  <c r="Y20" i="14"/>
  <c r="Y21" i="15"/>
  <c r="U21" i="15" s="1"/>
  <c r="Y14" i="17"/>
  <c r="Y15" i="18"/>
  <c r="Y21" i="19"/>
  <c r="V21" i="19" s="1"/>
  <c r="Y7" i="21"/>
  <c r="W7" i="21" s="1"/>
  <c r="Y17" i="21"/>
  <c r="Y18" i="22"/>
  <c r="Y19" i="23"/>
  <c r="Y9" i="24"/>
  <c r="Y10" i="25"/>
  <c r="V10" i="25" s="1"/>
  <c r="Y20" i="72"/>
  <c r="W20" i="72" s="1"/>
  <c r="Y16" i="72"/>
  <c r="W16" i="72" s="1"/>
  <c r="Y12" i="72"/>
  <c r="W12" i="72" s="1"/>
  <c r="Y10" i="72"/>
  <c r="W10" i="72" s="1"/>
  <c r="Y19" i="72"/>
  <c r="U19" i="72" s="1"/>
  <c r="Y15" i="72"/>
  <c r="U15" i="72" s="1"/>
  <c r="Y11" i="72"/>
  <c r="U11" i="72" s="1"/>
  <c r="Y7" i="2"/>
  <c r="U7" i="2" s="1"/>
  <c r="Y11" i="2"/>
  <c r="U11" i="2" s="1"/>
  <c r="Y13" i="2"/>
  <c r="Y15" i="2"/>
  <c r="Y9" i="2"/>
  <c r="W9" i="2" s="1"/>
  <c r="Y10" i="2"/>
  <c r="X10" i="2" s="1"/>
  <c r="Y8" i="72"/>
  <c r="W8" i="72" s="1"/>
  <c r="Y9" i="72"/>
  <c r="U9" i="72" s="1"/>
  <c r="Y7" i="72"/>
  <c r="U7" i="72" s="1"/>
  <c r="U12" i="15"/>
  <c r="U12" i="11"/>
  <c r="U12" i="23"/>
  <c r="U12" i="6"/>
  <c r="U12" i="24"/>
  <c r="U20" i="11"/>
  <c r="U12" i="7"/>
  <c r="U12" i="3"/>
  <c r="U8" i="11"/>
  <c r="U16" i="11"/>
  <c r="U12" i="2"/>
  <c r="U12" i="19"/>
  <c r="U12" i="13"/>
  <c r="U8" i="18"/>
  <c r="U12" i="20"/>
  <c r="U12" i="22"/>
  <c r="U9" i="21"/>
  <c r="U8" i="4"/>
  <c r="U16" i="6"/>
  <c r="U16" i="7"/>
  <c r="U17" i="14"/>
  <c r="U12" i="17"/>
  <c r="U12" i="18"/>
  <c r="V9" i="21"/>
  <c r="U16" i="22"/>
  <c r="W11" i="25"/>
  <c r="X11" i="25"/>
  <c r="V11" i="25"/>
  <c r="U11" i="25"/>
  <c r="W13" i="25"/>
  <c r="V13" i="25"/>
  <c r="W15" i="25"/>
  <c r="V15" i="25"/>
  <c r="U15" i="25"/>
  <c r="X15" i="25"/>
  <c r="V18" i="25"/>
  <c r="U18" i="25"/>
  <c r="X18" i="25"/>
  <c r="W18" i="25"/>
  <c r="U10" i="25"/>
  <c r="X10" i="25"/>
  <c r="U17" i="25"/>
  <c r="X17" i="25"/>
  <c r="V17" i="25"/>
  <c r="K17" i="25" s="1"/>
  <c r="W17" i="25"/>
  <c r="W19" i="25"/>
  <c r="V19" i="25"/>
  <c r="X19" i="25"/>
  <c r="U19" i="25"/>
  <c r="U9" i="25"/>
  <c r="V9" i="25"/>
  <c r="X9" i="25"/>
  <c r="W9" i="25"/>
  <c r="W7" i="25"/>
  <c r="V7" i="25"/>
  <c r="U7" i="25"/>
  <c r="V14" i="25"/>
  <c r="U14" i="25"/>
  <c r="X14" i="25"/>
  <c r="W14" i="25"/>
  <c r="U21" i="25"/>
  <c r="X21" i="25"/>
  <c r="W21" i="25"/>
  <c r="V21" i="25"/>
  <c r="U8" i="25"/>
  <c r="U16" i="25"/>
  <c r="V8" i="25"/>
  <c r="V12" i="25"/>
  <c r="V16" i="25"/>
  <c r="V20" i="25"/>
  <c r="U12" i="25"/>
  <c r="U20" i="25"/>
  <c r="W8" i="25"/>
  <c r="W12" i="25"/>
  <c r="W16" i="25"/>
  <c r="W20" i="25"/>
  <c r="U13" i="24"/>
  <c r="X13" i="24"/>
  <c r="W13" i="24"/>
  <c r="V13" i="24"/>
  <c r="W7" i="24"/>
  <c r="V7" i="24"/>
  <c r="X7" i="24"/>
  <c r="U7" i="24"/>
  <c r="U17" i="24"/>
  <c r="V17" i="24"/>
  <c r="X17" i="24"/>
  <c r="W17" i="24"/>
  <c r="W19" i="24"/>
  <c r="X19" i="24"/>
  <c r="V19" i="24"/>
  <c r="U19" i="24"/>
  <c r="V18" i="24"/>
  <c r="U18" i="24"/>
  <c r="X18" i="24"/>
  <c r="W18" i="24"/>
  <c r="V10" i="24"/>
  <c r="U10" i="24"/>
  <c r="X10" i="24"/>
  <c r="W10" i="24"/>
  <c r="W15" i="24"/>
  <c r="V15" i="24"/>
  <c r="U15" i="24"/>
  <c r="X15" i="24"/>
  <c r="U9" i="24"/>
  <c r="X9" i="24"/>
  <c r="V9" i="24"/>
  <c r="W9" i="24"/>
  <c r="W11" i="24"/>
  <c r="V11" i="24"/>
  <c r="U11" i="24"/>
  <c r="X11" i="24"/>
  <c r="V14" i="24"/>
  <c r="U14" i="24"/>
  <c r="X14" i="24"/>
  <c r="W14" i="24"/>
  <c r="U21" i="24"/>
  <c r="X21" i="24"/>
  <c r="W21" i="24"/>
  <c r="V21" i="24"/>
  <c r="U16" i="24"/>
  <c r="V8" i="24"/>
  <c r="V12" i="24"/>
  <c r="V16" i="24"/>
  <c r="V20" i="24"/>
  <c r="U8" i="24"/>
  <c r="W8" i="24"/>
  <c r="W12" i="24"/>
  <c r="W16" i="24"/>
  <c r="W20" i="24"/>
  <c r="U20" i="24"/>
  <c r="X10" i="23"/>
  <c r="U13" i="23"/>
  <c r="X13" i="23"/>
  <c r="W13" i="23"/>
  <c r="V13" i="23"/>
  <c r="W15" i="23"/>
  <c r="V15" i="23"/>
  <c r="U15" i="23"/>
  <c r="X15" i="23"/>
  <c r="U7" i="23"/>
  <c r="X7" i="23"/>
  <c r="U17" i="23"/>
  <c r="X17" i="23"/>
  <c r="W17" i="23"/>
  <c r="V17" i="23"/>
  <c r="W19" i="23"/>
  <c r="V19" i="23"/>
  <c r="U19" i="23"/>
  <c r="X19" i="23"/>
  <c r="U9" i="23"/>
  <c r="X9" i="23"/>
  <c r="W9" i="23"/>
  <c r="V9" i="23"/>
  <c r="W11" i="23"/>
  <c r="V11" i="23"/>
  <c r="X11" i="23"/>
  <c r="U11" i="23"/>
  <c r="V14" i="23"/>
  <c r="U14" i="23"/>
  <c r="X14" i="23"/>
  <c r="W14" i="23"/>
  <c r="U21" i="23"/>
  <c r="X21" i="23"/>
  <c r="W21" i="23"/>
  <c r="V21" i="23"/>
  <c r="U8" i="23"/>
  <c r="U16" i="23"/>
  <c r="V8" i="23"/>
  <c r="V12" i="23"/>
  <c r="V16" i="23"/>
  <c r="V20" i="23"/>
  <c r="W8" i="23"/>
  <c r="W12" i="23"/>
  <c r="W16" i="23"/>
  <c r="W20" i="23"/>
  <c r="U20" i="23"/>
  <c r="V10" i="22"/>
  <c r="X10" i="22"/>
  <c r="U10" i="22"/>
  <c r="W10" i="22"/>
  <c r="W15" i="22"/>
  <c r="V15" i="22"/>
  <c r="U15" i="22"/>
  <c r="X15" i="22"/>
  <c r="V18" i="22"/>
  <c r="X18" i="22"/>
  <c r="W18" i="22"/>
  <c r="U18" i="22"/>
  <c r="U9" i="22"/>
  <c r="X9" i="22"/>
  <c r="W9" i="22"/>
  <c r="V9" i="22"/>
  <c r="W11" i="22"/>
  <c r="U11" i="22"/>
  <c r="X11" i="22"/>
  <c r="V11" i="22"/>
  <c r="V14" i="22"/>
  <c r="U14" i="22"/>
  <c r="X14" i="22"/>
  <c r="W14" i="22"/>
  <c r="U13" i="22"/>
  <c r="W13" i="22"/>
  <c r="X13" i="22"/>
  <c r="V13" i="22"/>
  <c r="W7" i="22"/>
  <c r="U7" i="22"/>
  <c r="X7" i="22"/>
  <c r="V7" i="22"/>
  <c r="U17" i="22"/>
  <c r="W17" i="22"/>
  <c r="V17" i="22"/>
  <c r="X17" i="22"/>
  <c r="W19" i="22"/>
  <c r="U19" i="22"/>
  <c r="X19" i="22"/>
  <c r="V19" i="22"/>
  <c r="U21" i="22"/>
  <c r="V21" i="22"/>
  <c r="X21" i="22"/>
  <c r="W21" i="22"/>
  <c r="V16" i="22"/>
  <c r="W8" i="22"/>
  <c r="W12" i="22"/>
  <c r="W16" i="22"/>
  <c r="W20" i="22"/>
  <c r="U8" i="22"/>
  <c r="U20" i="22"/>
  <c r="V8" i="22"/>
  <c r="V12" i="22"/>
  <c r="V20" i="22"/>
  <c r="U7" i="21"/>
  <c r="X7" i="21"/>
  <c r="U13" i="21"/>
  <c r="X13" i="21"/>
  <c r="W13" i="21"/>
  <c r="V13" i="21"/>
  <c r="W15" i="21"/>
  <c r="V15" i="21"/>
  <c r="X15" i="21"/>
  <c r="U15" i="21"/>
  <c r="X18" i="21"/>
  <c r="W18" i="21"/>
  <c r="V10" i="21"/>
  <c r="U10" i="21"/>
  <c r="W10" i="21"/>
  <c r="X10" i="21"/>
  <c r="U17" i="21"/>
  <c r="X17" i="21"/>
  <c r="W17" i="21"/>
  <c r="V17" i="21"/>
  <c r="W19" i="21"/>
  <c r="V19" i="21"/>
  <c r="U19" i="21"/>
  <c r="X19" i="21"/>
  <c r="V11" i="21"/>
  <c r="X11" i="21"/>
  <c r="V14" i="21"/>
  <c r="W14" i="21"/>
  <c r="U14" i="21"/>
  <c r="X14" i="21"/>
  <c r="U21" i="21"/>
  <c r="X21" i="21"/>
  <c r="W21" i="21"/>
  <c r="V21" i="21"/>
  <c r="U8" i="21"/>
  <c r="U20" i="21"/>
  <c r="V8" i="21"/>
  <c r="W9" i="21"/>
  <c r="V12" i="21"/>
  <c r="V16" i="21"/>
  <c r="V20" i="21"/>
  <c r="U12" i="21"/>
  <c r="U16" i="21"/>
  <c r="W8" i="21"/>
  <c r="W12" i="21"/>
  <c r="W16" i="21"/>
  <c r="W20" i="21"/>
  <c r="V10" i="20"/>
  <c r="U10" i="20"/>
  <c r="W10" i="20"/>
  <c r="U13" i="20"/>
  <c r="X13" i="20"/>
  <c r="W13" i="20"/>
  <c r="V13" i="20"/>
  <c r="W15" i="20"/>
  <c r="V15" i="20"/>
  <c r="U15" i="20"/>
  <c r="X15" i="20"/>
  <c r="V18" i="20"/>
  <c r="W18" i="20"/>
  <c r="U18" i="20"/>
  <c r="X18" i="20"/>
  <c r="W7" i="20"/>
  <c r="V7" i="20"/>
  <c r="U7" i="20"/>
  <c r="X7" i="20"/>
  <c r="U17" i="20"/>
  <c r="V17" i="20"/>
  <c r="X17" i="20"/>
  <c r="W17" i="20"/>
  <c r="W19" i="20"/>
  <c r="V19" i="20"/>
  <c r="U19" i="20"/>
  <c r="X19" i="20"/>
  <c r="U9" i="20"/>
  <c r="X9" i="20"/>
  <c r="V9" i="20"/>
  <c r="W9" i="20"/>
  <c r="W11" i="20"/>
  <c r="V11" i="20"/>
  <c r="U11" i="20"/>
  <c r="X11" i="20"/>
  <c r="V14" i="20"/>
  <c r="U14" i="20"/>
  <c r="X14" i="20"/>
  <c r="W14" i="20"/>
  <c r="U21" i="20"/>
  <c r="U8" i="20"/>
  <c r="U16" i="20"/>
  <c r="V8" i="20"/>
  <c r="V12" i="20"/>
  <c r="V16" i="20"/>
  <c r="V20" i="20"/>
  <c r="W8" i="20"/>
  <c r="W12" i="20"/>
  <c r="W16" i="20"/>
  <c r="W20" i="20"/>
  <c r="U20" i="20"/>
  <c r="V10" i="19"/>
  <c r="U10" i="19"/>
  <c r="W10" i="19"/>
  <c r="X10" i="19"/>
  <c r="U13" i="19"/>
  <c r="V13" i="19"/>
  <c r="X13" i="19"/>
  <c r="W13" i="19"/>
  <c r="W15" i="19"/>
  <c r="X15" i="19"/>
  <c r="V15" i="19"/>
  <c r="U15" i="19"/>
  <c r="W7" i="19"/>
  <c r="V7" i="19"/>
  <c r="X7" i="19"/>
  <c r="U7" i="19"/>
  <c r="U17" i="19"/>
  <c r="X17" i="19"/>
  <c r="W17" i="19"/>
  <c r="V17" i="19"/>
  <c r="W19" i="19"/>
  <c r="V19" i="19"/>
  <c r="U19" i="19"/>
  <c r="X19" i="19"/>
  <c r="V18" i="19"/>
  <c r="W18" i="19"/>
  <c r="U18" i="19"/>
  <c r="X18" i="19"/>
  <c r="U9" i="19"/>
  <c r="X9" i="19"/>
  <c r="W9" i="19"/>
  <c r="V9" i="19"/>
  <c r="W11" i="19"/>
  <c r="V11" i="19"/>
  <c r="X11" i="19"/>
  <c r="U11" i="19"/>
  <c r="V14" i="19"/>
  <c r="W14" i="19"/>
  <c r="U14" i="19"/>
  <c r="X14" i="19"/>
  <c r="X21" i="19"/>
  <c r="W21" i="19"/>
  <c r="V8" i="19"/>
  <c r="V12" i="19"/>
  <c r="V16" i="19"/>
  <c r="V20" i="19"/>
  <c r="U8" i="19"/>
  <c r="W8" i="19"/>
  <c r="W12" i="19"/>
  <c r="W16" i="19"/>
  <c r="W20" i="19"/>
  <c r="U16" i="19"/>
  <c r="U20" i="19"/>
  <c r="V10" i="18"/>
  <c r="U10" i="18"/>
  <c r="W10" i="18"/>
  <c r="X10" i="18"/>
  <c r="U13" i="18"/>
  <c r="V13" i="18"/>
  <c r="X13" i="18"/>
  <c r="W13" i="18"/>
  <c r="W15" i="18"/>
  <c r="X15" i="18"/>
  <c r="V15" i="18"/>
  <c r="U15" i="18"/>
  <c r="W7" i="18"/>
  <c r="X7" i="18"/>
  <c r="V7" i="18"/>
  <c r="U7" i="18"/>
  <c r="U17" i="18"/>
  <c r="X17" i="18"/>
  <c r="W17" i="18"/>
  <c r="V17" i="18"/>
  <c r="W19" i="18"/>
  <c r="V19" i="18"/>
  <c r="U19" i="18"/>
  <c r="X19" i="18"/>
  <c r="V18" i="18"/>
  <c r="W18" i="18"/>
  <c r="U18" i="18"/>
  <c r="X18" i="18"/>
  <c r="U9" i="18"/>
  <c r="X9" i="18"/>
  <c r="V9" i="18"/>
  <c r="W9" i="18"/>
  <c r="W11" i="18"/>
  <c r="V11" i="18"/>
  <c r="X11" i="18"/>
  <c r="U11" i="18"/>
  <c r="V14" i="18"/>
  <c r="W14" i="18"/>
  <c r="U14" i="18"/>
  <c r="X14" i="18"/>
  <c r="U21" i="18"/>
  <c r="X21" i="18"/>
  <c r="W21" i="18"/>
  <c r="V21" i="18"/>
  <c r="V8" i="18"/>
  <c r="V12" i="18"/>
  <c r="V16" i="18"/>
  <c r="V20" i="18"/>
  <c r="W8" i="18"/>
  <c r="W12" i="18"/>
  <c r="W16" i="18"/>
  <c r="W20" i="18"/>
  <c r="U16" i="18"/>
  <c r="U20" i="18"/>
  <c r="V10" i="17"/>
  <c r="W10" i="17"/>
  <c r="U10" i="17"/>
  <c r="X10" i="17"/>
  <c r="U13" i="17"/>
  <c r="X13" i="17"/>
  <c r="W13" i="17"/>
  <c r="V13" i="17"/>
  <c r="W15" i="17"/>
  <c r="V15" i="17"/>
  <c r="U15" i="17"/>
  <c r="X15" i="17"/>
  <c r="V18" i="17"/>
  <c r="U18" i="17"/>
  <c r="X18" i="17"/>
  <c r="W18" i="17"/>
  <c r="W7" i="17"/>
  <c r="X7" i="17"/>
  <c r="V7" i="17"/>
  <c r="U7" i="17"/>
  <c r="U17" i="17"/>
  <c r="V17" i="17"/>
  <c r="X17" i="17"/>
  <c r="W17" i="17"/>
  <c r="W19" i="17"/>
  <c r="X19" i="17"/>
  <c r="V19" i="17"/>
  <c r="U19" i="17"/>
  <c r="U9" i="17"/>
  <c r="V9" i="17"/>
  <c r="X9" i="17"/>
  <c r="W9" i="17"/>
  <c r="W11" i="17"/>
  <c r="X11" i="17"/>
  <c r="V11" i="17"/>
  <c r="U11" i="17"/>
  <c r="V14" i="17"/>
  <c r="U14" i="17"/>
  <c r="X14" i="17"/>
  <c r="W14" i="17"/>
  <c r="U21" i="17"/>
  <c r="X21" i="17"/>
  <c r="W21" i="17"/>
  <c r="V21" i="17"/>
  <c r="U16" i="17"/>
  <c r="V8" i="17"/>
  <c r="V12" i="17"/>
  <c r="L12" i="17" s="1"/>
  <c r="V16" i="17"/>
  <c r="V20" i="17"/>
  <c r="W8" i="17"/>
  <c r="W12" i="17"/>
  <c r="W16" i="17"/>
  <c r="W20" i="17"/>
  <c r="U8" i="17"/>
  <c r="U20" i="17"/>
  <c r="X16" i="16"/>
  <c r="W16" i="16"/>
  <c r="V16" i="16"/>
  <c r="U16" i="16"/>
  <c r="X20" i="16"/>
  <c r="W20" i="16"/>
  <c r="V20" i="16"/>
  <c r="U20" i="16"/>
  <c r="X8" i="16"/>
  <c r="W8" i="16"/>
  <c r="V8" i="16"/>
  <c r="V10" i="16"/>
  <c r="U10" i="16"/>
  <c r="W10" i="16"/>
  <c r="X12" i="16"/>
  <c r="W12" i="16"/>
  <c r="V12" i="16"/>
  <c r="U12" i="16"/>
  <c r="V14" i="16"/>
  <c r="U14" i="16"/>
  <c r="X14" i="16"/>
  <c r="W14" i="16"/>
  <c r="V18" i="16"/>
  <c r="U18" i="16"/>
  <c r="X18" i="16"/>
  <c r="W18" i="16"/>
  <c r="W7" i="16"/>
  <c r="V7" i="16"/>
  <c r="U7" i="16"/>
  <c r="X7" i="16"/>
  <c r="U9" i="16"/>
  <c r="X9" i="16"/>
  <c r="W9" i="16"/>
  <c r="V9" i="16"/>
  <c r="W11" i="16"/>
  <c r="V11" i="16"/>
  <c r="U11" i="16"/>
  <c r="X11" i="16"/>
  <c r="U13" i="16"/>
  <c r="X13" i="16"/>
  <c r="W13" i="16"/>
  <c r="V13" i="16"/>
  <c r="V15" i="16"/>
  <c r="U15" i="16"/>
  <c r="U17" i="16"/>
  <c r="X17" i="16"/>
  <c r="W17" i="16"/>
  <c r="V17" i="16"/>
  <c r="W19" i="16"/>
  <c r="V19" i="16"/>
  <c r="U19" i="16"/>
  <c r="X19" i="16"/>
  <c r="U21" i="16"/>
  <c r="X21" i="16"/>
  <c r="W21" i="16"/>
  <c r="V21" i="16"/>
  <c r="V10" i="15"/>
  <c r="U10" i="15"/>
  <c r="X10" i="15"/>
  <c r="W10" i="15"/>
  <c r="U13" i="15"/>
  <c r="W13" i="15"/>
  <c r="V13" i="15"/>
  <c r="X13" i="15"/>
  <c r="W15" i="15"/>
  <c r="U15" i="15"/>
  <c r="X15" i="15"/>
  <c r="V15" i="15"/>
  <c r="V18" i="15"/>
  <c r="X18" i="15"/>
  <c r="U18" i="15"/>
  <c r="W18" i="15"/>
  <c r="W7" i="15"/>
  <c r="U7" i="15"/>
  <c r="X7" i="15"/>
  <c r="V7" i="15"/>
  <c r="U17" i="15"/>
  <c r="W17" i="15"/>
  <c r="X17" i="15"/>
  <c r="V17" i="15"/>
  <c r="W19" i="15"/>
  <c r="U19" i="15"/>
  <c r="V19" i="15"/>
  <c r="X19" i="15"/>
  <c r="U9" i="15"/>
  <c r="X9" i="15"/>
  <c r="W9" i="15"/>
  <c r="V9" i="15"/>
  <c r="W11" i="15"/>
  <c r="U11" i="15"/>
  <c r="V11" i="15"/>
  <c r="X11" i="15"/>
  <c r="V14" i="15"/>
  <c r="X14" i="15"/>
  <c r="W14" i="15"/>
  <c r="U14" i="15"/>
  <c r="X21" i="15"/>
  <c r="V21" i="15"/>
  <c r="U8" i="15"/>
  <c r="U20" i="15"/>
  <c r="V12" i="15"/>
  <c r="W8" i="15"/>
  <c r="W12" i="15"/>
  <c r="W16" i="15"/>
  <c r="W20" i="15"/>
  <c r="U16" i="15"/>
  <c r="V8" i="15"/>
  <c r="V16" i="15"/>
  <c r="V20" i="15"/>
  <c r="V11" i="14"/>
  <c r="U11" i="14"/>
  <c r="X11" i="14"/>
  <c r="W11" i="14"/>
  <c r="W8" i="14"/>
  <c r="V8" i="14"/>
  <c r="U8" i="14"/>
  <c r="X8" i="14"/>
  <c r="V15" i="14"/>
  <c r="U15" i="14"/>
  <c r="X15" i="14"/>
  <c r="W15" i="14"/>
  <c r="U18" i="14"/>
  <c r="X18" i="14"/>
  <c r="W18" i="14"/>
  <c r="V18" i="14"/>
  <c r="X20" i="14"/>
  <c r="W20" i="14"/>
  <c r="V20" i="14"/>
  <c r="U20" i="14"/>
  <c r="V10" i="14"/>
  <c r="U10" i="14"/>
  <c r="X10" i="14"/>
  <c r="W10" i="14"/>
  <c r="X12" i="14"/>
  <c r="W12" i="14"/>
  <c r="V12" i="14"/>
  <c r="U12" i="14"/>
  <c r="V7" i="14"/>
  <c r="U7" i="14"/>
  <c r="X7" i="14"/>
  <c r="W7" i="14"/>
  <c r="U14" i="14"/>
  <c r="X14" i="14"/>
  <c r="W14" i="14"/>
  <c r="V14" i="14"/>
  <c r="W16" i="14"/>
  <c r="V16" i="14"/>
  <c r="U16" i="14"/>
  <c r="X16" i="14"/>
  <c r="V19" i="14"/>
  <c r="U19" i="14"/>
  <c r="X19" i="14"/>
  <c r="W19" i="14"/>
  <c r="U21" i="14"/>
  <c r="X21" i="14"/>
  <c r="W21" i="14"/>
  <c r="V21" i="14"/>
  <c r="U9" i="14"/>
  <c r="V9" i="14"/>
  <c r="V13" i="14"/>
  <c r="L13" i="14" s="1"/>
  <c r="V17" i="14"/>
  <c r="W9" i="14"/>
  <c r="W13" i="14"/>
  <c r="W17" i="14"/>
  <c r="X13" i="14"/>
  <c r="V10" i="13"/>
  <c r="W10" i="13"/>
  <c r="U10" i="13"/>
  <c r="X10" i="13"/>
  <c r="U13" i="13"/>
  <c r="V13" i="13"/>
  <c r="X13" i="13"/>
  <c r="W13" i="13"/>
  <c r="W15" i="13"/>
  <c r="X15" i="13"/>
  <c r="V15" i="13"/>
  <c r="U15" i="13"/>
  <c r="W7" i="13"/>
  <c r="X7" i="13"/>
  <c r="V7" i="13"/>
  <c r="U7" i="13"/>
  <c r="U17" i="13"/>
  <c r="X17" i="13"/>
  <c r="W17" i="13"/>
  <c r="V17" i="13"/>
  <c r="W19" i="13"/>
  <c r="V19" i="13"/>
  <c r="U19" i="13"/>
  <c r="X19" i="13"/>
  <c r="V18" i="13"/>
  <c r="W18" i="13"/>
  <c r="U18" i="13"/>
  <c r="X18" i="13"/>
  <c r="U9" i="13"/>
  <c r="V9" i="13"/>
  <c r="X9" i="13"/>
  <c r="W9" i="13"/>
  <c r="W11" i="13"/>
  <c r="X11" i="13"/>
  <c r="V11" i="13"/>
  <c r="U11" i="13"/>
  <c r="V14" i="13"/>
  <c r="W14" i="13"/>
  <c r="U14" i="13"/>
  <c r="X14" i="13"/>
  <c r="U21" i="13"/>
  <c r="X21" i="13"/>
  <c r="W21" i="13"/>
  <c r="V21" i="13"/>
  <c r="V8" i="13"/>
  <c r="V12" i="13"/>
  <c r="V16" i="13"/>
  <c r="V20" i="13"/>
  <c r="W8" i="13"/>
  <c r="W12" i="13"/>
  <c r="W16" i="13"/>
  <c r="W20" i="13"/>
  <c r="U8" i="13"/>
  <c r="U16" i="13"/>
  <c r="U20" i="13"/>
  <c r="V10" i="12"/>
  <c r="U10" i="12"/>
  <c r="X10" i="12"/>
  <c r="W10" i="12"/>
  <c r="X12" i="12"/>
  <c r="W12" i="12"/>
  <c r="V12" i="12"/>
  <c r="U12" i="12"/>
  <c r="V14" i="12"/>
  <c r="U14" i="12"/>
  <c r="X14" i="12"/>
  <c r="W14" i="12"/>
  <c r="X16" i="12"/>
  <c r="W16" i="12"/>
  <c r="V16" i="12"/>
  <c r="U16" i="12"/>
  <c r="V18" i="12"/>
  <c r="U18" i="12"/>
  <c r="X18" i="12"/>
  <c r="W18" i="12"/>
  <c r="X20" i="12"/>
  <c r="W20" i="12"/>
  <c r="V20" i="12"/>
  <c r="U20" i="12"/>
  <c r="W19" i="12"/>
  <c r="V19" i="12"/>
  <c r="U19" i="12"/>
  <c r="X19" i="12"/>
  <c r="X8" i="12"/>
  <c r="W8" i="12"/>
  <c r="V8" i="12"/>
  <c r="U8" i="12"/>
  <c r="W7" i="12"/>
  <c r="V7" i="12"/>
  <c r="U7" i="12"/>
  <c r="X7" i="12"/>
  <c r="U9" i="12"/>
  <c r="X9" i="12"/>
  <c r="W9" i="12"/>
  <c r="V9" i="12"/>
  <c r="W11" i="12"/>
  <c r="V11" i="12"/>
  <c r="U11" i="12"/>
  <c r="X11" i="12"/>
  <c r="U13" i="12"/>
  <c r="X13" i="12"/>
  <c r="W13" i="12"/>
  <c r="V13" i="12"/>
  <c r="W15" i="12"/>
  <c r="V15" i="12"/>
  <c r="U15" i="12"/>
  <c r="X15" i="12"/>
  <c r="U17" i="12"/>
  <c r="X17" i="12"/>
  <c r="W17" i="12"/>
  <c r="V17" i="12"/>
  <c r="U21" i="12"/>
  <c r="X21" i="12"/>
  <c r="W21" i="12"/>
  <c r="V21" i="12"/>
  <c r="U9" i="11"/>
  <c r="W9" i="11"/>
  <c r="V9" i="11"/>
  <c r="V14" i="11"/>
  <c r="U14" i="11"/>
  <c r="X14" i="11"/>
  <c r="W14" i="11"/>
  <c r="W19" i="11"/>
  <c r="X19" i="11"/>
  <c r="V19" i="11"/>
  <c r="U19" i="11"/>
  <c r="W7" i="11"/>
  <c r="V7" i="11"/>
  <c r="U7" i="11"/>
  <c r="X7" i="11"/>
  <c r="W11" i="11"/>
  <c r="V11" i="11"/>
  <c r="U11" i="11"/>
  <c r="X11" i="11"/>
  <c r="U17" i="11"/>
  <c r="W17" i="11"/>
  <c r="V17" i="11"/>
  <c r="X17" i="11"/>
  <c r="V10" i="11"/>
  <c r="U10" i="11"/>
  <c r="X10" i="11"/>
  <c r="W10" i="11"/>
  <c r="U13" i="11"/>
  <c r="X13" i="11"/>
  <c r="W13" i="11"/>
  <c r="V13" i="11"/>
  <c r="W15" i="11"/>
  <c r="V15" i="11"/>
  <c r="U15" i="11"/>
  <c r="X15" i="11"/>
  <c r="V18" i="11"/>
  <c r="W18" i="11"/>
  <c r="U18" i="11"/>
  <c r="X18" i="11"/>
  <c r="U21" i="11"/>
  <c r="X21" i="11"/>
  <c r="V21" i="11"/>
  <c r="W21" i="11"/>
  <c r="V8" i="11"/>
  <c r="V12" i="11"/>
  <c r="V16" i="11"/>
  <c r="L16" i="11" s="1"/>
  <c r="V20" i="11"/>
  <c r="L20" i="11" s="1"/>
  <c r="W8" i="11"/>
  <c r="W16" i="11"/>
  <c r="W20" i="11"/>
  <c r="W12" i="11"/>
  <c r="W7" i="10"/>
  <c r="V7" i="10"/>
  <c r="U7" i="10"/>
  <c r="X7" i="10"/>
  <c r="W11" i="10"/>
  <c r="V11" i="10"/>
  <c r="U11" i="10"/>
  <c r="X11" i="10"/>
  <c r="U17" i="10"/>
  <c r="X17" i="10"/>
  <c r="W17" i="10"/>
  <c r="V17" i="10"/>
  <c r="X8" i="10"/>
  <c r="W8" i="10"/>
  <c r="V8" i="10"/>
  <c r="U8" i="10"/>
  <c r="X12" i="10"/>
  <c r="W12" i="10"/>
  <c r="V12" i="10"/>
  <c r="U12" i="10"/>
  <c r="X16" i="10"/>
  <c r="W16" i="10"/>
  <c r="V16" i="10"/>
  <c r="U16" i="10"/>
  <c r="V18" i="10"/>
  <c r="U18" i="10"/>
  <c r="X18" i="10"/>
  <c r="W18" i="10"/>
  <c r="X20" i="10"/>
  <c r="W20" i="10"/>
  <c r="V20" i="10"/>
  <c r="U20" i="10"/>
  <c r="V10" i="10"/>
  <c r="U10" i="10"/>
  <c r="X10" i="10"/>
  <c r="W10" i="10"/>
  <c r="V14" i="10"/>
  <c r="U14" i="10"/>
  <c r="X14" i="10"/>
  <c r="W14" i="10"/>
  <c r="W19" i="10"/>
  <c r="V19" i="10"/>
  <c r="U19" i="10"/>
  <c r="X19" i="10"/>
  <c r="U9" i="10"/>
  <c r="X9" i="10"/>
  <c r="W9" i="10"/>
  <c r="V9" i="10"/>
  <c r="U13" i="10"/>
  <c r="X13" i="10"/>
  <c r="W13" i="10"/>
  <c r="V13" i="10"/>
  <c r="W15" i="10"/>
  <c r="V15" i="10"/>
  <c r="U15" i="10"/>
  <c r="X15" i="10"/>
  <c r="U21" i="10"/>
  <c r="X21" i="10"/>
  <c r="W21" i="10"/>
  <c r="V21" i="10"/>
  <c r="X8" i="8"/>
  <c r="W8" i="8"/>
  <c r="V8" i="8"/>
  <c r="U8" i="8"/>
  <c r="U9" i="8"/>
  <c r="X9" i="8"/>
  <c r="W9" i="8"/>
  <c r="V9" i="8"/>
  <c r="U13" i="8"/>
  <c r="X13" i="8"/>
  <c r="W13" i="8"/>
  <c r="V13" i="8"/>
  <c r="U17" i="8"/>
  <c r="X17" i="8"/>
  <c r="W17" i="8"/>
  <c r="V17" i="8"/>
  <c r="X12" i="8"/>
  <c r="W12" i="8"/>
  <c r="V12" i="8"/>
  <c r="U12" i="8"/>
  <c r="V14" i="8"/>
  <c r="U14" i="8"/>
  <c r="X14" i="8"/>
  <c r="W14" i="8"/>
  <c r="V18" i="8"/>
  <c r="U18" i="8"/>
  <c r="X18" i="8"/>
  <c r="W18" i="8"/>
  <c r="X20" i="8"/>
  <c r="W20" i="8"/>
  <c r="V20" i="8"/>
  <c r="U20" i="8"/>
  <c r="V10" i="8"/>
  <c r="U10" i="8"/>
  <c r="X10" i="8"/>
  <c r="W10" i="8"/>
  <c r="X16" i="8"/>
  <c r="W16" i="8"/>
  <c r="V16" i="8"/>
  <c r="U16" i="8"/>
  <c r="W19" i="8"/>
  <c r="V19" i="8"/>
  <c r="U19" i="8"/>
  <c r="X19" i="8"/>
  <c r="W7" i="8"/>
  <c r="V7" i="8"/>
  <c r="U7" i="8"/>
  <c r="X7" i="8"/>
  <c r="W11" i="8"/>
  <c r="V11" i="8"/>
  <c r="U11" i="8"/>
  <c r="X11" i="8"/>
  <c r="W15" i="8"/>
  <c r="V15" i="8"/>
  <c r="U15" i="8"/>
  <c r="X15" i="8"/>
  <c r="U21" i="8"/>
  <c r="X21" i="8"/>
  <c r="W21" i="8"/>
  <c r="V21" i="8"/>
  <c r="V10" i="7"/>
  <c r="W10" i="7"/>
  <c r="U10" i="7"/>
  <c r="X10" i="7"/>
  <c r="U13" i="7"/>
  <c r="V13" i="7"/>
  <c r="X13" i="7"/>
  <c r="W13" i="7"/>
  <c r="W15" i="7"/>
  <c r="U15" i="7"/>
  <c r="X15" i="7"/>
  <c r="V15" i="7"/>
  <c r="V18" i="7"/>
  <c r="X18" i="7"/>
  <c r="W18" i="7"/>
  <c r="U18" i="7"/>
  <c r="W7" i="7"/>
  <c r="V7" i="7"/>
  <c r="U7" i="7"/>
  <c r="X7" i="7"/>
  <c r="U9" i="7"/>
  <c r="V9" i="7"/>
  <c r="X9" i="7"/>
  <c r="W9" i="7"/>
  <c r="W11" i="7"/>
  <c r="U11" i="7"/>
  <c r="X11" i="7"/>
  <c r="V11" i="7"/>
  <c r="V14" i="7"/>
  <c r="W14" i="7"/>
  <c r="U14" i="7"/>
  <c r="X14" i="7"/>
  <c r="U17" i="7"/>
  <c r="W17" i="7"/>
  <c r="V17" i="7"/>
  <c r="X17" i="7"/>
  <c r="W19" i="7"/>
  <c r="X19" i="7"/>
  <c r="V19" i="7"/>
  <c r="U19" i="7"/>
  <c r="U21" i="7"/>
  <c r="V21" i="7"/>
  <c r="X21" i="7"/>
  <c r="W21" i="7"/>
  <c r="U8" i="7"/>
  <c r="V20" i="7"/>
  <c r="W8" i="7"/>
  <c r="W12" i="7"/>
  <c r="W16" i="7"/>
  <c r="W20" i="7"/>
  <c r="U20" i="7"/>
  <c r="V8" i="7"/>
  <c r="V12" i="7"/>
  <c r="V16" i="7"/>
  <c r="U13" i="6"/>
  <c r="W13" i="6"/>
  <c r="X13" i="6"/>
  <c r="V13" i="6"/>
  <c r="W7" i="6"/>
  <c r="U7" i="6"/>
  <c r="X7" i="6"/>
  <c r="V7" i="6"/>
  <c r="U9" i="6"/>
  <c r="X9" i="6"/>
  <c r="W9" i="6"/>
  <c r="V9" i="6"/>
  <c r="V10" i="6"/>
  <c r="U10" i="6"/>
  <c r="X10" i="6"/>
  <c r="W10" i="6"/>
  <c r="W15" i="6"/>
  <c r="U15" i="6"/>
  <c r="V15" i="6"/>
  <c r="X15" i="6"/>
  <c r="W11" i="6"/>
  <c r="V11" i="6"/>
  <c r="U11" i="6"/>
  <c r="X11" i="6"/>
  <c r="V14" i="6"/>
  <c r="X14" i="6"/>
  <c r="U14" i="6"/>
  <c r="W14" i="6"/>
  <c r="U17" i="6"/>
  <c r="W17" i="6"/>
  <c r="V17" i="6"/>
  <c r="X17" i="6"/>
  <c r="W19" i="6"/>
  <c r="X19" i="6"/>
  <c r="V19" i="6"/>
  <c r="U19" i="6"/>
  <c r="V18" i="6"/>
  <c r="W18" i="6"/>
  <c r="U18" i="6"/>
  <c r="X18" i="6"/>
  <c r="U21" i="6"/>
  <c r="V21" i="6"/>
  <c r="X21" i="6"/>
  <c r="W21" i="6"/>
  <c r="V12" i="6"/>
  <c r="V20" i="6"/>
  <c r="W8" i="6"/>
  <c r="W12" i="6"/>
  <c r="W16" i="6"/>
  <c r="W20" i="6"/>
  <c r="U8" i="6"/>
  <c r="U20" i="6"/>
  <c r="V8" i="6"/>
  <c r="V16" i="6"/>
  <c r="U9" i="5"/>
  <c r="X9" i="5"/>
  <c r="W9" i="5"/>
  <c r="V9" i="5"/>
  <c r="U13" i="5"/>
  <c r="X13" i="5"/>
  <c r="W13" i="5"/>
  <c r="V13" i="5"/>
  <c r="U17" i="5"/>
  <c r="X17" i="5"/>
  <c r="W17" i="5"/>
  <c r="V17" i="5"/>
  <c r="V10" i="5"/>
  <c r="U10" i="5"/>
  <c r="X10" i="5"/>
  <c r="W10" i="5"/>
  <c r="V14" i="5"/>
  <c r="U14" i="5"/>
  <c r="X14" i="5"/>
  <c r="W14" i="5"/>
  <c r="V18" i="5"/>
  <c r="U18" i="5"/>
  <c r="X18" i="5"/>
  <c r="W18" i="5"/>
  <c r="X20" i="5"/>
  <c r="W20" i="5"/>
  <c r="V20" i="5"/>
  <c r="U20" i="5"/>
  <c r="X8" i="5"/>
  <c r="W8" i="5"/>
  <c r="V8" i="5"/>
  <c r="U8" i="5"/>
  <c r="X12" i="5"/>
  <c r="W12" i="5"/>
  <c r="V12" i="5"/>
  <c r="U12" i="5"/>
  <c r="X16" i="5"/>
  <c r="W16" i="5"/>
  <c r="V16" i="5"/>
  <c r="U16" i="5"/>
  <c r="W19" i="5"/>
  <c r="V19" i="5"/>
  <c r="U19" i="5"/>
  <c r="X19" i="5"/>
  <c r="W7" i="5"/>
  <c r="V7" i="5"/>
  <c r="U7" i="5"/>
  <c r="X7" i="5"/>
  <c r="W11" i="5"/>
  <c r="V11" i="5"/>
  <c r="U11" i="5"/>
  <c r="X11" i="5"/>
  <c r="W15" i="5"/>
  <c r="V15" i="5"/>
  <c r="U15" i="5"/>
  <c r="X15" i="5"/>
  <c r="U21" i="5"/>
  <c r="X21" i="5"/>
  <c r="W21" i="5"/>
  <c r="V21" i="5"/>
  <c r="V18" i="4"/>
  <c r="W18" i="4"/>
  <c r="U18" i="4"/>
  <c r="X18" i="4"/>
  <c r="U13" i="4"/>
  <c r="X13" i="4"/>
  <c r="W13" i="4"/>
  <c r="V13" i="4"/>
  <c r="W15" i="4"/>
  <c r="V15" i="4"/>
  <c r="U15" i="4"/>
  <c r="X15" i="4"/>
  <c r="W11" i="4"/>
  <c r="V11" i="4"/>
  <c r="U11" i="4"/>
  <c r="X11" i="4"/>
  <c r="W7" i="4"/>
  <c r="V7" i="4"/>
  <c r="U7" i="4"/>
  <c r="X7" i="4"/>
  <c r="V10" i="4"/>
  <c r="U10" i="4"/>
  <c r="X10" i="4"/>
  <c r="W10" i="4"/>
  <c r="U17" i="4"/>
  <c r="V17" i="4"/>
  <c r="X17" i="4"/>
  <c r="W17" i="4"/>
  <c r="W19" i="4"/>
  <c r="X19" i="4"/>
  <c r="V19" i="4"/>
  <c r="U19" i="4"/>
  <c r="U9" i="4"/>
  <c r="X9" i="4"/>
  <c r="W9" i="4"/>
  <c r="V9" i="4"/>
  <c r="V14" i="4"/>
  <c r="W14" i="4"/>
  <c r="U14" i="4"/>
  <c r="X14" i="4"/>
  <c r="U21" i="4"/>
  <c r="X21" i="4"/>
  <c r="W21" i="4"/>
  <c r="V21" i="4"/>
  <c r="U12" i="4"/>
  <c r="U16" i="4"/>
  <c r="V8" i="4"/>
  <c r="V12" i="4"/>
  <c r="V16" i="4"/>
  <c r="V20" i="4"/>
  <c r="W8" i="4"/>
  <c r="W12" i="4"/>
  <c r="W16" i="4"/>
  <c r="W20" i="4"/>
  <c r="U20" i="4"/>
  <c r="U13" i="3"/>
  <c r="V13" i="3"/>
  <c r="X13" i="3"/>
  <c r="W13" i="3"/>
  <c r="W15" i="3"/>
  <c r="X15" i="3"/>
  <c r="V15" i="3"/>
  <c r="U15" i="3"/>
  <c r="V18" i="3"/>
  <c r="W18" i="3"/>
  <c r="U18" i="3"/>
  <c r="X18" i="3"/>
  <c r="V10" i="3"/>
  <c r="W10" i="3"/>
  <c r="U10" i="3"/>
  <c r="X10" i="3"/>
  <c r="W7" i="3"/>
  <c r="V7" i="3"/>
  <c r="X7" i="3"/>
  <c r="U7" i="3"/>
  <c r="U17" i="3"/>
  <c r="V17" i="3"/>
  <c r="X17" i="3"/>
  <c r="W17" i="3"/>
  <c r="W19" i="3"/>
  <c r="X19" i="3"/>
  <c r="V19" i="3"/>
  <c r="U19" i="3"/>
  <c r="U9" i="3"/>
  <c r="V9" i="3"/>
  <c r="X9" i="3"/>
  <c r="W9" i="3"/>
  <c r="W11" i="3"/>
  <c r="X11" i="3"/>
  <c r="V11" i="3"/>
  <c r="U11" i="3"/>
  <c r="V14" i="3"/>
  <c r="W14" i="3"/>
  <c r="U14" i="3"/>
  <c r="X14" i="3"/>
  <c r="U21" i="3"/>
  <c r="X21" i="3"/>
  <c r="W21" i="3"/>
  <c r="V21" i="3"/>
  <c r="V8" i="3"/>
  <c r="V12" i="3"/>
  <c r="V16" i="3"/>
  <c r="V20" i="3"/>
  <c r="U8" i="3"/>
  <c r="W8" i="3"/>
  <c r="W12" i="3"/>
  <c r="W16" i="3"/>
  <c r="W20" i="3"/>
  <c r="U16" i="3"/>
  <c r="U20" i="3"/>
  <c r="V18" i="2"/>
  <c r="U18" i="2"/>
  <c r="X18" i="2"/>
  <c r="W18" i="2"/>
  <c r="U13" i="2"/>
  <c r="X13" i="2"/>
  <c r="W13" i="2"/>
  <c r="V13" i="2"/>
  <c r="W15" i="2"/>
  <c r="V15" i="2"/>
  <c r="U15" i="2"/>
  <c r="X15" i="2"/>
  <c r="U17" i="2"/>
  <c r="X17" i="2"/>
  <c r="V17" i="2"/>
  <c r="W17" i="2"/>
  <c r="W19" i="2"/>
  <c r="V19" i="2"/>
  <c r="X19" i="2"/>
  <c r="U19" i="2"/>
  <c r="W10" i="2"/>
  <c r="X11" i="2"/>
  <c r="V14" i="2"/>
  <c r="U14" i="2"/>
  <c r="X14" i="2"/>
  <c r="W14" i="2"/>
  <c r="U21" i="2"/>
  <c r="X21" i="2"/>
  <c r="W21" i="2"/>
  <c r="V21" i="2"/>
  <c r="U16" i="2"/>
  <c r="V8" i="2"/>
  <c r="V12" i="2"/>
  <c r="V16" i="2"/>
  <c r="V20" i="2"/>
  <c r="U20" i="2"/>
  <c r="W8" i="2"/>
  <c r="W12" i="2"/>
  <c r="W16" i="2"/>
  <c r="W20" i="2"/>
  <c r="U8" i="2"/>
  <c r="X21" i="72"/>
  <c r="V18" i="72"/>
  <c r="X17" i="72"/>
  <c r="V16" i="72"/>
  <c r="X15" i="72"/>
  <c r="V14" i="72"/>
  <c r="X13" i="72"/>
  <c r="V12" i="72"/>
  <c r="X11" i="72"/>
  <c r="V8" i="72"/>
  <c r="W21" i="72"/>
  <c r="U18" i="72"/>
  <c r="W17" i="72"/>
  <c r="U16" i="72"/>
  <c r="W15" i="72"/>
  <c r="U14" i="72"/>
  <c r="W13" i="72"/>
  <c r="W9" i="72"/>
  <c r="U8" i="72"/>
  <c r="V21" i="72"/>
  <c r="X18" i="72"/>
  <c r="V17" i="72"/>
  <c r="L17" i="72" s="1"/>
  <c r="X16" i="72"/>
  <c r="V15" i="72"/>
  <c r="X14" i="72"/>
  <c r="V13" i="72"/>
  <c r="L13" i="72" s="1"/>
  <c r="X12" i="72"/>
  <c r="V11" i="72"/>
  <c r="X8" i="72"/>
  <c r="X21" i="9"/>
  <c r="W21" i="9"/>
  <c r="U21" i="9"/>
  <c r="T21" i="9"/>
  <c r="S21" i="9"/>
  <c r="X20" i="9"/>
  <c r="W20" i="9"/>
  <c r="U20" i="9"/>
  <c r="T20" i="9"/>
  <c r="S20" i="9"/>
  <c r="X19" i="9"/>
  <c r="W19" i="9"/>
  <c r="U19" i="9"/>
  <c r="T19" i="9"/>
  <c r="S19" i="9"/>
  <c r="X18" i="9"/>
  <c r="W18" i="9"/>
  <c r="U18" i="9"/>
  <c r="T18" i="9"/>
  <c r="S18" i="9"/>
  <c r="X17" i="9"/>
  <c r="W17" i="9"/>
  <c r="U17" i="9"/>
  <c r="T17" i="9"/>
  <c r="S17" i="9"/>
  <c r="X16" i="9"/>
  <c r="W16" i="9"/>
  <c r="U16" i="9"/>
  <c r="T16" i="9"/>
  <c r="S16" i="9"/>
  <c r="X15" i="9"/>
  <c r="W15" i="9"/>
  <c r="U15" i="9"/>
  <c r="T15" i="9"/>
  <c r="S15" i="9"/>
  <c r="X14" i="9"/>
  <c r="W14" i="9"/>
  <c r="U14" i="9"/>
  <c r="T14" i="9"/>
  <c r="S14" i="9"/>
  <c r="X13" i="9"/>
  <c r="W13" i="9"/>
  <c r="U13" i="9"/>
  <c r="T13" i="9"/>
  <c r="S13" i="9"/>
  <c r="X12" i="9"/>
  <c r="W12" i="9"/>
  <c r="U12" i="9"/>
  <c r="T12" i="9"/>
  <c r="S12" i="9"/>
  <c r="X11" i="9"/>
  <c r="W11" i="9"/>
  <c r="U11" i="9"/>
  <c r="T11" i="9"/>
  <c r="S11" i="9"/>
  <c r="X10" i="9"/>
  <c r="W10" i="9"/>
  <c r="U10" i="9"/>
  <c r="T10" i="9"/>
  <c r="S10" i="9"/>
  <c r="X9" i="9"/>
  <c r="W9" i="9"/>
  <c r="U9" i="9"/>
  <c r="T9" i="9"/>
  <c r="S9" i="9"/>
  <c r="X8" i="9"/>
  <c r="W8" i="9"/>
  <c r="U8" i="9"/>
  <c r="T8" i="9"/>
  <c r="S8" i="9"/>
  <c r="T7" i="9"/>
  <c r="S7" i="9"/>
  <c r="L12" i="11"/>
  <c r="L13" i="17"/>
  <c r="K21" i="24"/>
  <c r="K18" i="24"/>
  <c r="K17" i="24"/>
  <c r="L14" i="24"/>
  <c r="M21" i="25"/>
  <c r="H21" i="25"/>
  <c r="M20" i="25"/>
  <c r="H20" i="25"/>
  <c r="M19" i="25"/>
  <c r="H19" i="25"/>
  <c r="K18" i="25"/>
  <c r="M18" i="25"/>
  <c r="H18" i="25"/>
  <c r="L17" i="25"/>
  <c r="M17" i="25"/>
  <c r="H17" i="25"/>
  <c r="M16" i="25"/>
  <c r="H16" i="25"/>
  <c r="M15" i="25"/>
  <c r="H15" i="25"/>
  <c r="M14" i="25"/>
  <c r="H14" i="25"/>
  <c r="M13" i="25"/>
  <c r="H13" i="25"/>
  <c r="M12" i="25"/>
  <c r="H12" i="25"/>
  <c r="M11" i="25"/>
  <c r="H11" i="25"/>
  <c r="M10" i="25"/>
  <c r="H10" i="25"/>
  <c r="M9" i="25"/>
  <c r="H9" i="25"/>
  <c r="M8" i="25"/>
  <c r="H8" i="25"/>
  <c r="M7" i="25"/>
  <c r="H7" i="25"/>
  <c r="L21" i="24"/>
  <c r="M21" i="24"/>
  <c r="H21" i="24"/>
  <c r="M20" i="24"/>
  <c r="H20" i="24"/>
  <c r="M19" i="24"/>
  <c r="H19" i="24"/>
  <c r="M18" i="24"/>
  <c r="H18" i="24"/>
  <c r="L17" i="24"/>
  <c r="M17" i="24"/>
  <c r="H17" i="24"/>
  <c r="M16" i="24"/>
  <c r="H16" i="24"/>
  <c r="M15" i="24"/>
  <c r="H15" i="24"/>
  <c r="M14" i="24"/>
  <c r="H14" i="24"/>
  <c r="M13" i="24"/>
  <c r="H13" i="24"/>
  <c r="M12" i="24"/>
  <c r="H12" i="24"/>
  <c r="M11" i="24"/>
  <c r="H11" i="24"/>
  <c r="M10" i="24"/>
  <c r="H10" i="24"/>
  <c r="M9" i="24"/>
  <c r="H9" i="24"/>
  <c r="M8" i="24"/>
  <c r="H8" i="24"/>
  <c r="M7" i="24"/>
  <c r="H7" i="24"/>
  <c r="M21" i="23"/>
  <c r="H21" i="23"/>
  <c r="M20" i="23"/>
  <c r="H20" i="23"/>
  <c r="M19" i="23"/>
  <c r="H19" i="23"/>
  <c r="M18" i="23"/>
  <c r="H18" i="23"/>
  <c r="M17" i="23"/>
  <c r="H17" i="23"/>
  <c r="M16" i="23"/>
  <c r="H16" i="23"/>
  <c r="M15" i="23"/>
  <c r="H15" i="23"/>
  <c r="M14" i="23"/>
  <c r="H14" i="23"/>
  <c r="M13" i="23"/>
  <c r="H13" i="23"/>
  <c r="M12" i="23"/>
  <c r="H12" i="23"/>
  <c r="M11" i="23"/>
  <c r="H11" i="23"/>
  <c r="M10" i="23"/>
  <c r="H10" i="23"/>
  <c r="M9" i="23"/>
  <c r="H9" i="23"/>
  <c r="M8" i="23"/>
  <c r="H8" i="23"/>
  <c r="M7" i="23"/>
  <c r="H7" i="23"/>
  <c r="M21" i="22"/>
  <c r="H21" i="22"/>
  <c r="M20" i="22"/>
  <c r="H20" i="22"/>
  <c r="M19" i="22"/>
  <c r="H19" i="22"/>
  <c r="M18" i="22"/>
  <c r="H18" i="22"/>
  <c r="M17" i="22"/>
  <c r="H17" i="22"/>
  <c r="M16" i="22"/>
  <c r="H16" i="22"/>
  <c r="M15" i="22"/>
  <c r="H15" i="22"/>
  <c r="M14" i="22"/>
  <c r="H14" i="22"/>
  <c r="M13" i="22"/>
  <c r="H13" i="22"/>
  <c r="M12" i="22"/>
  <c r="H12" i="22"/>
  <c r="M11" i="22"/>
  <c r="H11" i="22"/>
  <c r="M10" i="22"/>
  <c r="H10" i="22"/>
  <c r="M9" i="22"/>
  <c r="H9" i="22"/>
  <c r="M8" i="22"/>
  <c r="H8" i="22"/>
  <c r="M7" i="22"/>
  <c r="H7" i="22"/>
  <c r="M21" i="21"/>
  <c r="H21" i="21"/>
  <c r="M20" i="21"/>
  <c r="H20" i="21"/>
  <c r="M19" i="21"/>
  <c r="H19" i="21"/>
  <c r="M18" i="21"/>
  <c r="H18" i="21"/>
  <c r="M17" i="21"/>
  <c r="H17" i="21"/>
  <c r="M16" i="21"/>
  <c r="H16" i="21"/>
  <c r="M15" i="21"/>
  <c r="H15" i="21"/>
  <c r="M14" i="21"/>
  <c r="H14" i="21"/>
  <c r="M13" i="21"/>
  <c r="H13" i="21"/>
  <c r="M12" i="21"/>
  <c r="H12" i="21"/>
  <c r="M11" i="21"/>
  <c r="H11" i="21"/>
  <c r="M10" i="21"/>
  <c r="H10" i="21"/>
  <c r="M9" i="21"/>
  <c r="H9" i="21"/>
  <c r="M8" i="21"/>
  <c r="H8" i="21"/>
  <c r="M7" i="21"/>
  <c r="H7" i="21"/>
  <c r="M21" i="20"/>
  <c r="H21" i="20"/>
  <c r="M20" i="20"/>
  <c r="H20" i="20"/>
  <c r="M19" i="20"/>
  <c r="H19" i="20"/>
  <c r="M18" i="20"/>
  <c r="H18" i="20"/>
  <c r="M17" i="20"/>
  <c r="H17" i="20"/>
  <c r="M16" i="20"/>
  <c r="H16" i="20"/>
  <c r="M15" i="20"/>
  <c r="H15" i="20"/>
  <c r="M14" i="20"/>
  <c r="H14" i="20"/>
  <c r="M13" i="20"/>
  <c r="H13" i="20"/>
  <c r="M12" i="20"/>
  <c r="H12" i="20"/>
  <c r="M11" i="20"/>
  <c r="H11" i="20"/>
  <c r="M10" i="20"/>
  <c r="H10" i="20"/>
  <c r="M9" i="20"/>
  <c r="H9" i="20"/>
  <c r="M8" i="20"/>
  <c r="H8" i="20"/>
  <c r="M7" i="20"/>
  <c r="H7" i="20"/>
  <c r="M21" i="19"/>
  <c r="H21" i="19"/>
  <c r="M20" i="19"/>
  <c r="H20" i="19"/>
  <c r="M19" i="19"/>
  <c r="H19" i="19"/>
  <c r="M18" i="19"/>
  <c r="H18" i="19"/>
  <c r="M17" i="19"/>
  <c r="H17" i="19"/>
  <c r="M16" i="19"/>
  <c r="H16" i="19"/>
  <c r="M15" i="19"/>
  <c r="H15" i="19"/>
  <c r="M14" i="19"/>
  <c r="H14" i="19"/>
  <c r="M13" i="19"/>
  <c r="H13" i="19"/>
  <c r="M12" i="19"/>
  <c r="H12" i="19"/>
  <c r="M11" i="19"/>
  <c r="H11" i="19"/>
  <c r="M10" i="19"/>
  <c r="H10" i="19"/>
  <c r="M9" i="19"/>
  <c r="H9" i="19"/>
  <c r="M8" i="19"/>
  <c r="H8" i="19"/>
  <c r="M7" i="19"/>
  <c r="H7" i="19"/>
  <c r="M21" i="18"/>
  <c r="H21" i="18"/>
  <c r="M20" i="18"/>
  <c r="H20" i="18"/>
  <c r="M19" i="18"/>
  <c r="H19" i="18"/>
  <c r="M18" i="18"/>
  <c r="H18" i="18"/>
  <c r="M17" i="18"/>
  <c r="H17" i="18"/>
  <c r="M16" i="18"/>
  <c r="H16" i="18"/>
  <c r="M15" i="18"/>
  <c r="H15" i="18"/>
  <c r="M14" i="18"/>
  <c r="H14" i="18"/>
  <c r="M13" i="18"/>
  <c r="H13" i="18"/>
  <c r="M12" i="18"/>
  <c r="H12" i="18"/>
  <c r="M11" i="18"/>
  <c r="H11" i="18"/>
  <c r="M10" i="18"/>
  <c r="H10" i="18"/>
  <c r="M9" i="18"/>
  <c r="H9" i="18"/>
  <c r="M8" i="18"/>
  <c r="H8" i="18"/>
  <c r="M7" i="18"/>
  <c r="H7" i="18"/>
  <c r="M21" i="17"/>
  <c r="H21" i="17"/>
  <c r="M20" i="17"/>
  <c r="H20" i="17"/>
  <c r="M19" i="17"/>
  <c r="H19" i="17"/>
  <c r="M18" i="17"/>
  <c r="H18" i="17"/>
  <c r="M17" i="17"/>
  <c r="H17" i="17"/>
  <c r="M16" i="17"/>
  <c r="H16" i="17"/>
  <c r="M15" i="17"/>
  <c r="H15" i="17"/>
  <c r="M14" i="17"/>
  <c r="H14" i="17"/>
  <c r="M13" i="17"/>
  <c r="H13" i="17"/>
  <c r="M12" i="17"/>
  <c r="H12" i="17"/>
  <c r="M11" i="17"/>
  <c r="H11" i="17"/>
  <c r="M10" i="17"/>
  <c r="H10" i="17"/>
  <c r="M9" i="17"/>
  <c r="H9" i="17"/>
  <c r="M8" i="17"/>
  <c r="H8" i="17"/>
  <c r="M7" i="17"/>
  <c r="H7" i="17"/>
  <c r="M21" i="16"/>
  <c r="H21" i="16"/>
  <c r="M20" i="16"/>
  <c r="H20" i="16"/>
  <c r="M19" i="16"/>
  <c r="H19" i="16"/>
  <c r="M18" i="16"/>
  <c r="H18" i="16"/>
  <c r="M17" i="16"/>
  <c r="H17" i="16"/>
  <c r="M16" i="16"/>
  <c r="H16" i="16"/>
  <c r="M15" i="16"/>
  <c r="H15" i="16"/>
  <c r="M14" i="16"/>
  <c r="H14" i="16"/>
  <c r="M13" i="16"/>
  <c r="H13" i="16"/>
  <c r="M12" i="16"/>
  <c r="H12" i="16"/>
  <c r="M11" i="16"/>
  <c r="H11" i="16"/>
  <c r="M10" i="16"/>
  <c r="H10" i="16"/>
  <c r="M9" i="16"/>
  <c r="H9" i="16"/>
  <c r="M8" i="16"/>
  <c r="H8" i="16"/>
  <c r="M7" i="16"/>
  <c r="H7" i="16"/>
  <c r="M21" i="15"/>
  <c r="H21" i="15"/>
  <c r="M20" i="15"/>
  <c r="H20" i="15"/>
  <c r="M19" i="15"/>
  <c r="H19" i="15"/>
  <c r="M18" i="15"/>
  <c r="H18" i="15"/>
  <c r="M17" i="15"/>
  <c r="H17" i="15"/>
  <c r="M16" i="15"/>
  <c r="H16" i="15"/>
  <c r="M15" i="15"/>
  <c r="H15" i="15"/>
  <c r="M14" i="15"/>
  <c r="H14" i="15"/>
  <c r="M13" i="15"/>
  <c r="H13" i="15"/>
  <c r="M12" i="15"/>
  <c r="H12" i="15"/>
  <c r="M11" i="15"/>
  <c r="H11" i="15"/>
  <c r="M10" i="15"/>
  <c r="H10" i="15"/>
  <c r="M9" i="15"/>
  <c r="H9" i="15"/>
  <c r="M8" i="15"/>
  <c r="H8" i="15"/>
  <c r="M7" i="15"/>
  <c r="H7" i="15"/>
  <c r="M21" i="14"/>
  <c r="H21" i="14"/>
  <c r="M20" i="14"/>
  <c r="H20" i="14"/>
  <c r="M19" i="14"/>
  <c r="H19" i="14"/>
  <c r="M18" i="14"/>
  <c r="H18" i="14"/>
  <c r="M17" i="14"/>
  <c r="H17" i="14"/>
  <c r="M16" i="14"/>
  <c r="H16" i="14"/>
  <c r="M15" i="14"/>
  <c r="H15" i="14"/>
  <c r="M14" i="14"/>
  <c r="H14" i="14"/>
  <c r="M13" i="14"/>
  <c r="H13" i="14"/>
  <c r="M12" i="14"/>
  <c r="H12" i="14"/>
  <c r="M11" i="14"/>
  <c r="H11" i="14"/>
  <c r="M10" i="14"/>
  <c r="H10" i="14"/>
  <c r="M9" i="14"/>
  <c r="H9" i="14"/>
  <c r="M8" i="14"/>
  <c r="H8" i="14"/>
  <c r="M7" i="14"/>
  <c r="H7" i="14"/>
  <c r="M21" i="13"/>
  <c r="H21" i="13"/>
  <c r="M20" i="13"/>
  <c r="H20" i="13"/>
  <c r="M19" i="13"/>
  <c r="H19" i="13"/>
  <c r="M18" i="13"/>
  <c r="H18" i="13"/>
  <c r="M17" i="13"/>
  <c r="H17" i="13"/>
  <c r="M16" i="13"/>
  <c r="H16" i="13"/>
  <c r="M15" i="13"/>
  <c r="H15" i="13"/>
  <c r="M14" i="13"/>
  <c r="H14" i="13"/>
  <c r="M13" i="13"/>
  <c r="H13" i="13"/>
  <c r="M12" i="13"/>
  <c r="H12" i="13"/>
  <c r="M11" i="13"/>
  <c r="H11" i="13"/>
  <c r="M10" i="13"/>
  <c r="H10" i="13"/>
  <c r="M9" i="13"/>
  <c r="H9" i="13"/>
  <c r="M8" i="13"/>
  <c r="H8" i="13"/>
  <c r="M7" i="13"/>
  <c r="H7" i="13"/>
  <c r="M21" i="12"/>
  <c r="H21" i="12"/>
  <c r="M20" i="12"/>
  <c r="H20" i="12"/>
  <c r="M19" i="12"/>
  <c r="H19" i="12"/>
  <c r="M18" i="12"/>
  <c r="H18" i="12"/>
  <c r="M17" i="12"/>
  <c r="H17" i="12"/>
  <c r="M16" i="12"/>
  <c r="H16" i="12"/>
  <c r="M15" i="12"/>
  <c r="H15" i="12"/>
  <c r="M14" i="12"/>
  <c r="H14" i="12"/>
  <c r="M13" i="12"/>
  <c r="H13" i="12"/>
  <c r="M12" i="12"/>
  <c r="H12" i="12"/>
  <c r="M11" i="12"/>
  <c r="H11" i="12"/>
  <c r="M10" i="12"/>
  <c r="H10" i="12"/>
  <c r="M9" i="12"/>
  <c r="H9" i="12"/>
  <c r="M8" i="12"/>
  <c r="H8" i="12"/>
  <c r="M7" i="12"/>
  <c r="H7" i="12"/>
  <c r="M21" i="11"/>
  <c r="H21" i="11"/>
  <c r="M20" i="11"/>
  <c r="H20" i="11"/>
  <c r="M19" i="11"/>
  <c r="H19" i="11"/>
  <c r="M18" i="11"/>
  <c r="H18" i="11"/>
  <c r="M17" i="11"/>
  <c r="H17" i="11"/>
  <c r="M16" i="11"/>
  <c r="H16" i="11"/>
  <c r="M15" i="11"/>
  <c r="H15" i="11"/>
  <c r="M14" i="11"/>
  <c r="H14" i="11"/>
  <c r="M13" i="11"/>
  <c r="H13" i="11"/>
  <c r="M12" i="11"/>
  <c r="H12" i="11"/>
  <c r="M11" i="11"/>
  <c r="H11" i="11"/>
  <c r="M10" i="11"/>
  <c r="H10" i="11"/>
  <c r="M9" i="11"/>
  <c r="H9" i="11"/>
  <c r="M8" i="11"/>
  <c r="H8" i="11"/>
  <c r="M7" i="11"/>
  <c r="H7" i="11"/>
  <c r="M21" i="10"/>
  <c r="H21" i="10"/>
  <c r="M20" i="10"/>
  <c r="H20" i="10"/>
  <c r="M19" i="10"/>
  <c r="H19" i="10"/>
  <c r="M18" i="10"/>
  <c r="H18" i="10"/>
  <c r="M17" i="10"/>
  <c r="H17" i="10"/>
  <c r="M16" i="10"/>
  <c r="H16" i="10"/>
  <c r="M15" i="10"/>
  <c r="H15" i="10"/>
  <c r="M14" i="10"/>
  <c r="H14" i="10"/>
  <c r="M13" i="10"/>
  <c r="H13" i="10"/>
  <c r="M12" i="10"/>
  <c r="H12" i="10"/>
  <c r="M11" i="10"/>
  <c r="H11" i="10"/>
  <c r="M10" i="10"/>
  <c r="H10" i="10"/>
  <c r="M9" i="10"/>
  <c r="H9" i="10"/>
  <c r="M8" i="10"/>
  <c r="H8" i="10"/>
  <c r="M7" i="10"/>
  <c r="H7" i="10"/>
  <c r="M21" i="9"/>
  <c r="H21" i="9"/>
  <c r="M20" i="9"/>
  <c r="H20" i="9"/>
  <c r="M19" i="9"/>
  <c r="H19" i="9"/>
  <c r="M18" i="9"/>
  <c r="H18" i="9"/>
  <c r="M17" i="9"/>
  <c r="H17" i="9"/>
  <c r="M16" i="9"/>
  <c r="H16" i="9"/>
  <c r="M15" i="9"/>
  <c r="H15" i="9"/>
  <c r="M14" i="9"/>
  <c r="H14" i="9"/>
  <c r="M13" i="9"/>
  <c r="H13" i="9"/>
  <c r="M12" i="9"/>
  <c r="H12" i="9"/>
  <c r="M11" i="9"/>
  <c r="H11" i="9"/>
  <c r="M10" i="9"/>
  <c r="H10" i="9"/>
  <c r="M9" i="9"/>
  <c r="H9" i="9"/>
  <c r="M8" i="9"/>
  <c r="H8" i="9"/>
  <c r="M7" i="9"/>
  <c r="H7" i="9"/>
  <c r="M21" i="8"/>
  <c r="H21" i="8"/>
  <c r="M20" i="8"/>
  <c r="H20" i="8"/>
  <c r="M19" i="8"/>
  <c r="H19" i="8"/>
  <c r="M18" i="8"/>
  <c r="H18" i="8"/>
  <c r="M17" i="8"/>
  <c r="H17" i="8"/>
  <c r="M16" i="8"/>
  <c r="H16" i="8"/>
  <c r="M15" i="8"/>
  <c r="H15" i="8"/>
  <c r="M14" i="8"/>
  <c r="H14" i="8"/>
  <c r="M13" i="8"/>
  <c r="H13" i="8"/>
  <c r="M12" i="8"/>
  <c r="H12" i="8"/>
  <c r="M11" i="8"/>
  <c r="H11" i="8"/>
  <c r="M10" i="8"/>
  <c r="H10" i="8"/>
  <c r="M9" i="8"/>
  <c r="H9" i="8"/>
  <c r="M8" i="8"/>
  <c r="H8" i="8"/>
  <c r="M7" i="8"/>
  <c r="H7" i="8"/>
  <c r="M21" i="7"/>
  <c r="H21" i="7"/>
  <c r="M20" i="7"/>
  <c r="H20" i="7"/>
  <c r="M19" i="7"/>
  <c r="H19" i="7"/>
  <c r="M18" i="7"/>
  <c r="H18" i="7"/>
  <c r="M17" i="7"/>
  <c r="H17" i="7"/>
  <c r="M16" i="7"/>
  <c r="H16" i="7"/>
  <c r="M15" i="7"/>
  <c r="H15" i="7"/>
  <c r="M14" i="7"/>
  <c r="H14" i="7"/>
  <c r="M13" i="7"/>
  <c r="H13" i="7"/>
  <c r="M12" i="7"/>
  <c r="H12" i="7"/>
  <c r="M11" i="7"/>
  <c r="H11" i="7"/>
  <c r="M10" i="7"/>
  <c r="H10" i="7"/>
  <c r="M9" i="7"/>
  <c r="H9" i="7"/>
  <c r="M8" i="7"/>
  <c r="H8" i="7"/>
  <c r="M7" i="7"/>
  <c r="H7" i="7"/>
  <c r="M21" i="6"/>
  <c r="H21" i="6"/>
  <c r="M20" i="6"/>
  <c r="H20" i="6"/>
  <c r="M19" i="6"/>
  <c r="H19" i="6"/>
  <c r="M18" i="6"/>
  <c r="H18" i="6"/>
  <c r="M17" i="6"/>
  <c r="H17" i="6"/>
  <c r="M16" i="6"/>
  <c r="H16" i="6"/>
  <c r="M15" i="6"/>
  <c r="H15" i="6"/>
  <c r="M14" i="6"/>
  <c r="H14" i="6"/>
  <c r="M13" i="6"/>
  <c r="H13" i="6"/>
  <c r="M12" i="6"/>
  <c r="H12" i="6"/>
  <c r="M11" i="6"/>
  <c r="H11" i="6"/>
  <c r="M10" i="6"/>
  <c r="H10" i="6"/>
  <c r="M9" i="6"/>
  <c r="H9" i="6"/>
  <c r="M8" i="6"/>
  <c r="H8" i="6"/>
  <c r="M7" i="6"/>
  <c r="H7" i="6"/>
  <c r="M21" i="5"/>
  <c r="H21" i="5"/>
  <c r="M20" i="5"/>
  <c r="H20" i="5"/>
  <c r="M19" i="5"/>
  <c r="H19" i="5"/>
  <c r="M18" i="5"/>
  <c r="H18" i="5"/>
  <c r="M17" i="5"/>
  <c r="H17" i="5"/>
  <c r="M16" i="5"/>
  <c r="H16" i="5"/>
  <c r="M15" i="5"/>
  <c r="H15" i="5"/>
  <c r="M14" i="5"/>
  <c r="H14" i="5"/>
  <c r="M13" i="5"/>
  <c r="H13" i="5"/>
  <c r="M12" i="5"/>
  <c r="H12" i="5"/>
  <c r="M11" i="5"/>
  <c r="H11" i="5"/>
  <c r="M10" i="5"/>
  <c r="H10" i="5"/>
  <c r="M9" i="5"/>
  <c r="H9" i="5"/>
  <c r="M8" i="5"/>
  <c r="H8" i="5"/>
  <c r="M7" i="5"/>
  <c r="H7" i="5"/>
  <c r="M21" i="4"/>
  <c r="H21" i="4"/>
  <c r="M20" i="4"/>
  <c r="H20" i="4"/>
  <c r="M19" i="4"/>
  <c r="H19" i="4"/>
  <c r="M18" i="4"/>
  <c r="H18" i="4"/>
  <c r="M17" i="4"/>
  <c r="H17" i="4"/>
  <c r="M16" i="4"/>
  <c r="H16" i="4"/>
  <c r="M15" i="4"/>
  <c r="H15" i="4"/>
  <c r="M14" i="4"/>
  <c r="H14" i="4"/>
  <c r="M13" i="4"/>
  <c r="H13" i="4"/>
  <c r="M12" i="4"/>
  <c r="H12" i="4"/>
  <c r="M11" i="4"/>
  <c r="H11" i="4"/>
  <c r="M10" i="4"/>
  <c r="H10" i="4"/>
  <c r="M9" i="4"/>
  <c r="H9" i="4"/>
  <c r="M8" i="4"/>
  <c r="H8" i="4"/>
  <c r="M7" i="4"/>
  <c r="H7" i="4"/>
  <c r="M21" i="3"/>
  <c r="H21" i="3"/>
  <c r="M20" i="3"/>
  <c r="H20" i="3"/>
  <c r="M19" i="3"/>
  <c r="H19" i="3"/>
  <c r="M18" i="3"/>
  <c r="H18" i="3"/>
  <c r="M17" i="3"/>
  <c r="H17" i="3"/>
  <c r="M16" i="3"/>
  <c r="H16" i="3"/>
  <c r="M15" i="3"/>
  <c r="H15" i="3"/>
  <c r="M14" i="3"/>
  <c r="H14" i="3"/>
  <c r="M13" i="3"/>
  <c r="H13" i="3"/>
  <c r="M12" i="3"/>
  <c r="H12" i="3"/>
  <c r="M11" i="3"/>
  <c r="H11" i="3"/>
  <c r="M10" i="3"/>
  <c r="H10" i="3"/>
  <c r="M9" i="3"/>
  <c r="H9" i="3"/>
  <c r="M8" i="3"/>
  <c r="H8" i="3"/>
  <c r="M7" i="3"/>
  <c r="H7" i="3"/>
  <c r="M21" i="2"/>
  <c r="H21" i="2"/>
  <c r="M20" i="2"/>
  <c r="H20" i="2"/>
  <c r="M19" i="2"/>
  <c r="H19" i="2"/>
  <c r="M18" i="2"/>
  <c r="H18" i="2"/>
  <c r="M17" i="2"/>
  <c r="H17" i="2"/>
  <c r="M16" i="2"/>
  <c r="H16" i="2"/>
  <c r="M15" i="2"/>
  <c r="M14" i="2"/>
  <c r="M13" i="2"/>
  <c r="M12" i="2"/>
  <c r="M11" i="2"/>
  <c r="M10" i="2"/>
  <c r="M9" i="2"/>
  <c r="M8" i="2"/>
  <c r="M7" i="2"/>
  <c r="A6" i="73"/>
  <c r="W15" i="16" l="1"/>
  <c r="U21" i="19"/>
  <c r="W11" i="21"/>
  <c r="V7" i="23"/>
  <c r="X18" i="23"/>
  <c r="W21" i="15"/>
  <c r="U18" i="21"/>
  <c r="V7" i="21"/>
  <c r="U18" i="23"/>
  <c r="L18" i="23" s="1"/>
  <c r="P18" i="23" s="1"/>
  <c r="W10" i="23"/>
  <c r="W10" i="25"/>
  <c r="X13" i="25"/>
  <c r="V21" i="20"/>
  <c r="W18" i="23"/>
  <c r="U10" i="23"/>
  <c r="L10" i="23" s="1"/>
  <c r="W21" i="20"/>
  <c r="V7" i="2"/>
  <c r="L21" i="18"/>
  <c r="K18" i="23"/>
  <c r="X19" i="72"/>
  <c r="L8" i="11"/>
  <c r="L17" i="14"/>
  <c r="L21" i="23"/>
  <c r="L12" i="19"/>
  <c r="W19" i="72"/>
  <c r="V20" i="72"/>
  <c r="V11" i="2"/>
  <c r="U10" i="2"/>
  <c r="V19" i="72"/>
  <c r="L19" i="72" s="1"/>
  <c r="U20" i="72"/>
  <c r="W11" i="2"/>
  <c r="V10" i="2"/>
  <c r="X20" i="72"/>
  <c r="X7" i="2"/>
  <c r="X9" i="2"/>
  <c r="W7" i="2"/>
  <c r="L20" i="24"/>
  <c r="L9" i="24"/>
  <c r="U10" i="72"/>
  <c r="V9" i="72"/>
  <c r="W11" i="72"/>
  <c r="X9" i="72"/>
  <c r="X10" i="72"/>
  <c r="U12" i="72"/>
  <c r="L12" i="72" s="1"/>
  <c r="V10" i="72"/>
  <c r="V9" i="2"/>
  <c r="U9" i="2"/>
  <c r="V19" i="9"/>
  <c r="V20" i="9"/>
  <c r="K20" i="9" s="1"/>
  <c r="V17" i="9"/>
  <c r="L17" i="9" s="1"/>
  <c r="V18" i="9"/>
  <c r="L18" i="9" s="1"/>
  <c r="V21" i="9"/>
  <c r="L21" i="9" s="1"/>
  <c r="W7" i="72"/>
  <c r="X7" i="72"/>
  <c r="V7" i="72"/>
  <c r="W7" i="9"/>
  <c r="U7" i="9"/>
  <c r="L16" i="4"/>
  <c r="K18" i="5"/>
  <c r="L11" i="20"/>
  <c r="L19" i="20"/>
  <c r="L21" i="19"/>
  <c r="L17" i="16"/>
  <c r="L21" i="11"/>
  <c r="L17" i="6"/>
  <c r="K17" i="7"/>
  <c r="K17" i="11"/>
  <c r="L18" i="3"/>
  <c r="L20" i="5"/>
  <c r="L21" i="6"/>
  <c r="K18" i="16"/>
  <c r="L18" i="16"/>
  <c r="L21" i="15"/>
  <c r="L17" i="15"/>
  <c r="L21" i="16"/>
  <c r="K17" i="16"/>
  <c r="L17" i="19"/>
  <c r="L17" i="21"/>
  <c r="L13" i="21"/>
  <c r="L13" i="24"/>
  <c r="L18" i="72"/>
  <c r="L17" i="2"/>
  <c r="K14" i="4"/>
  <c r="K18" i="4"/>
  <c r="K18" i="6"/>
  <c r="L17" i="7"/>
  <c r="K21" i="11"/>
  <c r="P21" i="11" s="1"/>
  <c r="K18" i="11"/>
  <c r="L17" i="11"/>
  <c r="K9" i="7"/>
  <c r="K18" i="19"/>
  <c r="L21" i="22"/>
  <c r="L17" i="22"/>
  <c r="L12" i="4"/>
  <c r="L17" i="5"/>
  <c r="L17" i="8"/>
  <c r="L20" i="17"/>
  <c r="L20" i="72"/>
  <c r="L19" i="3"/>
  <c r="L20" i="7"/>
  <c r="L20" i="6"/>
  <c r="K17" i="5"/>
  <c r="L13" i="5"/>
  <c r="L21" i="8"/>
  <c r="L13" i="8"/>
  <c r="L21" i="10"/>
  <c r="K17" i="10"/>
  <c r="L13" i="11"/>
  <c r="L21" i="13"/>
  <c r="L17" i="13"/>
  <c r="L21" i="14"/>
  <c r="L8" i="17"/>
  <c r="L9" i="17"/>
  <c r="L17" i="17"/>
  <c r="L18" i="17"/>
  <c r="L17" i="18"/>
  <c r="L10" i="20"/>
  <c r="L17" i="10"/>
  <c r="K18" i="7"/>
  <c r="L21" i="12"/>
  <c r="L17" i="12"/>
  <c r="L13" i="22"/>
  <c r="K14" i="7"/>
  <c r="K10" i="7"/>
  <c r="L9" i="14"/>
  <c r="L16" i="17"/>
  <c r="L21" i="17"/>
  <c r="L21" i="2"/>
  <c r="L20" i="4"/>
  <c r="L20" i="19"/>
  <c r="L20" i="25"/>
  <c r="L21" i="25"/>
  <c r="K21" i="25"/>
  <c r="P21" i="24"/>
  <c r="K13" i="21"/>
  <c r="K17" i="21"/>
  <c r="K17" i="15"/>
  <c r="K17" i="14"/>
  <c r="K17" i="13"/>
  <c r="K17" i="8"/>
  <c r="P17" i="8" s="1"/>
  <c r="L13" i="10"/>
  <c r="K13" i="10"/>
  <c r="K13" i="8"/>
  <c r="L9" i="22"/>
  <c r="L10" i="16"/>
  <c r="L9" i="10"/>
  <c r="L16" i="8"/>
  <c r="L9" i="5"/>
  <c r="L12" i="5"/>
  <c r="L10" i="4"/>
  <c r="L8" i="25"/>
  <c r="L12" i="25"/>
  <c r="L16" i="25"/>
  <c r="L10" i="24"/>
  <c r="L9" i="19"/>
  <c r="L10" i="19"/>
  <c r="L13" i="19"/>
  <c r="K14" i="19"/>
  <c r="K13" i="7"/>
  <c r="K9" i="5"/>
  <c r="L8" i="72"/>
  <c r="L14" i="16"/>
  <c r="K8" i="25"/>
  <c r="L10" i="17"/>
  <c r="K14" i="17"/>
  <c r="L13" i="15"/>
  <c r="L10" i="3"/>
  <c r="L14" i="3"/>
  <c r="L9" i="72"/>
  <c r="L16" i="72"/>
  <c r="L9" i="16"/>
  <c r="K9" i="16"/>
  <c r="L13" i="16"/>
  <c r="K13" i="16"/>
  <c r="L7" i="8"/>
  <c r="L10" i="25"/>
  <c r="L14" i="25"/>
  <c r="L9" i="11"/>
  <c r="L9" i="25"/>
  <c r="L13" i="25"/>
  <c r="L15" i="20"/>
  <c r="L9" i="15"/>
  <c r="K9" i="11"/>
  <c r="K13" i="25"/>
  <c r="L7" i="21"/>
  <c r="K13" i="11"/>
  <c r="L7" i="10"/>
  <c r="L14" i="72"/>
  <c r="K9" i="24"/>
  <c r="L12" i="24"/>
  <c r="K9" i="22"/>
  <c r="P9" i="22" s="1"/>
  <c r="K14" i="21"/>
  <c r="K10" i="20"/>
  <c r="L16" i="20"/>
  <c r="L16" i="19"/>
  <c r="L8" i="18"/>
  <c r="K10" i="16"/>
  <c r="K9" i="14"/>
  <c r="K14" i="13"/>
  <c r="L9" i="12"/>
  <c r="L13" i="12"/>
  <c r="L14" i="12"/>
  <c r="K10" i="11"/>
  <c r="V8" i="9"/>
  <c r="K8" i="9" s="1"/>
  <c r="V11" i="9"/>
  <c r="K11" i="9" s="1"/>
  <c r="V12" i="9"/>
  <c r="L12" i="9" s="1"/>
  <c r="V15" i="9"/>
  <c r="K15" i="9" s="1"/>
  <c r="V16" i="9"/>
  <c r="K16" i="9" s="1"/>
  <c r="L14" i="8"/>
  <c r="L8" i="7"/>
  <c r="L13" i="7"/>
  <c r="L16" i="7"/>
  <c r="L9" i="6"/>
  <c r="L10" i="6"/>
  <c r="L13" i="6"/>
  <c r="L14" i="6"/>
  <c r="K10" i="5"/>
  <c r="L8" i="2"/>
  <c r="K13" i="2"/>
  <c r="L11" i="72"/>
  <c r="K13" i="5"/>
  <c r="L8" i="24"/>
  <c r="K13" i="24"/>
  <c r="P13" i="24" s="1"/>
  <c r="L16" i="24"/>
  <c r="K8" i="22"/>
  <c r="K13" i="22"/>
  <c r="L10" i="21"/>
  <c r="L9" i="18"/>
  <c r="L10" i="18"/>
  <c r="L13" i="18"/>
  <c r="L14" i="18"/>
  <c r="K7" i="16"/>
  <c r="K13" i="14"/>
  <c r="P13" i="14" s="1"/>
  <c r="K15" i="12"/>
  <c r="K14" i="11"/>
  <c r="K8" i="10"/>
  <c r="X7" i="9"/>
  <c r="V9" i="9"/>
  <c r="L9" i="9" s="1"/>
  <c r="V10" i="9"/>
  <c r="L10" i="9" s="1"/>
  <c r="V13" i="9"/>
  <c r="L13" i="9" s="1"/>
  <c r="V14" i="9"/>
  <c r="L14" i="9" s="1"/>
  <c r="K10" i="8"/>
  <c r="L9" i="7"/>
  <c r="L12" i="7"/>
  <c r="L8" i="6"/>
  <c r="L12" i="6"/>
  <c r="L16" i="6"/>
  <c r="K14" i="5"/>
  <c r="L7" i="2"/>
  <c r="L15" i="72"/>
  <c r="K21" i="72"/>
  <c r="L21" i="72"/>
  <c r="L14" i="2"/>
  <c r="K14" i="2"/>
  <c r="K10" i="2"/>
  <c r="L10" i="2"/>
  <c r="L18" i="2"/>
  <c r="K18" i="2"/>
  <c r="L13" i="2"/>
  <c r="K17" i="2"/>
  <c r="L11" i="3"/>
  <c r="K11" i="3"/>
  <c r="K15" i="3"/>
  <c r="L15" i="3"/>
  <c r="L13" i="4"/>
  <c r="K13" i="4"/>
  <c r="K21" i="4"/>
  <c r="L21" i="4"/>
  <c r="L9" i="4"/>
  <c r="K9" i="4"/>
  <c r="L17" i="4"/>
  <c r="K17" i="4"/>
  <c r="L21" i="5"/>
  <c r="K21" i="5"/>
  <c r="L8" i="5"/>
  <c r="K8" i="5"/>
  <c r="K16" i="5"/>
  <c r="L16" i="5"/>
  <c r="K9" i="6"/>
  <c r="K13" i="6"/>
  <c r="K17" i="6"/>
  <c r="P17" i="6" s="1"/>
  <c r="K21" i="6"/>
  <c r="L21" i="7"/>
  <c r="K21" i="7"/>
  <c r="K14" i="8"/>
  <c r="K18" i="8"/>
  <c r="L18" i="8"/>
  <c r="K17" i="9"/>
  <c r="V7" i="9"/>
  <c r="K10" i="10"/>
  <c r="L10" i="10"/>
  <c r="K18" i="10"/>
  <c r="L18" i="10"/>
  <c r="K14" i="10"/>
  <c r="L14" i="10"/>
  <c r="K9" i="12"/>
  <c r="K13" i="12"/>
  <c r="K14" i="12"/>
  <c r="L18" i="12"/>
  <c r="K18" i="12"/>
  <c r="L10" i="12"/>
  <c r="K10" i="12"/>
  <c r="K17" i="12"/>
  <c r="K7" i="12"/>
  <c r="K10" i="13"/>
  <c r="L10" i="13"/>
  <c r="K18" i="13"/>
  <c r="L18" i="13"/>
  <c r="L14" i="14"/>
  <c r="K14" i="14"/>
  <c r="L10" i="14"/>
  <c r="K10" i="14"/>
  <c r="L18" i="14"/>
  <c r="K18" i="14"/>
  <c r="K14" i="15"/>
  <c r="L14" i="15"/>
  <c r="K10" i="15"/>
  <c r="L10" i="15"/>
  <c r="K18" i="15"/>
  <c r="L18" i="15"/>
  <c r="K13" i="15"/>
  <c r="K14" i="16"/>
  <c r="P14" i="16" s="1"/>
  <c r="P17" i="16"/>
  <c r="K9" i="17"/>
  <c r="K13" i="17"/>
  <c r="P13" i="17" s="1"/>
  <c r="K17" i="17"/>
  <c r="K21" i="17"/>
  <c r="L7" i="17"/>
  <c r="K13" i="18"/>
  <c r="K17" i="18"/>
  <c r="L18" i="18"/>
  <c r="K18" i="18"/>
  <c r="L7" i="18"/>
  <c r="K13" i="19"/>
  <c r="K21" i="19"/>
  <c r="K9" i="19"/>
  <c r="K17" i="19"/>
  <c r="L8" i="19"/>
  <c r="K8" i="19"/>
  <c r="K14" i="20"/>
  <c r="L14" i="20"/>
  <c r="K18" i="20"/>
  <c r="L18" i="20"/>
  <c r="K18" i="21"/>
  <c r="L18" i="21"/>
  <c r="L14" i="22"/>
  <c r="K14" i="22"/>
  <c r="L10" i="22"/>
  <c r="K10" i="22"/>
  <c r="L18" i="22"/>
  <c r="K18" i="22"/>
  <c r="K13" i="23"/>
  <c r="L13" i="23"/>
  <c r="K9" i="23"/>
  <c r="L9" i="23"/>
  <c r="K17" i="23"/>
  <c r="L17" i="23"/>
  <c r="K7" i="23"/>
  <c r="K10" i="23"/>
  <c r="L11" i="25"/>
  <c r="K11" i="25"/>
  <c r="K12" i="25"/>
  <c r="L19" i="25"/>
  <c r="K19" i="25"/>
  <c r="K20" i="25"/>
  <c r="P17" i="25"/>
  <c r="L15" i="25"/>
  <c r="K15" i="25"/>
  <c r="K16" i="25"/>
  <c r="K10" i="25"/>
  <c r="K14" i="25"/>
  <c r="K7" i="25"/>
  <c r="L18" i="25"/>
  <c r="P18" i="25" s="1"/>
  <c r="L19" i="24"/>
  <c r="K19" i="24"/>
  <c r="K20" i="24"/>
  <c r="P20" i="24" s="1"/>
  <c r="L7" i="24"/>
  <c r="P17" i="24"/>
  <c r="L11" i="24"/>
  <c r="K11" i="24"/>
  <c r="K8" i="24"/>
  <c r="L15" i="24"/>
  <c r="K15" i="24"/>
  <c r="K16" i="24"/>
  <c r="K10" i="24"/>
  <c r="K14" i="24"/>
  <c r="P14" i="24" s="1"/>
  <c r="K7" i="24"/>
  <c r="L18" i="24"/>
  <c r="P18" i="24" s="1"/>
  <c r="L15" i="23"/>
  <c r="K15" i="23"/>
  <c r="K19" i="23"/>
  <c r="L19" i="23"/>
  <c r="K20" i="23"/>
  <c r="L20" i="23"/>
  <c r="K21" i="23"/>
  <c r="P21" i="23" s="1"/>
  <c r="K8" i="23"/>
  <c r="L8" i="23"/>
  <c r="K16" i="23"/>
  <c r="L16" i="23"/>
  <c r="L11" i="23"/>
  <c r="K11" i="23"/>
  <c r="K12" i="23"/>
  <c r="L12" i="23"/>
  <c r="K11" i="22"/>
  <c r="L11" i="22"/>
  <c r="K15" i="22"/>
  <c r="L15" i="22"/>
  <c r="K16" i="22"/>
  <c r="L16" i="22"/>
  <c r="K17" i="22"/>
  <c r="P17" i="22" s="1"/>
  <c r="L7" i="22"/>
  <c r="K19" i="22"/>
  <c r="L19" i="22"/>
  <c r="K20" i="22"/>
  <c r="L20" i="22"/>
  <c r="K21" i="22"/>
  <c r="K12" i="22"/>
  <c r="L12" i="22"/>
  <c r="K7" i="22"/>
  <c r="L15" i="21"/>
  <c r="K15" i="21"/>
  <c r="K16" i="21"/>
  <c r="L16" i="21"/>
  <c r="L21" i="21"/>
  <c r="K21" i="21"/>
  <c r="K8" i="21"/>
  <c r="L8" i="21"/>
  <c r="K7" i="21"/>
  <c r="L19" i="21"/>
  <c r="K19" i="21"/>
  <c r="K20" i="21"/>
  <c r="L20" i="21"/>
  <c r="L11" i="21"/>
  <c r="K11" i="21"/>
  <c r="K12" i="21"/>
  <c r="L12" i="21"/>
  <c r="K16" i="20"/>
  <c r="L21" i="20"/>
  <c r="K21" i="20"/>
  <c r="L9" i="20"/>
  <c r="K9" i="20"/>
  <c r="K20" i="20"/>
  <c r="L20" i="20"/>
  <c r="L7" i="20"/>
  <c r="K8" i="20"/>
  <c r="L8" i="20"/>
  <c r="L13" i="20"/>
  <c r="K13" i="20"/>
  <c r="K12" i="20"/>
  <c r="L12" i="20"/>
  <c r="L17" i="20"/>
  <c r="K17" i="20"/>
  <c r="K11" i="20"/>
  <c r="P11" i="20" s="1"/>
  <c r="K15" i="20"/>
  <c r="K19" i="20"/>
  <c r="P19" i="20" s="1"/>
  <c r="K11" i="19"/>
  <c r="L11" i="19"/>
  <c r="K12" i="19"/>
  <c r="P12" i="19" s="1"/>
  <c r="L19" i="19"/>
  <c r="K19" i="19"/>
  <c r="K20" i="19"/>
  <c r="P20" i="19" s="1"/>
  <c r="L15" i="19"/>
  <c r="K15" i="19"/>
  <c r="K16" i="19"/>
  <c r="K10" i="19"/>
  <c r="L14" i="19"/>
  <c r="P14" i="19" s="1"/>
  <c r="L18" i="19"/>
  <c r="P18" i="19" s="1"/>
  <c r="K16" i="18"/>
  <c r="L16" i="18"/>
  <c r="L15" i="18"/>
  <c r="K15" i="18"/>
  <c r="K19" i="18"/>
  <c r="L19" i="18"/>
  <c r="K20" i="18"/>
  <c r="L20" i="18"/>
  <c r="K21" i="18"/>
  <c r="P21" i="18" s="1"/>
  <c r="K11" i="18"/>
  <c r="L11" i="18"/>
  <c r="K7" i="18"/>
  <c r="K8" i="18"/>
  <c r="K12" i="18"/>
  <c r="L12" i="18"/>
  <c r="K10" i="18"/>
  <c r="K14" i="18"/>
  <c r="L11" i="17"/>
  <c r="K11" i="17"/>
  <c r="K12" i="17"/>
  <c r="P12" i="17" s="1"/>
  <c r="L19" i="17"/>
  <c r="K19" i="17"/>
  <c r="K20" i="17"/>
  <c r="K8" i="17"/>
  <c r="K15" i="17"/>
  <c r="L15" i="17"/>
  <c r="K16" i="17"/>
  <c r="K10" i="17"/>
  <c r="K18" i="17"/>
  <c r="L14" i="17"/>
  <c r="K16" i="16"/>
  <c r="L16" i="16"/>
  <c r="L7" i="16"/>
  <c r="K19" i="16"/>
  <c r="L19" i="16"/>
  <c r="K20" i="16"/>
  <c r="L20" i="16"/>
  <c r="K21" i="16"/>
  <c r="P21" i="16" s="1"/>
  <c r="K8" i="16"/>
  <c r="L8" i="16"/>
  <c r="L15" i="16"/>
  <c r="K15" i="16"/>
  <c r="K11" i="16"/>
  <c r="L11" i="16"/>
  <c r="K12" i="16"/>
  <c r="L12" i="16"/>
  <c r="L19" i="15"/>
  <c r="K19" i="15"/>
  <c r="K20" i="15"/>
  <c r="L20" i="15"/>
  <c r="K21" i="15"/>
  <c r="P21" i="15" s="1"/>
  <c r="K16" i="15"/>
  <c r="L16" i="15"/>
  <c r="K8" i="15"/>
  <c r="L8" i="15"/>
  <c r="K9" i="15"/>
  <c r="P9" i="15" s="1"/>
  <c r="K15" i="15"/>
  <c r="L15" i="15"/>
  <c r="K11" i="15"/>
  <c r="L11" i="15"/>
  <c r="K12" i="15"/>
  <c r="L12" i="15"/>
  <c r="K7" i="15"/>
  <c r="K15" i="14"/>
  <c r="L15" i="14"/>
  <c r="K19" i="14"/>
  <c r="L19" i="14"/>
  <c r="K20" i="14"/>
  <c r="L20" i="14"/>
  <c r="K21" i="14"/>
  <c r="P21" i="14" s="1"/>
  <c r="K8" i="14"/>
  <c r="L8" i="14"/>
  <c r="K16" i="14"/>
  <c r="L16" i="14"/>
  <c r="L11" i="14"/>
  <c r="K11" i="14"/>
  <c r="K12" i="14"/>
  <c r="L12" i="14"/>
  <c r="K7" i="14"/>
  <c r="L15" i="13"/>
  <c r="K15" i="13"/>
  <c r="K19" i="13"/>
  <c r="L19" i="13"/>
  <c r="K20" i="13"/>
  <c r="L20" i="13"/>
  <c r="K21" i="13"/>
  <c r="K16" i="13"/>
  <c r="L16" i="13"/>
  <c r="K8" i="13"/>
  <c r="L8" i="13"/>
  <c r="L11" i="13"/>
  <c r="K11" i="13"/>
  <c r="K12" i="13"/>
  <c r="L12" i="13"/>
  <c r="K7" i="13"/>
  <c r="K16" i="12"/>
  <c r="L16" i="12"/>
  <c r="K19" i="12"/>
  <c r="L19" i="12"/>
  <c r="K20" i="12"/>
  <c r="L20" i="12"/>
  <c r="K21" i="12"/>
  <c r="K8" i="12"/>
  <c r="L8" i="12"/>
  <c r="L11" i="12"/>
  <c r="K11" i="12"/>
  <c r="K12" i="12"/>
  <c r="L12" i="12"/>
  <c r="L11" i="11"/>
  <c r="K11" i="11"/>
  <c r="K12" i="11"/>
  <c r="P12" i="11" s="1"/>
  <c r="L19" i="11"/>
  <c r="K19" i="11"/>
  <c r="K20" i="11"/>
  <c r="P20" i="11" s="1"/>
  <c r="L7" i="11"/>
  <c r="K8" i="11"/>
  <c r="P8" i="11" s="1"/>
  <c r="L15" i="11"/>
  <c r="K15" i="11"/>
  <c r="K16" i="11"/>
  <c r="P16" i="11" s="1"/>
  <c r="K7" i="11"/>
  <c r="L10" i="11"/>
  <c r="P10" i="11" s="1"/>
  <c r="L14" i="11"/>
  <c r="L18" i="11"/>
  <c r="P18" i="11" s="1"/>
  <c r="K16" i="10"/>
  <c r="L16" i="10"/>
  <c r="K20" i="10"/>
  <c r="L20" i="10"/>
  <c r="K21" i="10"/>
  <c r="P21" i="10" s="1"/>
  <c r="K7" i="10"/>
  <c r="P7" i="10" s="1"/>
  <c r="L8" i="10"/>
  <c r="K9" i="10"/>
  <c r="K15" i="10"/>
  <c r="L15" i="10"/>
  <c r="K19" i="10"/>
  <c r="L19" i="10"/>
  <c r="K11" i="10"/>
  <c r="L11" i="10"/>
  <c r="K12" i="10"/>
  <c r="L12" i="10"/>
  <c r="L19" i="9"/>
  <c r="K19" i="9"/>
  <c r="K21" i="9"/>
  <c r="K12" i="9"/>
  <c r="K16" i="8"/>
  <c r="K19" i="8"/>
  <c r="L19" i="8"/>
  <c r="K20" i="8"/>
  <c r="L20" i="8"/>
  <c r="K21" i="8"/>
  <c r="P21" i="8" s="1"/>
  <c r="K8" i="8"/>
  <c r="L8" i="8"/>
  <c r="K15" i="8"/>
  <c r="L15" i="8"/>
  <c r="K11" i="8"/>
  <c r="L11" i="8"/>
  <c r="K12" i="8"/>
  <c r="L12" i="8"/>
  <c r="K11" i="7"/>
  <c r="L11" i="7"/>
  <c r="K12" i="7"/>
  <c r="P12" i="7" s="1"/>
  <c r="L19" i="7"/>
  <c r="K19" i="7"/>
  <c r="K20" i="7"/>
  <c r="K8" i="7"/>
  <c r="L15" i="7"/>
  <c r="K15" i="7"/>
  <c r="K16" i="7"/>
  <c r="K7" i="7"/>
  <c r="L10" i="7"/>
  <c r="L14" i="7"/>
  <c r="P14" i="7" s="1"/>
  <c r="L18" i="7"/>
  <c r="P18" i="7" s="1"/>
  <c r="K11" i="6"/>
  <c r="L11" i="6"/>
  <c r="K12" i="6"/>
  <c r="P12" i="6" s="1"/>
  <c r="L19" i="6"/>
  <c r="K19" i="6"/>
  <c r="K20" i="6"/>
  <c r="K15" i="6"/>
  <c r="L15" i="6"/>
  <c r="K10" i="6"/>
  <c r="P10" i="6" s="1"/>
  <c r="K14" i="6"/>
  <c r="K7" i="6"/>
  <c r="L18" i="6"/>
  <c r="P18" i="6" s="1"/>
  <c r="L15" i="5"/>
  <c r="K15" i="5"/>
  <c r="K11" i="5"/>
  <c r="L11" i="5"/>
  <c r="K12" i="5"/>
  <c r="L19" i="5"/>
  <c r="K19" i="5"/>
  <c r="K20" i="5"/>
  <c r="P20" i="5" s="1"/>
  <c r="P17" i="5"/>
  <c r="K7" i="5"/>
  <c r="L14" i="5"/>
  <c r="L18" i="5"/>
  <c r="P18" i="5" s="1"/>
  <c r="L11" i="4"/>
  <c r="K11" i="4"/>
  <c r="K12" i="4"/>
  <c r="L19" i="4"/>
  <c r="K19" i="4"/>
  <c r="K20" i="4"/>
  <c r="K15" i="4"/>
  <c r="L15" i="4"/>
  <c r="K16" i="4"/>
  <c r="P16" i="4" s="1"/>
  <c r="K10" i="4"/>
  <c r="L14" i="4"/>
  <c r="P14" i="4" s="1"/>
  <c r="L18" i="4"/>
  <c r="P18" i="4" s="1"/>
  <c r="K9" i="3"/>
  <c r="L9" i="3"/>
  <c r="K10" i="3"/>
  <c r="K12" i="3"/>
  <c r="L12" i="3"/>
  <c r="L21" i="3"/>
  <c r="K21" i="3"/>
  <c r="K8" i="3"/>
  <c r="L8" i="3"/>
  <c r="K20" i="3"/>
  <c r="L20" i="3"/>
  <c r="L7" i="3"/>
  <c r="K13" i="3"/>
  <c r="L13" i="3"/>
  <c r="K14" i="3"/>
  <c r="K16" i="3"/>
  <c r="L16" i="3"/>
  <c r="L17" i="3"/>
  <c r="K17" i="3"/>
  <c r="K18" i="3"/>
  <c r="P18" i="3" s="1"/>
  <c r="K19" i="3"/>
  <c r="P19" i="3" s="1"/>
  <c r="K15" i="2"/>
  <c r="L15" i="2"/>
  <c r="L19" i="2"/>
  <c r="K19" i="2"/>
  <c r="K20" i="2"/>
  <c r="L20" i="2"/>
  <c r="K21" i="2"/>
  <c r="P21" i="2" s="1"/>
  <c r="K16" i="2"/>
  <c r="L16" i="2"/>
  <c r="K8" i="2"/>
  <c r="K11" i="2"/>
  <c r="L11" i="2"/>
  <c r="K12" i="2"/>
  <c r="L12" i="2"/>
  <c r="P18" i="2"/>
  <c r="K16" i="72"/>
  <c r="K19" i="72"/>
  <c r="K15" i="72"/>
  <c r="K11" i="72"/>
  <c r="K12" i="72"/>
  <c r="K18" i="72"/>
  <c r="K14" i="72"/>
  <c r="K8" i="72"/>
  <c r="K17" i="72"/>
  <c r="K13" i="72"/>
  <c r="K9" i="72"/>
  <c r="P13" i="18" l="1"/>
  <c r="K20" i="72"/>
  <c r="P13" i="25"/>
  <c r="P10" i="23"/>
  <c r="P21" i="19"/>
  <c r="P14" i="5"/>
  <c r="P10" i="19"/>
  <c r="P21" i="6"/>
  <c r="P16" i="17"/>
  <c r="P20" i="4"/>
  <c r="P10" i="20"/>
  <c r="P9" i="24"/>
  <c r="P17" i="14"/>
  <c r="P9" i="6"/>
  <c r="P14" i="2"/>
  <c r="L9" i="2"/>
  <c r="P9" i="2" s="1"/>
  <c r="L10" i="72"/>
  <c r="P17" i="17"/>
  <c r="K9" i="2"/>
  <c r="P13" i="22"/>
  <c r="P17" i="13"/>
  <c r="P13" i="21"/>
  <c r="K10" i="72"/>
  <c r="K18" i="9"/>
  <c r="P18" i="9" s="1"/>
  <c r="K7" i="72"/>
  <c r="L20" i="9"/>
  <c r="P20" i="9" s="1"/>
  <c r="L15" i="9"/>
  <c r="P15" i="9" s="1"/>
  <c r="L11" i="9"/>
  <c r="P11" i="9" s="1"/>
  <c r="K9" i="9"/>
  <c r="P9" i="9" s="1"/>
  <c r="K7" i="9"/>
  <c r="P17" i="7"/>
  <c r="P18" i="12"/>
  <c r="P14" i="17"/>
  <c r="K13" i="9"/>
  <c r="P13" i="9" s="1"/>
  <c r="P17" i="4"/>
  <c r="P18" i="16"/>
  <c r="P12" i="4"/>
  <c r="P10" i="4"/>
  <c r="P20" i="6"/>
  <c r="P21" i="9"/>
  <c r="P9" i="17"/>
  <c r="P18" i="15"/>
  <c r="P13" i="12"/>
  <c r="P21" i="13"/>
  <c r="P14" i="25"/>
  <c r="P9" i="7"/>
  <c r="P9" i="10"/>
  <c r="P17" i="11"/>
  <c r="P10" i="18"/>
  <c r="P20" i="25"/>
  <c r="P13" i="19"/>
  <c r="P17" i="12"/>
  <c r="P15" i="20"/>
  <c r="K14" i="9"/>
  <c r="P14" i="9" s="1"/>
  <c r="P17" i="2"/>
  <c r="P9" i="14"/>
  <c r="P13" i="8"/>
  <c r="P17" i="10"/>
  <c r="P19" i="5"/>
  <c r="P14" i="11"/>
  <c r="P18" i="17"/>
  <c r="P14" i="18"/>
  <c r="P16" i="19"/>
  <c r="P21" i="22"/>
  <c r="P12" i="25"/>
  <c r="P21" i="17"/>
  <c r="P14" i="15"/>
  <c r="P13" i="6"/>
  <c r="P13" i="5"/>
  <c r="P17" i="19"/>
  <c r="P9" i="16"/>
  <c r="P9" i="5"/>
  <c r="P18" i="18"/>
  <c r="P10" i="16"/>
  <c r="P13" i="10"/>
  <c r="P17" i="21"/>
  <c r="P17" i="15"/>
  <c r="P14" i="3"/>
  <c r="P12" i="5"/>
  <c r="P10" i="7"/>
  <c r="P16" i="24"/>
  <c r="P16" i="25"/>
  <c r="P17" i="18"/>
  <c r="P17" i="9"/>
  <c r="P16" i="7"/>
  <c r="P20" i="7"/>
  <c r="P10" i="17"/>
  <c r="P8" i="17"/>
  <c r="P9" i="12"/>
  <c r="P14" i="6"/>
  <c r="P21" i="12"/>
  <c r="P20" i="17"/>
  <c r="P10" i="25"/>
  <c r="P13" i="11"/>
  <c r="P18" i="13"/>
  <c r="P10" i="14"/>
  <c r="P18" i="22"/>
  <c r="P14" i="22"/>
  <c r="P18" i="21"/>
  <c r="P18" i="14"/>
  <c r="P9" i="4"/>
  <c r="P21" i="25"/>
  <c r="P18" i="8"/>
  <c r="P8" i="25"/>
  <c r="P19" i="24"/>
  <c r="P10" i="24"/>
  <c r="P8" i="24"/>
  <c r="P19" i="23"/>
  <c r="P11" i="23"/>
  <c r="P20" i="21"/>
  <c r="P17" i="20"/>
  <c r="P21" i="20"/>
  <c r="P9" i="19"/>
  <c r="P15" i="19"/>
  <c r="P10" i="15"/>
  <c r="P14" i="14"/>
  <c r="P20" i="12"/>
  <c r="P10" i="12"/>
  <c r="P19" i="12"/>
  <c r="P9" i="11"/>
  <c r="P18" i="10"/>
  <c r="P14" i="10"/>
  <c r="P8" i="7"/>
  <c r="P19" i="7"/>
  <c r="P13" i="7"/>
  <c r="P10" i="3"/>
  <c r="P13" i="2"/>
  <c r="K7" i="8"/>
  <c r="P7" i="8" s="1"/>
  <c r="K8" i="4"/>
  <c r="L8" i="4"/>
  <c r="L13" i="13"/>
  <c r="K13" i="13"/>
  <c r="P12" i="12"/>
  <c r="L15" i="12"/>
  <c r="P15" i="12" s="1"/>
  <c r="P15" i="13"/>
  <c r="K7" i="17"/>
  <c r="P7" i="17" s="1"/>
  <c r="P13" i="20"/>
  <c r="L8" i="22"/>
  <c r="P8" i="22" s="1"/>
  <c r="P8" i="19"/>
  <c r="P14" i="8"/>
  <c r="P8" i="5"/>
  <c r="P11" i="3"/>
  <c r="P13" i="16"/>
  <c r="P13" i="15"/>
  <c r="L9" i="8"/>
  <c r="K9" i="8"/>
  <c r="K8" i="6"/>
  <c r="P8" i="6" s="1"/>
  <c r="P11" i="15"/>
  <c r="P16" i="15"/>
  <c r="P16" i="23"/>
  <c r="P10" i="22"/>
  <c r="K10" i="21"/>
  <c r="P10" i="21" s="1"/>
  <c r="L14" i="13"/>
  <c r="P14" i="13" s="1"/>
  <c r="K7" i="20"/>
  <c r="P7" i="20" s="1"/>
  <c r="L9" i="21"/>
  <c r="K9" i="21"/>
  <c r="P7" i="21"/>
  <c r="P14" i="12"/>
  <c r="L10" i="5"/>
  <c r="P10" i="5" s="1"/>
  <c r="K16" i="6"/>
  <c r="P16" i="6" s="1"/>
  <c r="P12" i="9"/>
  <c r="L14" i="21"/>
  <c r="P14" i="21" s="1"/>
  <c r="K10" i="9"/>
  <c r="P10" i="9" s="1"/>
  <c r="P10" i="2"/>
  <c r="L9" i="13"/>
  <c r="K9" i="13"/>
  <c r="K14" i="23"/>
  <c r="L14" i="23"/>
  <c r="P7" i="16"/>
  <c r="K9" i="18"/>
  <c r="P9" i="18" s="1"/>
  <c r="P7" i="22"/>
  <c r="P15" i="25"/>
  <c r="L10" i="8"/>
  <c r="P10" i="8" s="1"/>
  <c r="K7" i="3"/>
  <c r="P7" i="3" s="1"/>
  <c r="K9" i="25"/>
  <c r="P9" i="25" s="1"/>
  <c r="K7" i="2"/>
  <c r="P7" i="2" s="1"/>
  <c r="L8" i="9"/>
  <c r="P8" i="9" s="1"/>
  <c r="L16" i="9"/>
  <c r="P16" i="9" s="1"/>
  <c r="K12" i="24"/>
  <c r="P12" i="24" s="1"/>
  <c r="K7" i="19"/>
  <c r="P10" i="13"/>
  <c r="K7" i="4"/>
  <c r="P13" i="4"/>
  <c r="P15" i="3"/>
  <c r="P17" i="3"/>
  <c r="P21" i="3"/>
  <c r="P21" i="4"/>
  <c r="P21" i="5"/>
  <c r="P16" i="5"/>
  <c r="P21" i="7"/>
  <c r="P8" i="8"/>
  <c r="P20" i="8"/>
  <c r="P11" i="8"/>
  <c r="P19" i="9"/>
  <c r="P10" i="10"/>
  <c r="P16" i="12"/>
  <c r="P16" i="13"/>
  <c r="P11" i="13"/>
  <c r="P8" i="13"/>
  <c r="P8" i="14"/>
  <c r="P11" i="14"/>
  <c r="P19" i="15"/>
  <c r="P11" i="16"/>
  <c r="P15" i="16"/>
  <c r="P15" i="17"/>
  <c r="P12" i="18"/>
  <c r="P7" i="18"/>
  <c r="P15" i="18"/>
  <c r="P11" i="19"/>
  <c r="P18" i="20"/>
  <c r="P20" i="20"/>
  <c r="P14" i="20"/>
  <c r="P11" i="21"/>
  <c r="P8" i="21"/>
  <c r="P20" i="22"/>
  <c r="P9" i="23"/>
  <c r="P8" i="23"/>
  <c r="P17" i="23"/>
  <c r="P13" i="23"/>
  <c r="P15" i="24"/>
  <c r="P11" i="24"/>
  <c r="L7" i="25"/>
  <c r="P7" i="25" s="1"/>
  <c r="P11" i="25"/>
  <c r="P19" i="25"/>
  <c r="P7" i="24"/>
  <c r="P20" i="23"/>
  <c r="L7" i="23"/>
  <c r="P7" i="23" s="1"/>
  <c r="P15" i="23"/>
  <c r="P12" i="23"/>
  <c r="P12" i="22"/>
  <c r="P15" i="22"/>
  <c r="P19" i="22"/>
  <c r="P16" i="22"/>
  <c r="P11" i="22"/>
  <c r="P12" i="21"/>
  <c r="P21" i="21"/>
  <c r="P16" i="21"/>
  <c r="P15" i="21"/>
  <c r="P19" i="21"/>
  <c r="P12" i="20"/>
  <c r="P8" i="20"/>
  <c r="P9" i="20"/>
  <c r="P16" i="20"/>
  <c r="P19" i="19"/>
  <c r="L7" i="19"/>
  <c r="P20" i="18"/>
  <c r="P11" i="18"/>
  <c r="P8" i="18"/>
  <c r="P19" i="18"/>
  <c r="P16" i="18"/>
  <c r="P19" i="17"/>
  <c r="P11" i="17"/>
  <c r="P8" i="16"/>
  <c r="P20" i="16"/>
  <c r="P12" i="16"/>
  <c r="P19" i="16"/>
  <c r="P16" i="16"/>
  <c r="P12" i="15"/>
  <c r="P15" i="15"/>
  <c r="P8" i="15"/>
  <c r="P20" i="15"/>
  <c r="L7" i="15"/>
  <c r="P7" i="15" s="1"/>
  <c r="P20" i="14"/>
  <c r="L7" i="14"/>
  <c r="P7" i="14" s="1"/>
  <c r="P12" i="14"/>
  <c r="P16" i="14"/>
  <c r="P19" i="14"/>
  <c r="P15" i="14"/>
  <c r="P20" i="13"/>
  <c r="L7" i="13"/>
  <c r="P7" i="13" s="1"/>
  <c r="P12" i="13"/>
  <c r="P19" i="13"/>
  <c r="P11" i="12"/>
  <c r="P8" i="12"/>
  <c r="L7" i="12"/>
  <c r="P7" i="12" s="1"/>
  <c r="P7" i="11"/>
  <c r="P15" i="11"/>
  <c r="P19" i="11"/>
  <c r="P11" i="11"/>
  <c r="P8" i="10"/>
  <c r="P20" i="10"/>
  <c r="P11" i="10"/>
  <c r="P15" i="10"/>
  <c r="P12" i="10"/>
  <c r="P19" i="10"/>
  <c r="P16" i="10"/>
  <c r="L7" i="9"/>
  <c r="P12" i="8"/>
  <c r="P15" i="8"/>
  <c r="P19" i="8"/>
  <c r="P16" i="8"/>
  <c r="P11" i="7"/>
  <c r="P15" i="7"/>
  <c r="L7" i="7"/>
  <c r="P7" i="7" s="1"/>
  <c r="P15" i="6"/>
  <c r="L7" i="6"/>
  <c r="P7" i="6" s="1"/>
  <c r="P19" i="6"/>
  <c r="P11" i="6"/>
  <c r="L7" i="5"/>
  <c r="P7" i="5" s="1"/>
  <c r="P11" i="5"/>
  <c r="P15" i="5"/>
  <c r="P15" i="4"/>
  <c r="P19" i="4"/>
  <c r="P11" i="4"/>
  <c r="L7" i="4"/>
  <c r="P20" i="3"/>
  <c r="P13" i="3"/>
  <c r="P9" i="3"/>
  <c r="P16" i="3"/>
  <c r="P8" i="3"/>
  <c r="P12" i="3"/>
  <c r="P12" i="2"/>
  <c r="P20" i="2"/>
  <c r="P16" i="2"/>
  <c r="P19" i="2"/>
  <c r="P11" i="2"/>
  <c r="P8" i="2"/>
  <c r="P15" i="2"/>
  <c r="B51" i="73"/>
  <c r="C51" i="73"/>
  <c r="D51" i="73"/>
  <c r="B52" i="73"/>
  <c r="C52" i="73"/>
  <c r="D52" i="73"/>
  <c r="B53" i="73"/>
  <c r="C53" i="73"/>
  <c r="D53" i="73"/>
  <c r="B54" i="73"/>
  <c r="C54" i="73"/>
  <c r="D54" i="73"/>
  <c r="B55" i="73"/>
  <c r="C55" i="73"/>
  <c r="D55" i="73"/>
  <c r="B56" i="73"/>
  <c r="C56" i="73"/>
  <c r="D56" i="73"/>
  <c r="B57" i="73"/>
  <c r="C57" i="73"/>
  <c r="D57" i="73"/>
  <c r="B58" i="73"/>
  <c r="C58" i="73"/>
  <c r="D58" i="73"/>
  <c r="B59" i="73"/>
  <c r="C59" i="73"/>
  <c r="D59" i="73"/>
  <c r="B60" i="73"/>
  <c r="C60" i="73"/>
  <c r="D60" i="73"/>
  <c r="B61" i="73"/>
  <c r="C61" i="73"/>
  <c r="D61" i="73"/>
  <c r="B62" i="73"/>
  <c r="C62" i="73"/>
  <c r="D62" i="73"/>
  <c r="B63" i="73"/>
  <c r="C63" i="73"/>
  <c r="D63" i="73"/>
  <c r="B64" i="73"/>
  <c r="C64" i="73"/>
  <c r="D64" i="73"/>
  <c r="B65" i="73"/>
  <c r="C65" i="73"/>
  <c r="D65" i="73"/>
  <c r="B367" i="73"/>
  <c r="C367" i="73"/>
  <c r="D367" i="73"/>
  <c r="B368" i="73"/>
  <c r="C368" i="73"/>
  <c r="D368" i="73"/>
  <c r="B369" i="73"/>
  <c r="C369" i="73"/>
  <c r="D369" i="73"/>
  <c r="B370" i="73"/>
  <c r="C370" i="73"/>
  <c r="D370" i="73"/>
  <c r="B371" i="73"/>
  <c r="C371" i="73"/>
  <c r="D371" i="73"/>
  <c r="B372" i="73"/>
  <c r="C372" i="73"/>
  <c r="D372" i="73"/>
  <c r="B373" i="73"/>
  <c r="C373" i="73"/>
  <c r="D373" i="73"/>
  <c r="B374" i="73"/>
  <c r="C374" i="73"/>
  <c r="D374" i="73"/>
  <c r="B375" i="73"/>
  <c r="C375" i="73"/>
  <c r="D375" i="73"/>
  <c r="B376" i="73"/>
  <c r="C376" i="73"/>
  <c r="D376" i="73"/>
  <c r="B377" i="73"/>
  <c r="C377" i="73"/>
  <c r="D377" i="73"/>
  <c r="B378" i="73"/>
  <c r="C378" i="73"/>
  <c r="D378" i="73"/>
  <c r="B379" i="73"/>
  <c r="C379" i="73"/>
  <c r="D379" i="73"/>
  <c r="B380" i="73"/>
  <c r="C380" i="73"/>
  <c r="D380" i="73"/>
  <c r="D366" i="73"/>
  <c r="C366" i="73"/>
  <c r="B366" i="73"/>
  <c r="B352" i="73"/>
  <c r="C352" i="73"/>
  <c r="D352" i="73"/>
  <c r="B353" i="73"/>
  <c r="C353" i="73"/>
  <c r="D353" i="73"/>
  <c r="B354" i="73"/>
  <c r="C354" i="73"/>
  <c r="D354" i="73"/>
  <c r="B355" i="73"/>
  <c r="C355" i="73"/>
  <c r="D355" i="73"/>
  <c r="B356" i="73"/>
  <c r="C356" i="73"/>
  <c r="D356" i="73"/>
  <c r="B357" i="73"/>
  <c r="C357" i="73"/>
  <c r="D357" i="73"/>
  <c r="B358" i="73"/>
  <c r="C358" i="73"/>
  <c r="D358" i="73"/>
  <c r="B359" i="73"/>
  <c r="C359" i="73"/>
  <c r="D359" i="73"/>
  <c r="B360" i="73"/>
  <c r="C360" i="73"/>
  <c r="D360" i="73"/>
  <c r="B361" i="73"/>
  <c r="C361" i="73"/>
  <c r="D361" i="73"/>
  <c r="B362" i="73"/>
  <c r="C362" i="73"/>
  <c r="D362" i="73"/>
  <c r="B363" i="73"/>
  <c r="C363" i="73"/>
  <c r="D363" i="73"/>
  <c r="B364" i="73"/>
  <c r="C364" i="73"/>
  <c r="D364" i="73"/>
  <c r="B365" i="73"/>
  <c r="C365" i="73"/>
  <c r="D365" i="73"/>
  <c r="D351" i="73"/>
  <c r="C351" i="73"/>
  <c r="B351" i="73"/>
  <c r="B337" i="73"/>
  <c r="C337" i="73"/>
  <c r="D337" i="73"/>
  <c r="B338" i="73"/>
  <c r="C338" i="73"/>
  <c r="D338" i="73"/>
  <c r="B339" i="73"/>
  <c r="C339" i="73"/>
  <c r="D339" i="73"/>
  <c r="B340" i="73"/>
  <c r="C340" i="73"/>
  <c r="D340" i="73"/>
  <c r="B341" i="73"/>
  <c r="C341" i="73"/>
  <c r="D341" i="73"/>
  <c r="B342" i="73"/>
  <c r="C342" i="73"/>
  <c r="D342" i="73"/>
  <c r="B343" i="73"/>
  <c r="C343" i="73"/>
  <c r="D343" i="73"/>
  <c r="B344" i="73"/>
  <c r="C344" i="73"/>
  <c r="D344" i="73"/>
  <c r="B345" i="73"/>
  <c r="C345" i="73"/>
  <c r="D345" i="73"/>
  <c r="B346" i="73"/>
  <c r="C346" i="73"/>
  <c r="D346" i="73"/>
  <c r="B347" i="73"/>
  <c r="C347" i="73"/>
  <c r="D347" i="73"/>
  <c r="B348" i="73"/>
  <c r="C348" i="73"/>
  <c r="D348" i="73"/>
  <c r="B349" i="73"/>
  <c r="C349" i="73"/>
  <c r="D349" i="73"/>
  <c r="B350" i="73"/>
  <c r="C350" i="73"/>
  <c r="D350" i="73"/>
  <c r="D336" i="73"/>
  <c r="C336" i="73"/>
  <c r="B336" i="73"/>
  <c r="B322" i="73"/>
  <c r="C322" i="73"/>
  <c r="D322" i="73"/>
  <c r="B323" i="73"/>
  <c r="C323" i="73"/>
  <c r="D323" i="73"/>
  <c r="B324" i="73"/>
  <c r="C324" i="73"/>
  <c r="D324" i="73"/>
  <c r="B325" i="73"/>
  <c r="C325" i="73"/>
  <c r="D325" i="73"/>
  <c r="B326" i="73"/>
  <c r="C326" i="73"/>
  <c r="D326" i="73"/>
  <c r="B327" i="73"/>
  <c r="C327" i="73"/>
  <c r="D327" i="73"/>
  <c r="B328" i="73"/>
  <c r="C328" i="73"/>
  <c r="D328" i="73"/>
  <c r="B329" i="73"/>
  <c r="C329" i="73"/>
  <c r="D329" i="73"/>
  <c r="B330" i="73"/>
  <c r="C330" i="73"/>
  <c r="D330" i="73"/>
  <c r="B331" i="73"/>
  <c r="C331" i="73"/>
  <c r="D331" i="73"/>
  <c r="B332" i="73"/>
  <c r="C332" i="73"/>
  <c r="D332" i="73"/>
  <c r="B333" i="73"/>
  <c r="C333" i="73"/>
  <c r="D333" i="73"/>
  <c r="B334" i="73"/>
  <c r="C334" i="73"/>
  <c r="D334" i="73"/>
  <c r="B335" i="73"/>
  <c r="C335" i="73"/>
  <c r="D335" i="73"/>
  <c r="D321" i="73"/>
  <c r="C321" i="73"/>
  <c r="B321" i="73"/>
  <c r="B307" i="73"/>
  <c r="C307" i="73"/>
  <c r="D307" i="73"/>
  <c r="B308" i="73"/>
  <c r="C308" i="73"/>
  <c r="D308" i="73"/>
  <c r="B309" i="73"/>
  <c r="C309" i="73"/>
  <c r="D309" i="73"/>
  <c r="B310" i="73"/>
  <c r="C310" i="73"/>
  <c r="D310" i="73"/>
  <c r="B311" i="73"/>
  <c r="C311" i="73"/>
  <c r="D311" i="73"/>
  <c r="B312" i="73"/>
  <c r="C312" i="73"/>
  <c r="D312" i="73"/>
  <c r="B313" i="73"/>
  <c r="C313" i="73"/>
  <c r="D313" i="73"/>
  <c r="B314" i="73"/>
  <c r="C314" i="73"/>
  <c r="D314" i="73"/>
  <c r="B315" i="73"/>
  <c r="C315" i="73"/>
  <c r="D315" i="73"/>
  <c r="B316" i="73"/>
  <c r="C316" i="73"/>
  <c r="D316" i="73"/>
  <c r="B317" i="73"/>
  <c r="C317" i="73"/>
  <c r="D317" i="73"/>
  <c r="B318" i="73"/>
  <c r="C318" i="73"/>
  <c r="D318" i="73"/>
  <c r="B319" i="73"/>
  <c r="C319" i="73"/>
  <c r="D319" i="73"/>
  <c r="B320" i="73"/>
  <c r="C320" i="73"/>
  <c r="D320" i="73"/>
  <c r="D306" i="73"/>
  <c r="C306" i="73"/>
  <c r="B306" i="73"/>
  <c r="B292" i="73"/>
  <c r="C292" i="73"/>
  <c r="D292" i="73"/>
  <c r="B293" i="73"/>
  <c r="C293" i="73"/>
  <c r="D293" i="73"/>
  <c r="B294" i="73"/>
  <c r="C294" i="73"/>
  <c r="D294" i="73"/>
  <c r="B295" i="73"/>
  <c r="C295" i="73"/>
  <c r="D295" i="73"/>
  <c r="B296" i="73"/>
  <c r="C296" i="73"/>
  <c r="D296" i="73"/>
  <c r="B297" i="73"/>
  <c r="C297" i="73"/>
  <c r="D297" i="73"/>
  <c r="B298" i="73"/>
  <c r="C298" i="73"/>
  <c r="D298" i="73"/>
  <c r="B299" i="73"/>
  <c r="C299" i="73"/>
  <c r="D299" i="73"/>
  <c r="B300" i="73"/>
  <c r="C300" i="73"/>
  <c r="D300" i="73"/>
  <c r="B301" i="73"/>
  <c r="C301" i="73"/>
  <c r="D301" i="73"/>
  <c r="B302" i="73"/>
  <c r="C302" i="73"/>
  <c r="D302" i="73"/>
  <c r="B303" i="73"/>
  <c r="C303" i="73"/>
  <c r="D303" i="73"/>
  <c r="B304" i="73"/>
  <c r="C304" i="73"/>
  <c r="D304" i="73"/>
  <c r="B305" i="73"/>
  <c r="C305" i="73"/>
  <c r="D305" i="73"/>
  <c r="D291" i="73"/>
  <c r="C291" i="73"/>
  <c r="B291" i="73"/>
  <c r="B277" i="73"/>
  <c r="C277" i="73"/>
  <c r="D277" i="73"/>
  <c r="B278" i="73"/>
  <c r="C278" i="73"/>
  <c r="D278" i="73"/>
  <c r="B279" i="73"/>
  <c r="C279" i="73"/>
  <c r="D279" i="73"/>
  <c r="B280" i="73"/>
  <c r="C280" i="73"/>
  <c r="D280" i="73"/>
  <c r="B281" i="73"/>
  <c r="C281" i="73"/>
  <c r="D281" i="73"/>
  <c r="B282" i="73"/>
  <c r="C282" i="73"/>
  <c r="D282" i="73"/>
  <c r="B283" i="73"/>
  <c r="C283" i="73"/>
  <c r="D283" i="73"/>
  <c r="B284" i="73"/>
  <c r="C284" i="73"/>
  <c r="D284" i="73"/>
  <c r="B285" i="73"/>
  <c r="C285" i="73"/>
  <c r="D285" i="73"/>
  <c r="B286" i="73"/>
  <c r="C286" i="73"/>
  <c r="D286" i="73"/>
  <c r="B287" i="73"/>
  <c r="C287" i="73"/>
  <c r="D287" i="73"/>
  <c r="B288" i="73"/>
  <c r="C288" i="73"/>
  <c r="D288" i="73"/>
  <c r="B289" i="73"/>
  <c r="C289" i="73"/>
  <c r="D289" i="73"/>
  <c r="B290" i="73"/>
  <c r="C290" i="73"/>
  <c r="D290" i="73"/>
  <c r="D276" i="73"/>
  <c r="C276" i="73"/>
  <c r="B276" i="73"/>
  <c r="B262" i="73"/>
  <c r="C262" i="73"/>
  <c r="D262" i="73"/>
  <c r="B263" i="73"/>
  <c r="C263" i="73"/>
  <c r="D263" i="73"/>
  <c r="B264" i="73"/>
  <c r="C264" i="73"/>
  <c r="D264" i="73"/>
  <c r="B265" i="73"/>
  <c r="C265" i="73"/>
  <c r="D265" i="73"/>
  <c r="B266" i="73"/>
  <c r="C266" i="73"/>
  <c r="D266" i="73"/>
  <c r="B267" i="73"/>
  <c r="C267" i="73"/>
  <c r="D267" i="73"/>
  <c r="B268" i="73"/>
  <c r="C268" i="73"/>
  <c r="D268" i="73"/>
  <c r="B269" i="73"/>
  <c r="C269" i="73"/>
  <c r="D269" i="73"/>
  <c r="B270" i="73"/>
  <c r="C270" i="73"/>
  <c r="D270" i="73"/>
  <c r="B271" i="73"/>
  <c r="C271" i="73"/>
  <c r="D271" i="73"/>
  <c r="B272" i="73"/>
  <c r="C272" i="73"/>
  <c r="D272" i="73"/>
  <c r="B273" i="73"/>
  <c r="C273" i="73"/>
  <c r="D273" i="73"/>
  <c r="B274" i="73"/>
  <c r="C274" i="73"/>
  <c r="D274" i="73"/>
  <c r="B275" i="73"/>
  <c r="C275" i="73"/>
  <c r="D275" i="73"/>
  <c r="D261" i="73"/>
  <c r="C261" i="73"/>
  <c r="B261" i="73"/>
  <c r="B247" i="73"/>
  <c r="C247" i="73"/>
  <c r="D247" i="73"/>
  <c r="B248" i="73"/>
  <c r="C248" i="73"/>
  <c r="D248" i="73"/>
  <c r="B249" i="73"/>
  <c r="C249" i="73"/>
  <c r="D249" i="73"/>
  <c r="B250" i="73"/>
  <c r="C250" i="73"/>
  <c r="D250" i="73"/>
  <c r="B251" i="73"/>
  <c r="C251" i="73"/>
  <c r="D251" i="73"/>
  <c r="B252" i="73"/>
  <c r="C252" i="73"/>
  <c r="D252" i="73"/>
  <c r="B253" i="73"/>
  <c r="C253" i="73"/>
  <c r="D253" i="73"/>
  <c r="B254" i="73"/>
  <c r="C254" i="73"/>
  <c r="D254" i="73"/>
  <c r="B255" i="73"/>
  <c r="C255" i="73"/>
  <c r="D255" i="73"/>
  <c r="B256" i="73"/>
  <c r="C256" i="73"/>
  <c r="D256" i="73"/>
  <c r="B257" i="73"/>
  <c r="C257" i="73"/>
  <c r="D257" i="73"/>
  <c r="B258" i="73"/>
  <c r="C258" i="73"/>
  <c r="D258" i="73"/>
  <c r="B259" i="73"/>
  <c r="C259" i="73"/>
  <c r="D259" i="73"/>
  <c r="B260" i="73"/>
  <c r="C260" i="73"/>
  <c r="D260" i="73"/>
  <c r="D246" i="73"/>
  <c r="C246" i="73"/>
  <c r="B246" i="73"/>
  <c r="B232" i="73"/>
  <c r="C232" i="73"/>
  <c r="D232" i="73"/>
  <c r="B233" i="73"/>
  <c r="C233" i="73"/>
  <c r="D233" i="73"/>
  <c r="B234" i="73"/>
  <c r="C234" i="73"/>
  <c r="D234" i="73"/>
  <c r="B235" i="73"/>
  <c r="C235" i="73"/>
  <c r="D235" i="73"/>
  <c r="B236" i="73"/>
  <c r="C236" i="73"/>
  <c r="D236" i="73"/>
  <c r="B237" i="73"/>
  <c r="C237" i="73"/>
  <c r="D237" i="73"/>
  <c r="B238" i="73"/>
  <c r="C238" i="73"/>
  <c r="D238" i="73"/>
  <c r="B239" i="73"/>
  <c r="C239" i="73"/>
  <c r="D239" i="73"/>
  <c r="B240" i="73"/>
  <c r="C240" i="73"/>
  <c r="D240" i="73"/>
  <c r="B241" i="73"/>
  <c r="C241" i="73"/>
  <c r="D241" i="73"/>
  <c r="B242" i="73"/>
  <c r="C242" i="73"/>
  <c r="D242" i="73"/>
  <c r="B243" i="73"/>
  <c r="C243" i="73"/>
  <c r="D243" i="73"/>
  <c r="B244" i="73"/>
  <c r="C244" i="73"/>
  <c r="D244" i="73"/>
  <c r="B245" i="73"/>
  <c r="C245" i="73"/>
  <c r="D245" i="73"/>
  <c r="D231" i="73"/>
  <c r="C231" i="73"/>
  <c r="B231" i="73"/>
  <c r="B217" i="73"/>
  <c r="C217" i="73"/>
  <c r="D217" i="73"/>
  <c r="B218" i="73"/>
  <c r="C218" i="73"/>
  <c r="D218" i="73"/>
  <c r="B219" i="73"/>
  <c r="C219" i="73"/>
  <c r="D219" i="73"/>
  <c r="B220" i="73"/>
  <c r="C220" i="73"/>
  <c r="D220" i="73"/>
  <c r="B221" i="73"/>
  <c r="C221" i="73"/>
  <c r="D221" i="73"/>
  <c r="B222" i="73"/>
  <c r="C222" i="73"/>
  <c r="D222" i="73"/>
  <c r="B223" i="73"/>
  <c r="C223" i="73"/>
  <c r="D223" i="73"/>
  <c r="B224" i="73"/>
  <c r="C224" i="73"/>
  <c r="D224" i="73"/>
  <c r="B225" i="73"/>
  <c r="C225" i="73"/>
  <c r="D225" i="73"/>
  <c r="B226" i="73"/>
  <c r="C226" i="73"/>
  <c r="D226" i="73"/>
  <c r="B227" i="73"/>
  <c r="C227" i="73"/>
  <c r="D227" i="73"/>
  <c r="B228" i="73"/>
  <c r="C228" i="73"/>
  <c r="D228" i="73"/>
  <c r="B229" i="73"/>
  <c r="C229" i="73"/>
  <c r="D229" i="73"/>
  <c r="B230" i="73"/>
  <c r="C230" i="73"/>
  <c r="D230" i="73"/>
  <c r="D216" i="73"/>
  <c r="C216" i="73"/>
  <c r="B216" i="73"/>
  <c r="B202" i="73"/>
  <c r="C202" i="73"/>
  <c r="D202" i="73"/>
  <c r="B203" i="73"/>
  <c r="C203" i="73"/>
  <c r="D203" i="73"/>
  <c r="B204" i="73"/>
  <c r="C204" i="73"/>
  <c r="D204" i="73"/>
  <c r="B205" i="73"/>
  <c r="C205" i="73"/>
  <c r="D205" i="73"/>
  <c r="B206" i="73"/>
  <c r="C206" i="73"/>
  <c r="D206" i="73"/>
  <c r="B207" i="73"/>
  <c r="C207" i="73"/>
  <c r="D207" i="73"/>
  <c r="B208" i="73"/>
  <c r="C208" i="73"/>
  <c r="D208" i="73"/>
  <c r="B209" i="73"/>
  <c r="C209" i="73"/>
  <c r="D209" i="73"/>
  <c r="B210" i="73"/>
  <c r="C210" i="73"/>
  <c r="D210" i="73"/>
  <c r="B211" i="73"/>
  <c r="C211" i="73"/>
  <c r="D211" i="73"/>
  <c r="B212" i="73"/>
  <c r="C212" i="73"/>
  <c r="D212" i="73"/>
  <c r="B213" i="73"/>
  <c r="C213" i="73"/>
  <c r="D213" i="73"/>
  <c r="B214" i="73"/>
  <c r="C214" i="73"/>
  <c r="D214" i="73"/>
  <c r="B215" i="73"/>
  <c r="C215" i="73"/>
  <c r="D215" i="73"/>
  <c r="D201" i="73"/>
  <c r="C201" i="73"/>
  <c r="B201" i="73"/>
  <c r="B187" i="73"/>
  <c r="C187" i="73"/>
  <c r="D187" i="73"/>
  <c r="B188" i="73"/>
  <c r="C188" i="73"/>
  <c r="D188" i="73"/>
  <c r="B189" i="73"/>
  <c r="C189" i="73"/>
  <c r="D189" i="73"/>
  <c r="B190" i="73"/>
  <c r="C190" i="73"/>
  <c r="D190" i="73"/>
  <c r="B191" i="73"/>
  <c r="C191" i="73"/>
  <c r="D191" i="73"/>
  <c r="B192" i="73"/>
  <c r="C192" i="73"/>
  <c r="D192" i="73"/>
  <c r="B193" i="73"/>
  <c r="C193" i="73"/>
  <c r="D193" i="73"/>
  <c r="B194" i="73"/>
  <c r="C194" i="73"/>
  <c r="D194" i="73"/>
  <c r="B195" i="73"/>
  <c r="C195" i="73"/>
  <c r="D195" i="73"/>
  <c r="B196" i="73"/>
  <c r="C196" i="73"/>
  <c r="D196" i="73"/>
  <c r="B197" i="73"/>
  <c r="C197" i="73"/>
  <c r="D197" i="73"/>
  <c r="B198" i="73"/>
  <c r="C198" i="73"/>
  <c r="D198" i="73"/>
  <c r="B199" i="73"/>
  <c r="C199" i="73"/>
  <c r="D199" i="73"/>
  <c r="B200" i="73"/>
  <c r="C200" i="73"/>
  <c r="D200" i="73"/>
  <c r="D186" i="73"/>
  <c r="C186" i="73"/>
  <c r="B186" i="73"/>
  <c r="B172" i="73"/>
  <c r="C172" i="73"/>
  <c r="D172" i="73"/>
  <c r="B173" i="73"/>
  <c r="C173" i="73"/>
  <c r="D173" i="73"/>
  <c r="B174" i="73"/>
  <c r="C174" i="73"/>
  <c r="D174" i="73"/>
  <c r="B175" i="73"/>
  <c r="C175" i="73"/>
  <c r="D175" i="73"/>
  <c r="B176" i="73"/>
  <c r="C176" i="73"/>
  <c r="D176" i="73"/>
  <c r="B177" i="73"/>
  <c r="C177" i="73"/>
  <c r="D177" i="73"/>
  <c r="B178" i="73"/>
  <c r="C178" i="73"/>
  <c r="D178" i="73"/>
  <c r="B179" i="73"/>
  <c r="C179" i="73"/>
  <c r="D179" i="73"/>
  <c r="B180" i="73"/>
  <c r="C180" i="73"/>
  <c r="D180" i="73"/>
  <c r="B181" i="73"/>
  <c r="C181" i="73"/>
  <c r="D181" i="73"/>
  <c r="B182" i="73"/>
  <c r="C182" i="73"/>
  <c r="D182" i="73"/>
  <c r="B183" i="73"/>
  <c r="C183" i="73"/>
  <c r="D183" i="73"/>
  <c r="B184" i="73"/>
  <c r="C184" i="73"/>
  <c r="D184" i="73"/>
  <c r="B185" i="73"/>
  <c r="C185" i="73"/>
  <c r="D185" i="73"/>
  <c r="D171" i="73"/>
  <c r="C171" i="73"/>
  <c r="B171" i="73"/>
  <c r="B157" i="73"/>
  <c r="C157" i="73"/>
  <c r="D157" i="73"/>
  <c r="B158" i="73"/>
  <c r="C158" i="73"/>
  <c r="D158" i="73"/>
  <c r="B159" i="73"/>
  <c r="C159" i="73"/>
  <c r="D159" i="73"/>
  <c r="B160" i="73"/>
  <c r="C160" i="73"/>
  <c r="D160" i="73"/>
  <c r="B161" i="73"/>
  <c r="C161" i="73"/>
  <c r="D161" i="73"/>
  <c r="B162" i="73"/>
  <c r="C162" i="73"/>
  <c r="D162" i="73"/>
  <c r="B163" i="73"/>
  <c r="C163" i="73"/>
  <c r="D163" i="73"/>
  <c r="B164" i="73"/>
  <c r="C164" i="73"/>
  <c r="D164" i="73"/>
  <c r="B165" i="73"/>
  <c r="C165" i="73"/>
  <c r="D165" i="73"/>
  <c r="B166" i="73"/>
  <c r="C166" i="73"/>
  <c r="D166" i="73"/>
  <c r="B167" i="73"/>
  <c r="C167" i="73"/>
  <c r="D167" i="73"/>
  <c r="B168" i="73"/>
  <c r="C168" i="73"/>
  <c r="D168" i="73"/>
  <c r="B169" i="73"/>
  <c r="C169" i="73"/>
  <c r="D169" i="73"/>
  <c r="B170" i="73"/>
  <c r="C170" i="73"/>
  <c r="D170" i="73"/>
  <c r="D156" i="73"/>
  <c r="C156" i="73"/>
  <c r="B156" i="73"/>
  <c r="B142" i="73"/>
  <c r="C142" i="73"/>
  <c r="D142" i="73"/>
  <c r="B143" i="73"/>
  <c r="C143" i="73"/>
  <c r="D143" i="73"/>
  <c r="B144" i="73"/>
  <c r="C144" i="73"/>
  <c r="D144" i="73"/>
  <c r="B145" i="73"/>
  <c r="C145" i="73"/>
  <c r="D145" i="73"/>
  <c r="B146" i="73"/>
  <c r="C146" i="73"/>
  <c r="D146" i="73"/>
  <c r="B147" i="73"/>
  <c r="C147" i="73"/>
  <c r="D147" i="73"/>
  <c r="B148" i="73"/>
  <c r="C148" i="73"/>
  <c r="D148" i="73"/>
  <c r="B149" i="73"/>
  <c r="C149" i="73"/>
  <c r="D149" i="73"/>
  <c r="B150" i="73"/>
  <c r="C150" i="73"/>
  <c r="D150" i="73"/>
  <c r="B151" i="73"/>
  <c r="C151" i="73"/>
  <c r="D151" i="73"/>
  <c r="B152" i="73"/>
  <c r="C152" i="73"/>
  <c r="D152" i="73"/>
  <c r="B153" i="73"/>
  <c r="C153" i="73"/>
  <c r="D153" i="73"/>
  <c r="B154" i="73"/>
  <c r="C154" i="73"/>
  <c r="D154" i="73"/>
  <c r="B155" i="73"/>
  <c r="C155" i="73"/>
  <c r="D155" i="73"/>
  <c r="D141" i="73"/>
  <c r="C141" i="73"/>
  <c r="B141" i="73"/>
  <c r="B127" i="73"/>
  <c r="C127" i="73"/>
  <c r="D127" i="73"/>
  <c r="B128" i="73"/>
  <c r="C128" i="73"/>
  <c r="D128" i="73"/>
  <c r="B129" i="73"/>
  <c r="C129" i="73"/>
  <c r="D129" i="73"/>
  <c r="B130" i="73"/>
  <c r="C130" i="73"/>
  <c r="D130" i="73"/>
  <c r="B131" i="73"/>
  <c r="C131" i="73"/>
  <c r="D131" i="73"/>
  <c r="B132" i="73"/>
  <c r="C132" i="73"/>
  <c r="D132" i="73"/>
  <c r="B133" i="73"/>
  <c r="C133" i="73"/>
  <c r="D133" i="73"/>
  <c r="B134" i="73"/>
  <c r="C134" i="73"/>
  <c r="D134" i="73"/>
  <c r="B135" i="73"/>
  <c r="C135" i="73"/>
  <c r="D135" i="73"/>
  <c r="B136" i="73"/>
  <c r="C136" i="73"/>
  <c r="D136" i="73"/>
  <c r="B137" i="73"/>
  <c r="C137" i="73"/>
  <c r="D137" i="73"/>
  <c r="B138" i="73"/>
  <c r="C138" i="73"/>
  <c r="D138" i="73"/>
  <c r="B139" i="73"/>
  <c r="C139" i="73"/>
  <c r="D139" i="73"/>
  <c r="B140" i="73"/>
  <c r="C140" i="73"/>
  <c r="D140" i="73"/>
  <c r="D126" i="73"/>
  <c r="C126" i="73"/>
  <c r="B126" i="73"/>
  <c r="B112" i="73"/>
  <c r="C112" i="73"/>
  <c r="D112" i="73"/>
  <c r="B113" i="73"/>
  <c r="C113" i="73"/>
  <c r="D113" i="73"/>
  <c r="B114" i="73"/>
  <c r="C114" i="73"/>
  <c r="D114" i="73"/>
  <c r="B115" i="73"/>
  <c r="C115" i="73"/>
  <c r="D115" i="73"/>
  <c r="B116" i="73"/>
  <c r="C116" i="73"/>
  <c r="D116" i="73"/>
  <c r="B117" i="73"/>
  <c r="C117" i="73"/>
  <c r="D117" i="73"/>
  <c r="B118" i="73"/>
  <c r="C118" i="73"/>
  <c r="D118" i="73"/>
  <c r="B119" i="73"/>
  <c r="C119" i="73"/>
  <c r="D119" i="73"/>
  <c r="B120" i="73"/>
  <c r="C120" i="73"/>
  <c r="D120" i="73"/>
  <c r="B121" i="73"/>
  <c r="C121" i="73"/>
  <c r="D121" i="73"/>
  <c r="B122" i="73"/>
  <c r="C122" i="73"/>
  <c r="D122" i="73"/>
  <c r="B123" i="73"/>
  <c r="C123" i="73"/>
  <c r="D123" i="73"/>
  <c r="B124" i="73"/>
  <c r="C124" i="73"/>
  <c r="D124" i="73"/>
  <c r="B125" i="73"/>
  <c r="C125" i="73"/>
  <c r="D125" i="73"/>
  <c r="D111" i="73"/>
  <c r="C111" i="73"/>
  <c r="B111" i="73"/>
  <c r="B97" i="73"/>
  <c r="C97" i="73"/>
  <c r="D97" i="73"/>
  <c r="B98" i="73"/>
  <c r="C98" i="73"/>
  <c r="D98" i="73"/>
  <c r="B99" i="73"/>
  <c r="C99" i="73"/>
  <c r="D99" i="73"/>
  <c r="B100" i="73"/>
  <c r="C100" i="73"/>
  <c r="D100" i="73"/>
  <c r="B101" i="73"/>
  <c r="C101" i="73"/>
  <c r="D101" i="73"/>
  <c r="B102" i="73"/>
  <c r="C102" i="73"/>
  <c r="D102" i="73"/>
  <c r="B103" i="73"/>
  <c r="C103" i="73"/>
  <c r="D103" i="73"/>
  <c r="B104" i="73"/>
  <c r="C104" i="73"/>
  <c r="D104" i="73"/>
  <c r="B105" i="73"/>
  <c r="C105" i="73"/>
  <c r="D105" i="73"/>
  <c r="B106" i="73"/>
  <c r="C106" i="73"/>
  <c r="D106" i="73"/>
  <c r="B107" i="73"/>
  <c r="C107" i="73"/>
  <c r="D107" i="73"/>
  <c r="B108" i="73"/>
  <c r="C108" i="73"/>
  <c r="D108" i="73"/>
  <c r="B109" i="73"/>
  <c r="C109" i="73"/>
  <c r="D109" i="73"/>
  <c r="B110" i="73"/>
  <c r="C110" i="73"/>
  <c r="D110" i="73"/>
  <c r="D96" i="73"/>
  <c r="C96" i="73"/>
  <c r="B96" i="73"/>
  <c r="B82" i="73"/>
  <c r="C82" i="73"/>
  <c r="D82" i="73"/>
  <c r="B83" i="73"/>
  <c r="C83" i="73"/>
  <c r="D83" i="73"/>
  <c r="B84" i="73"/>
  <c r="C84" i="73"/>
  <c r="D84" i="73"/>
  <c r="B85" i="73"/>
  <c r="C85" i="73"/>
  <c r="D85" i="73"/>
  <c r="B86" i="73"/>
  <c r="C86" i="73"/>
  <c r="D86" i="73"/>
  <c r="B87" i="73"/>
  <c r="C87" i="73"/>
  <c r="D87" i="73"/>
  <c r="B88" i="73"/>
  <c r="C88" i="73"/>
  <c r="D88" i="73"/>
  <c r="B89" i="73"/>
  <c r="C89" i="73"/>
  <c r="D89" i="73"/>
  <c r="B90" i="73"/>
  <c r="C90" i="73"/>
  <c r="D90" i="73"/>
  <c r="B91" i="73"/>
  <c r="C91" i="73"/>
  <c r="D91" i="73"/>
  <c r="B92" i="73"/>
  <c r="C92" i="73"/>
  <c r="D92" i="73"/>
  <c r="B93" i="73"/>
  <c r="C93" i="73"/>
  <c r="D93" i="73"/>
  <c r="B94" i="73"/>
  <c r="C94" i="73"/>
  <c r="D94" i="73"/>
  <c r="B95" i="73"/>
  <c r="C95" i="73"/>
  <c r="D95" i="73"/>
  <c r="D81" i="73"/>
  <c r="C81" i="73"/>
  <c r="B81" i="73"/>
  <c r="B67" i="73"/>
  <c r="C67" i="73"/>
  <c r="D67" i="73"/>
  <c r="B68" i="73"/>
  <c r="C68" i="73"/>
  <c r="D68" i="73"/>
  <c r="B69" i="73"/>
  <c r="C69" i="73"/>
  <c r="D69" i="73"/>
  <c r="B70" i="73"/>
  <c r="C70" i="73"/>
  <c r="D70" i="73"/>
  <c r="B71" i="73"/>
  <c r="C71" i="73"/>
  <c r="D71" i="73"/>
  <c r="B72" i="73"/>
  <c r="C72" i="73"/>
  <c r="D72" i="73"/>
  <c r="B73" i="73"/>
  <c r="C73" i="73"/>
  <c r="D73" i="73"/>
  <c r="B74" i="73"/>
  <c r="C74" i="73"/>
  <c r="D74" i="73"/>
  <c r="B75" i="73"/>
  <c r="C75" i="73"/>
  <c r="D75" i="73"/>
  <c r="B76" i="73"/>
  <c r="C76" i="73"/>
  <c r="D76" i="73"/>
  <c r="B77" i="73"/>
  <c r="C77" i="73"/>
  <c r="D77" i="73"/>
  <c r="B78" i="73"/>
  <c r="C78" i="73"/>
  <c r="D78" i="73"/>
  <c r="B79" i="73"/>
  <c r="C79" i="73"/>
  <c r="D79" i="73"/>
  <c r="B80" i="73"/>
  <c r="C80" i="73"/>
  <c r="D80" i="73"/>
  <c r="D66" i="73"/>
  <c r="C66" i="73"/>
  <c r="B66" i="73"/>
  <c r="B37" i="73"/>
  <c r="C37" i="73"/>
  <c r="D37" i="73"/>
  <c r="B38" i="73"/>
  <c r="C38" i="73"/>
  <c r="D38" i="73"/>
  <c r="B39" i="73"/>
  <c r="C39" i="73"/>
  <c r="D39" i="73"/>
  <c r="B40" i="73"/>
  <c r="C40" i="73"/>
  <c r="D40" i="73"/>
  <c r="B41" i="73"/>
  <c r="C41" i="73"/>
  <c r="D41" i="73"/>
  <c r="B42" i="73"/>
  <c r="C42" i="73"/>
  <c r="D42" i="73"/>
  <c r="B43" i="73"/>
  <c r="C43" i="73"/>
  <c r="D43" i="73"/>
  <c r="B44" i="73"/>
  <c r="C44" i="73"/>
  <c r="D44" i="73"/>
  <c r="B45" i="73"/>
  <c r="C45" i="73"/>
  <c r="D45" i="73"/>
  <c r="B46" i="73"/>
  <c r="C46" i="73"/>
  <c r="D46" i="73"/>
  <c r="B47" i="73"/>
  <c r="C47" i="73"/>
  <c r="D47" i="73"/>
  <c r="B48" i="73"/>
  <c r="C48" i="73"/>
  <c r="D48" i="73"/>
  <c r="B49" i="73"/>
  <c r="C49" i="73"/>
  <c r="D49" i="73"/>
  <c r="B50" i="73"/>
  <c r="C50" i="73"/>
  <c r="D50" i="73"/>
  <c r="D36" i="73"/>
  <c r="C36" i="73"/>
  <c r="B36" i="73"/>
  <c r="D21" i="73"/>
  <c r="C21" i="73"/>
  <c r="B21" i="73"/>
  <c r="C7" i="73"/>
  <c r="D7" i="73"/>
  <c r="C8" i="73"/>
  <c r="D8" i="73"/>
  <c r="C9" i="73"/>
  <c r="D9" i="73"/>
  <c r="A4" i="2"/>
  <c r="A22" i="73" s="1"/>
  <c r="B22" i="73"/>
  <c r="C22" i="73"/>
  <c r="D22" i="73"/>
  <c r="B23" i="73"/>
  <c r="C23" i="73"/>
  <c r="D23" i="73"/>
  <c r="B24" i="73"/>
  <c r="C24" i="73"/>
  <c r="D24" i="73"/>
  <c r="B25" i="73"/>
  <c r="C25" i="73"/>
  <c r="D25" i="73"/>
  <c r="B26" i="73"/>
  <c r="C26" i="73"/>
  <c r="D26" i="73"/>
  <c r="B27" i="73"/>
  <c r="C27" i="73"/>
  <c r="D27" i="73"/>
  <c r="B28" i="73"/>
  <c r="C28" i="73"/>
  <c r="D28" i="73"/>
  <c r="B29" i="73"/>
  <c r="C29" i="73"/>
  <c r="D29" i="73"/>
  <c r="B30" i="73"/>
  <c r="C30" i="73"/>
  <c r="D30" i="73"/>
  <c r="B31" i="73"/>
  <c r="C31" i="73"/>
  <c r="D31" i="73"/>
  <c r="B32" i="73"/>
  <c r="C32" i="73"/>
  <c r="D32" i="73"/>
  <c r="B33" i="73"/>
  <c r="C33" i="73"/>
  <c r="D33" i="73"/>
  <c r="B34" i="73"/>
  <c r="C34" i="73"/>
  <c r="D34" i="73"/>
  <c r="B35" i="73"/>
  <c r="C35" i="73"/>
  <c r="D35" i="73"/>
  <c r="B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4" i="74"/>
  <c r="F5" i="76" s="1"/>
  <c r="C16" i="73"/>
  <c r="P7" i="72" l="1"/>
  <c r="K22" i="72"/>
  <c r="A35" i="73"/>
  <c r="A34" i="73"/>
  <c r="A33" i="73"/>
  <c r="A32" i="73"/>
  <c r="A31" i="73"/>
  <c r="A30" i="73"/>
  <c r="A29" i="73"/>
  <c r="A28" i="73"/>
  <c r="A27" i="73"/>
  <c r="A26" i="73"/>
  <c r="A25" i="73"/>
  <c r="A24" i="73"/>
  <c r="A23" i="73"/>
  <c r="A4" i="3"/>
  <c r="A41" i="73" s="1"/>
  <c r="A21" i="73"/>
  <c r="A5" i="76"/>
  <c r="B5" i="76"/>
  <c r="P7" i="9"/>
  <c r="Z4" i="74"/>
  <c r="Y4" i="74"/>
  <c r="P7" i="19"/>
  <c r="P9" i="13"/>
  <c r="P9" i="21"/>
  <c r="P7" i="4"/>
  <c r="P8" i="4"/>
  <c r="P9" i="8"/>
  <c r="P13" i="13"/>
  <c r="P14" i="23"/>
  <c r="A43" i="73"/>
  <c r="A47" i="73"/>
  <c r="A49" i="73"/>
  <c r="A5" i="74"/>
  <c r="A4" i="4"/>
  <c r="A46" i="73"/>
  <c r="A42" i="73"/>
  <c r="A37" i="73"/>
  <c r="A39" i="73"/>
  <c r="D10" i="73"/>
  <c r="D11" i="73"/>
  <c r="D12" i="73"/>
  <c r="D13" i="73"/>
  <c r="D14" i="73"/>
  <c r="D15" i="73"/>
  <c r="D16" i="73"/>
  <c r="D17" i="73"/>
  <c r="D18" i="73"/>
  <c r="D19" i="73"/>
  <c r="D20" i="73"/>
  <c r="B20" i="73"/>
  <c r="C20" i="73"/>
  <c r="C6" i="73"/>
  <c r="C10" i="73"/>
  <c r="C11" i="73"/>
  <c r="C12" i="73"/>
  <c r="C13" i="73"/>
  <c r="C14" i="73"/>
  <c r="C15" i="73"/>
  <c r="B7" i="73"/>
  <c r="B8" i="73"/>
  <c r="B9" i="73"/>
  <c r="B10" i="73"/>
  <c r="B11" i="73"/>
  <c r="B12" i="73"/>
  <c r="B13" i="73"/>
  <c r="B14" i="73"/>
  <c r="B15" i="73"/>
  <c r="B16" i="73"/>
  <c r="B17" i="73"/>
  <c r="C17" i="73"/>
  <c r="B18" i="73"/>
  <c r="C18" i="73"/>
  <c r="B19" i="73"/>
  <c r="C19" i="73"/>
  <c r="D6" i="73"/>
  <c r="A45" i="73" l="1"/>
  <c r="A44" i="73"/>
  <c r="A48" i="73"/>
  <c r="A50" i="73"/>
  <c r="A40" i="73"/>
  <c r="A36" i="73"/>
  <c r="A38" i="73"/>
  <c r="F6" i="76"/>
  <c r="Y5" i="74"/>
  <c r="Z5" i="74"/>
  <c r="A6" i="74"/>
  <c r="A4" i="5"/>
  <c r="A51" i="73"/>
  <c r="A53" i="73"/>
  <c r="A60" i="73"/>
  <c r="A62" i="73"/>
  <c r="A55" i="73"/>
  <c r="A57" i="73"/>
  <c r="A64" i="73"/>
  <c r="A54" i="73"/>
  <c r="A56" i="73"/>
  <c r="A65" i="73"/>
  <c r="A52" i="73"/>
  <c r="A61" i="73"/>
  <c r="A63" i="73"/>
  <c r="A59" i="73"/>
  <c r="A58" i="73"/>
  <c r="B6" i="76" l="1"/>
  <c r="A6" i="76"/>
  <c r="F7" i="76"/>
  <c r="Y6" i="74"/>
  <c r="Z6" i="74"/>
  <c r="A7" i="74"/>
  <c r="A4" i="6"/>
  <c r="A68" i="73"/>
  <c r="A70" i="73"/>
  <c r="A73" i="73"/>
  <c r="A76" i="73"/>
  <c r="A78" i="73"/>
  <c r="A75" i="73"/>
  <c r="A66" i="73"/>
  <c r="A67" i="73"/>
  <c r="A74" i="73"/>
  <c r="A80" i="73"/>
  <c r="A72" i="73"/>
  <c r="A77" i="73"/>
  <c r="A79" i="73"/>
  <c r="A69" i="73"/>
  <c r="A71" i="73"/>
  <c r="K4" i="74"/>
  <c r="L4" i="74"/>
  <c r="E380" i="73"/>
  <c r="P1" i="25"/>
  <c r="E1" i="25"/>
  <c r="F365" i="73"/>
  <c r="E365" i="73"/>
  <c r="F364" i="73"/>
  <c r="F363" i="73"/>
  <c r="F362" i="73"/>
  <c r="F361" i="73"/>
  <c r="F360" i="73"/>
  <c r="F359" i="73"/>
  <c r="F358" i="73"/>
  <c r="F357" i="73"/>
  <c r="F356" i="73"/>
  <c r="F355" i="73"/>
  <c r="F354" i="73"/>
  <c r="F353" i="73"/>
  <c r="F352" i="73"/>
  <c r="F351" i="73"/>
  <c r="P1" i="24"/>
  <c r="E1" i="24"/>
  <c r="E350" i="73"/>
  <c r="P1" i="23"/>
  <c r="E1" i="23"/>
  <c r="P1" i="22"/>
  <c r="E1" i="22"/>
  <c r="E318" i="73"/>
  <c r="E317" i="73"/>
  <c r="E316" i="73"/>
  <c r="E315" i="73"/>
  <c r="E314" i="73"/>
  <c r="E313" i="73"/>
  <c r="E312" i="73"/>
  <c r="E311" i="73"/>
  <c r="E310" i="73"/>
  <c r="E309" i="73"/>
  <c r="E308" i="73"/>
  <c r="E307" i="73"/>
  <c r="E306" i="73"/>
  <c r="P1" i="21"/>
  <c r="E1" i="21"/>
  <c r="P1" i="20"/>
  <c r="E1" i="20"/>
  <c r="P1" i="19"/>
  <c r="E1" i="19"/>
  <c r="P1" i="18"/>
  <c r="E1" i="18"/>
  <c r="E260" i="73"/>
  <c r="E259" i="73"/>
  <c r="E258" i="73"/>
  <c r="E257" i="73"/>
  <c r="E256" i="73"/>
  <c r="E255" i="73"/>
  <c r="E254" i="73"/>
  <c r="E253" i="73"/>
  <c r="E252" i="73"/>
  <c r="E251" i="73"/>
  <c r="E250" i="73"/>
  <c r="E249" i="73"/>
  <c r="E248" i="73"/>
  <c r="E247" i="73"/>
  <c r="E246" i="73"/>
  <c r="P1" i="17"/>
  <c r="E1" i="17"/>
  <c r="F245" i="73"/>
  <c r="F244" i="73"/>
  <c r="F243" i="73"/>
  <c r="F242" i="73"/>
  <c r="F241" i="73"/>
  <c r="F240" i="73"/>
  <c r="F239" i="73"/>
  <c r="F238" i="73"/>
  <c r="F237" i="73"/>
  <c r="F236" i="73"/>
  <c r="F235" i="73"/>
  <c r="F234" i="73"/>
  <c r="F233" i="73"/>
  <c r="F232" i="73"/>
  <c r="F231" i="73"/>
  <c r="P1" i="16"/>
  <c r="E1" i="16"/>
  <c r="P1" i="15"/>
  <c r="E1" i="15"/>
  <c r="F215" i="73"/>
  <c r="F214" i="73"/>
  <c r="F213" i="73"/>
  <c r="F212" i="73"/>
  <c r="F211" i="73"/>
  <c r="F210" i="73"/>
  <c r="F209" i="73"/>
  <c r="F208" i="73"/>
  <c r="F207" i="73"/>
  <c r="F206" i="73"/>
  <c r="F205" i="73"/>
  <c r="F204" i="73"/>
  <c r="F203" i="73"/>
  <c r="F202" i="73"/>
  <c r="F201" i="73"/>
  <c r="P1" i="14"/>
  <c r="E1" i="14"/>
  <c r="E200" i="73"/>
  <c r="E199" i="73"/>
  <c r="E198" i="73"/>
  <c r="E197" i="73"/>
  <c r="E196" i="73"/>
  <c r="E195" i="73"/>
  <c r="E194" i="73"/>
  <c r="E193" i="73"/>
  <c r="E192" i="73"/>
  <c r="E191" i="73"/>
  <c r="E190" i="73"/>
  <c r="E189" i="73"/>
  <c r="E188" i="73"/>
  <c r="E187" i="73"/>
  <c r="E186" i="73"/>
  <c r="P1" i="13"/>
  <c r="E1" i="13"/>
  <c r="F185" i="73"/>
  <c r="F184" i="73"/>
  <c r="F183" i="73"/>
  <c r="F182" i="73"/>
  <c r="F181" i="73"/>
  <c r="F180" i="73"/>
  <c r="F179" i="73"/>
  <c r="F178" i="73"/>
  <c r="F177" i="73"/>
  <c r="F176" i="73"/>
  <c r="F175" i="73"/>
  <c r="F174" i="73"/>
  <c r="F173" i="73"/>
  <c r="F172" i="73"/>
  <c r="F171" i="73"/>
  <c r="P1" i="12"/>
  <c r="E1" i="12"/>
  <c r="E162" i="73"/>
  <c r="E161" i="73"/>
  <c r="E160" i="73"/>
  <c r="E159" i="73"/>
  <c r="E158" i="73"/>
  <c r="E157" i="73"/>
  <c r="E156" i="73"/>
  <c r="P1" i="11"/>
  <c r="E1" i="11"/>
  <c r="A7" i="76" l="1"/>
  <c r="B7" i="76"/>
  <c r="F8" i="76"/>
  <c r="Y7" i="74"/>
  <c r="Z7" i="74"/>
  <c r="F163" i="73"/>
  <c r="F165" i="73"/>
  <c r="F168" i="73"/>
  <c r="F216" i="73"/>
  <c r="F218" i="73"/>
  <c r="F221" i="73"/>
  <c r="F225" i="73"/>
  <c r="F228" i="73"/>
  <c r="F276" i="73"/>
  <c r="F278" i="73"/>
  <c r="F281" i="73"/>
  <c r="F284" i="73"/>
  <c r="F286" i="73"/>
  <c r="F289" i="73"/>
  <c r="F319" i="73"/>
  <c r="F167" i="73"/>
  <c r="F170" i="73"/>
  <c r="F220" i="73"/>
  <c r="F223" i="73"/>
  <c r="F226" i="73"/>
  <c r="F229" i="73"/>
  <c r="F279" i="73"/>
  <c r="F283" i="73"/>
  <c r="F287" i="73"/>
  <c r="F290" i="73"/>
  <c r="F320" i="73"/>
  <c r="F336" i="73"/>
  <c r="F337" i="73"/>
  <c r="F338" i="73"/>
  <c r="F339" i="73"/>
  <c r="F340" i="73"/>
  <c r="F341" i="73"/>
  <c r="F342" i="73"/>
  <c r="F343" i="73"/>
  <c r="F344" i="73"/>
  <c r="F345" i="73"/>
  <c r="F346" i="73"/>
  <c r="F347" i="73"/>
  <c r="F348" i="73"/>
  <c r="F349" i="73"/>
  <c r="F350" i="73"/>
  <c r="G350" i="73" s="1"/>
  <c r="F366" i="73"/>
  <c r="F367" i="73"/>
  <c r="F368" i="73"/>
  <c r="F369" i="73"/>
  <c r="F370" i="73"/>
  <c r="F371" i="73"/>
  <c r="F372" i="73"/>
  <c r="F373" i="73"/>
  <c r="F374" i="73"/>
  <c r="F375" i="73"/>
  <c r="F376" i="73"/>
  <c r="F377" i="73"/>
  <c r="F378" i="73"/>
  <c r="F379" i="73"/>
  <c r="F380" i="73"/>
  <c r="G380" i="73" s="1"/>
  <c r="E184" i="73"/>
  <c r="G184" i="73" s="1"/>
  <c r="E185" i="73"/>
  <c r="G185" i="73" s="1"/>
  <c r="E214" i="73"/>
  <c r="G214" i="73" s="1"/>
  <c r="E215" i="73"/>
  <c r="G215" i="73" s="1"/>
  <c r="E261" i="73"/>
  <c r="E262" i="73"/>
  <c r="E263" i="73"/>
  <c r="E264" i="73"/>
  <c r="E265" i="73"/>
  <c r="E266" i="73"/>
  <c r="E267" i="73"/>
  <c r="E268" i="73"/>
  <c r="E269" i="73"/>
  <c r="E270" i="73"/>
  <c r="E271" i="73"/>
  <c r="E272" i="73"/>
  <c r="E273" i="73"/>
  <c r="E274" i="73"/>
  <c r="E275" i="73"/>
  <c r="E291" i="73"/>
  <c r="E292" i="73"/>
  <c r="E293" i="73"/>
  <c r="E294" i="73"/>
  <c r="E295" i="73"/>
  <c r="E296" i="73"/>
  <c r="E297" i="73"/>
  <c r="E298" i="73"/>
  <c r="E299" i="73"/>
  <c r="E300" i="73"/>
  <c r="E301" i="73"/>
  <c r="E302" i="73"/>
  <c r="E303" i="73"/>
  <c r="E304" i="73"/>
  <c r="E305" i="73"/>
  <c r="E321" i="73"/>
  <c r="E322" i="73"/>
  <c r="E323" i="73"/>
  <c r="E324" i="73"/>
  <c r="E325" i="73"/>
  <c r="E326" i="73"/>
  <c r="E327" i="73"/>
  <c r="E328" i="73"/>
  <c r="E329" i="73"/>
  <c r="E330" i="73"/>
  <c r="E331" i="73"/>
  <c r="E332" i="73"/>
  <c r="E333" i="73"/>
  <c r="E334" i="73"/>
  <c r="E335" i="73"/>
  <c r="G365" i="73"/>
  <c r="F164" i="73"/>
  <c r="F166" i="73"/>
  <c r="F169" i="73"/>
  <c r="F217" i="73"/>
  <c r="F219" i="73"/>
  <c r="F222" i="73"/>
  <c r="F224" i="73"/>
  <c r="F227" i="73"/>
  <c r="F230" i="73"/>
  <c r="F277" i="73"/>
  <c r="F280" i="73"/>
  <c r="F282" i="73"/>
  <c r="F285" i="73"/>
  <c r="F288" i="73"/>
  <c r="A8" i="74"/>
  <c r="A4" i="7"/>
  <c r="A82" i="73"/>
  <c r="A84" i="73"/>
  <c r="A86" i="73"/>
  <c r="A88" i="73"/>
  <c r="A90" i="73"/>
  <c r="A92" i="73"/>
  <c r="A94" i="73"/>
  <c r="A81" i="73"/>
  <c r="A89" i="73"/>
  <c r="A87" i="73"/>
  <c r="A95" i="73"/>
  <c r="A91" i="73"/>
  <c r="A93" i="73"/>
  <c r="A85" i="73"/>
  <c r="A83" i="73"/>
  <c r="L5" i="74"/>
  <c r="K5" i="74"/>
  <c r="F158" i="73"/>
  <c r="G158" i="73" s="1"/>
  <c r="E171" i="73"/>
  <c r="G171" i="73" s="1"/>
  <c r="F186" i="73"/>
  <c r="G186" i="73" s="1"/>
  <c r="F191" i="73"/>
  <c r="G191" i="73" s="1"/>
  <c r="F195" i="73"/>
  <c r="G195" i="73" s="1"/>
  <c r="F199" i="73"/>
  <c r="G199" i="73" s="1"/>
  <c r="E366" i="73"/>
  <c r="G366" i="73" s="1"/>
  <c r="E351" i="73"/>
  <c r="G351" i="73" s="1"/>
  <c r="E336" i="73"/>
  <c r="F333" i="73"/>
  <c r="F306" i="73"/>
  <c r="G306" i="73" s="1"/>
  <c r="F316" i="73"/>
  <c r="G316" i="73" s="1"/>
  <c r="F291" i="73"/>
  <c r="E276" i="73"/>
  <c r="F261" i="73"/>
  <c r="F246" i="73"/>
  <c r="G246" i="73" s="1"/>
  <c r="F254" i="73"/>
  <c r="G254" i="73" s="1"/>
  <c r="F251" i="73"/>
  <c r="G251" i="73" s="1"/>
  <c r="E231" i="73"/>
  <c r="G231" i="73" s="1"/>
  <c r="E216" i="73"/>
  <c r="E201" i="73"/>
  <c r="G201" i="73" s="1"/>
  <c r="E155" i="73"/>
  <c r="P1" i="10"/>
  <c r="E1" i="10"/>
  <c r="E140" i="73"/>
  <c r="E139" i="73"/>
  <c r="E138" i="73"/>
  <c r="E137" i="73"/>
  <c r="E136" i="73"/>
  <c r="E135" i="73"/>
  <c r="E134" i="73"/>
  <c r="E133" i="73"/>
  <c r="E132" i="73"/>
  <c r="E131" i="73"/>
  <c r="E130" i="73"/>
  <c r="E129" i="73"/>
  <c r="E128" i="73"/>
  <c r="E127" i="73"/>
  <c r="E126" i="73"/>
  <c r="P1" i="9"/>
  <c r="E1" i="9"/>
  <c r="E125" i="73"/>
  <c r="E124" i="73"/>
  <c r="E123" i="73"/>
  <c r="E122" i="73"/>
  <c r="E121" i="73"/>
  <c r="E120" i="73"/>
  <c r="E119" i="73"/>
  <c r="E118" i="73"/>
  <c r="E117" i="73"/>
  <c r="E116" i="73"/>
  <c r="E115" i="73"/>
  <c r="E114" i="73"/>
  <c r="E113" i="73"/>
  <c r="E112" i="73"/>
  <c r="E111" i="73"/>
  <c r="P1" i="8"/>
  <c r="E1" i="8"/>
  <c r="E110" i="73"/>
  <c r="E109" i="73"/>
  <c r="E108" i="73"/>
  <c r="E107" i="73"/>
  <c r="E106" i="73"/>
  <c r="E105" i="73"/>
  <c r="E104" i="73"/>
  <c r="E103" i="73"/>
  <c r="E102" i="73"/>
  <c r="E101" i="73"/>
  <c r="E100" i="73"/>
  <c r="E99" i="73"/>
  <c r="E98" i="73"/>
  <c r="E97" i="73"/>
  <c r="E96" i="73"/>
  <c r="P1" i="7"/>
  <c r="E1" i="7"/>
  <c r="E95" i="73"/>
  <c r="E94" i="73"/>
  <c r="P1" i="6"/>
  <c r="E1" i="6"/>
  <c r="E80" i="73"/>
  <c r="E79" i="73"/>
  <c r="E78" i="73"/>
  <c r="E77" i="73"/>
  <c r="E76" i="73"/>
  <c r="E75" i="73"/>
  <c r="E74" i="73"/>
  <c r="E73" i="73"/>
  <c r="E72" i="73"/>
  <c r="E71" i="73"/>
  <c r="E70" i="73"/>
  <c r="E69" i="73"/>
  <c r="E68" i="73"/>
  <c r="E67" i="73"/>
  <c r="E66" i="73"/>
  <c r="P1" i="5"/>
  <c r="E1" i="5"/>
  <c r="E65" i="73"/>
  <c r="P1" i="4"/>
  <c r="E1" i="4"/>
  <c r="E50" i="73"/>
  <c r="E49" i="73"/>
  <c r="E48" i="73"/>
  <c r="E47" i="73"/>
  <c r="E46" i="73"/>
  <c r="E45" i="73"/>
  <c r="E44" i="73"/>
  <c r="E43" i="73"/>
  <c r="E41" i="73"/>
  <c r="E40" i="73"/>
  <c r="E39" i="73"/>
  <c r="E38" i="73"/>
  <c r="E37" i="73"/>
  <c r="P1" i="3"/>
  <c r="E1" i="3"/>
  <c r="E35" i="73"/>
  <c r="P1" i="2"/>
  <c r="E1" i="2"/>
  <c r="B8" i="76" l="1"/>
  <c r="A8" i="76"/>
  <c r="F9" i="76"/>
  <c r="Y8" i="74"/>
  <c r="Z8" i="74"/>
  <c r="G216" i="73"/>
  <c r="G336" i="73"/>
  <c r="G291" i="73"/>
  <c r="E227" i="73"/>
  <c r="G227" i="73" s="1"/>
  <c r="E245" i="73"/>
  <c r="G245" i="73" s="1"/>
  <c r="E237" i="73"/>
  <c r="G237" i="73" s="1"/>
  <c r="F256" i="73"/>
  <c r="G256" i="73" s="1"/>
  <c r="F268" i="73"/>
  <c r="G268" i="73" s="1"/>
  <c r="E290" i="73"/>
  <c r="G290" i="73" s="1"/>
  <c r="F304" i="73"/>
  <c r="G304" i="73" s="1"/>
  <c r="F303" i="73"/>
  <c r="F311" i="73"/>
  <c r="G311" i="73" s="1"/>
  <c r="E319" i="73"/>
  <c r="G319" i="73" s="1"/>
  <c r="F326" i="73"/>
  <c r="G326" i="73" s="1"/>
  <c r="E345" i="73"/>
  <c r="G345" i="73" s="1"/>
  <c r="E337" i="73"/>
  <c r="G337" i="73" s="1"/>
  <c r="E355" i="73"/>
  <c r="G355" i="73" s="1"/>
  <c r="E373" i="73"/>
  <c r="G373" i="73" s="1"/>
  <c r="F198" i="73"/>
  <c r="G198" i="73" s="1"/>
  <c r="E175" i="73"/>
  <c r="G175" i="73" s="1"/>
  <c r="F156" i="73"/>
  <c r="G156" i="73" s="1"/>
  <c r="E167" i="73"/>
  <c r="G167" i="73" s="1"/>
  <c r="G303" i="73"/>
  <c r="E213" i="73"/>
  <c r="G213" i="73" s="1"/>
  <c r="E205" i="73"/>
  <c r="G205" i="73" s="1"/>
  <c r="E223" i="73"/>
  <c r="G223" i="73" s="1"/>
  <c r="E241" i="73"/>
  <c r="G241" i="73" s="1"/>
  <c r="E233" i="73"/>
  <c r="G233" i="73" s="1"/>
  <c r="F252" i="73"/>
  <c r="G252" i="73" s="1"/>
  <c r="F272" i="73"/>
  <c r="G272" i="73" s="1"/>
  <c r="E286" i="73"/>
  <c r="G286" i="73" s="1"/>
  <c r="E282" i="73"/>
  <c r="G282" i="73" s="1"/>
  <c r="F296" i="73"/>
  <c r="F315" i="73"/>
  <c r="G315" i="73" s="1"/>
  <c r="F334" i="73"/>
  <c r="G334" i="73" s="1"/>
  <c r="F322" i="73"/>
  <c r="G322" i="73" s="1"/>
  <c r="E341" i="73"/>
  <c r="G341" i="73" s="1"/>
  <c r="E359" i="73"/>
  <c r="G359" i="73" s="1"/>
  <c r="E369" i="73"/>
  <c r="G369" i="73" s="1"/>
  <c r="F190" i="73"/>
  <c r="G190" i="73" s="1"/>
  <c r="E183" i="73"/>
  <c r="G183" i="73" s="1"/>
  <c r="E179" i="73"/>
  <c r="G179" i="73" s="1"/>
  <c r="F160" i="73"/>
  <c r="G160" i="73" s="1"/>
  <c r="E163" i="73"/>
  <c r="G163" i="73" s="1"/>
  <c r="F42" i="73"/>
  <c r="E212" i="73"/>
  <c r="G212" i="73" s="1"/>
  <c r="E204" i="73"/>
  <c r="G204" i="73" s="1"/>
  <c r="E226" i="73"/>
  <c r="G226" i="73" s="1"/>
  <c r="E218" i="73"/>
  <c r="G218" i="73" s="1"/>
  <c r="E240" i="73"/>
  <c r="G240" i="73" s="1"/>
  <c r="E232" i="73"/>
  <c r="G232" i="73" s="1"/>
  <c r="F260" i="73"/>
  <c r="G260" i="73" s="1"/>
  <c r="F250" i="73"/>
  <c r="G250" i="73" s="1"/>
  <c r="F271" i="73"/>
  <c r="G271" i="73" s="1"/>
  <c r="F263" i="73"/>
  <c r="G263" i="73" s="1"/>
  <c r="E285" i="73"/>
  <c r="G285" i="73" s="1"/>
  <c r="E277" i="73"/>
  <c r="G277" i="73" s="1"/>
  <c r="F294" i="73"/>
  <c r="G294" i="73" s="1"/>
  <c r="F293" i="73"/>
  <c r="G293" i="73" s="1"/>
  <c r="F314" i="73"/>
  <c r="G314" i="73" s="1"/>
  <c r="F310" i="73"/>
  <c r="G310" i="73" s="1"/>
  <c r="F329" i="73"/>
  <c r="G329" i="73" s="1"/>
  <c r="F321" i="73"/>
  <c r="G321" i="73" s="1"/>
  <c r="E344" i="73"/>
  <c r="G344" i="73" s="1"/>
  <c r="E358" i="73"/>
  <c r="G358" i="73" s="1"/>
  <c r="E376" i="73"/>
  <c r="G376" i="73" s="1"/>
  <c r="F197" i="73"/>
  <c r="G197" i="73" s="1"/>
  <c r="F189" i="73"/>
  <c r="G189" i="73" s="1"/>
  <c r="E178" i="73"/>
  <c r="G178" i="73" s="1"/>
  <c r="E174" i="73"/>
  <c r="G174" i="73" s="1"/>
  <c r="E170" i="73"/>
  <c r="G170" i="73" s="1"/>
  <c r="E211" i="73"/>
  <c r="G211" i="73" s="1"/>
  <c r="E207" i="73"/>
  <c r="G207" i="73" s="1"/>
  <c r="E203" i="73"/>
  <c r="G203" i="73" s="1"/>
  <c r="E229" i="73"/>
  <c r="G229" i="73" s="1"/>
  <c r="E225" i="73"/>
  <c r="G225" i="73" s="1"/>
  <c r="E221" i="73"/>
  <c r="G221" i="73" s="1"/>
  <c r="E217" i="73"/>
  <c r="G217" i="73" s="1"/>
  <c r="E243" i="73"/>
  <c r="G243" i="73" s="1"/>
  <c r="E239" i="73"/>
  <c r="G239" i="73" s="1"/>
  <c r="E235" i="73"/>
  <c r="G235" i="73" s="1"/>
  <c r="F247" i="73"/>
  <c r="G247" i="73" s="1"/>
  <c r="F259" i="73"/>
  <c r="G259" i="73" s="1"/>
  <c r="F248" i="73"/>
  <c r="G248" i="73" s="1"/>
  <c r="F274" i="73"/>
  <c r="G274" i="73" s="1"/>
  <c r="F270" i="73"/>
  <c r="G270" i="73" s="1"/>
  <c r="F266" i="73"/>
  <c r="G266" i="73" s="1"/>
  <c r="F262" i="73"/>
  <c r="G262" i="73" s="1"/>
  <c r="E288" i="73"/>
  <c r="G288" i="73" s="1"/>
  <c r="E284" i="73"/>
  <c r="G284" i="73" s="1"/>
  <c r="E280" i="73"/>
  <c r="G280" i="73" s="1"/>
  <c r="G276" i="73"/>
  <c r="F300" i="73"/>
  <c r="G300" i="73" s="1"/>
  <c r="F292" i="73"/>
  <c r="G292" i="73" s="1"/>
  <c r="F299" i="73"/>
  <c r="G299" i="73" s="1"/>
  <c r="F309" i="73"/>
  <c r="G309" i="73" s="1"/>
  <c r="F317" i="73"/>
  <c r="G317" i="73" s="1"/>
  <c r="F313" i="73"/>
  <c r="G313" i="73" s="1"/>
  <c r="F307" i="73"/>
  <c r="G307" i="73" s="1"/>
  <c r="F332" i="73"/>
  <c r="G332" i="73" s="1"/>
  <c r="F328" i="73"/>
  <c r="G328" i="73" s="1"/>
  <c r="F324" i="73"/>
  <c r="G324" i="73" s="1"/>
  <c r="E347" i="73"/>
  <c r="G347" i="73" s="1"/>
  <c r="E343" i="73"/>
  <c r="G343" i="73" s="1"/>
  <c r="E339" i="73"/>
  <c r="G339" i="73" s="1"/>
  <c r="E361" i="73"/>
  <c r="G361" i="73" s="1"/>
  <c r="E357" i="73"/>
  <c r="G357" i="73" s="1"/>
  <c r="E353" i="73"/>
  <c r="G353" i="73" s="1"/>
  <c r="E379" i="73"/>
  <c r="G379" i="73" s="1"/>
  <c r="E375" i="73"/>
  <c r="G375" i="73" s="1"/>
  <c r="E371" i="73"/>
  <c r="G371" i="73" s="1"/>
  <c r="E367" i="73"/>
  <c r="G367" i="73" s="1"/>
  <c r="F200" i="73"/>
  <c r="G200" i="73" s="1"/>
  <c r="F196" i="73"/>
  <c r="G196" i="73" s="1"/>
  <c r="F192" i="73"/>
  <c r="G192" i="73" s="1"/>
  <c r="F188" i="73"/>
  <c r="G188" i="73" s="1"/>
  <c r="E181" i="73"/>
  <c r="G181" i="73" s="1"/>
  <c r="E177" i="73"/>
  <c r="G177" i="73" s="1"/>
  <c r="E173" i="73"/>
  <c r="G173" i="73" s="1"/>
  <c r="F162" i="73"/>
  <c r="G162" i="73" s="1"/>
  <c r="E169" i="73"/>
  <c r="G169" i="73" s="1"/>
  <c r="E165" i="73"/>
  <c r="G165" i="73" s="1"/>
  <c r="E209" i="73"/>
  <c r="G209" i="73" s="1"/>
  <c r="E219" i="73"/>
  <c r="G219" i="73" s="1"/>
  <c r="F264" i="73"/>
  <c r="G264" i="73" s="1"/>
  <c r="E278" i="73"/>
  <c r="G278" i="73" s="1"/>
  <c r="F295" i="73"/>
  <c r="G295" i="73" s="1"/>
  <c r="F330" i="73"/>
  <c r="G330" i="73" s="1"/>
  <c r="E349" i="73"/>
  <c r="G349" i="73" s="1"/>
  <c r="E363" i="73"/>
  <c r="G363" i="73" s="1"/>
  <c r="E377" i="73"/>
  <c r="G377" i="73" s="1"/>
  <c r="F194" i="73"/>
  <c r="G194" i="73" s="1"/>
  <c r="E208" i="73"/>
  <c r="G208" i="73" s="1"/>
  <c r="E230" i="73"/>
  <c r="G230" i="73" s="1"/>
  <c r="E222" i="73"/>
  <c r="G222" i="73" s="1"/>
  <c r="E244" i="73"/>
  <c r="G244" i="73" s="1"/>
  <c r="E236" i="73"/>
  <c r="G236" i="73" s="1"/>
  <c r="F249" i="73"/>
  <c r="G249" i="73" s="1"/>
  <c r="F255" i="73"/>
  <c r="G255" i="73" s="1"/>
  <c r="F275" i="73"/>
  <c r="G275" i="73" s="1"/>
  <c r="F267" i="73"/>
  <c r="G267" i="73" s="1"/>
  <c r="E289" i="73"/>
  <c r="G289" i="73" s="1"/>
  <c r="E281" i="73"/>
  <c r="G281" i="73" s="1"/>
  <c r="F302" i="73"/>
  <c r="G302" i="73" s="1"/>
  <c r="F301" i="73"/>
  <c r="G301" i="73" s="1"/>
  <c r="F318" i="73"/>
  <c r="G318" i="73" s="1"/>
  <c r="F308" i="73"/>
  <c r="G308" i="73" s="1"/>
  <c r="F325" i="73"/>
  <c r="G325" i="73" s="1"/>
  <c r="E348" i="73"/>
  <c r="G348" i="73" s="1"/>
  <c r="E340" i="73"/>
  <c r="G340" i="73" s="1"/>
  <c r="E362" i="73"/>
  <c r="G362" i="73" s="1"/>
  <c r="E354" i="73"/>
  <c r="G354" i="73" s="1"/>
  <c r="E372" i="73"/>
  <c r="G372" i="73" s="1"/>
  <c r="E368" i="73"/>
  <c r="G368" i="73" s="1"/>
  <c r="F193" i="73"/>
  <c r="G193" i="73" s="1"/>
  <c r="E182" i="73"/>
  <c r="G182" i="73" s="1"/>
  <c r="F159" i="73"/>
  <c r="G159" i="73" s="1"/>
  <c r="E166" i="73"/>
  <c r="G166" i="73" s="1"/>
  <c r="G333" i="73"/>
  <c r="F22" i="73"/>
  <c r="F23" i="73"/>
  <c r="F24" i="73"/>
  <c r="F25" i="73"/>
  <c r="F26" i="73"/>
  <c r="F27" i="73"/>
  <c r="F28" i="73"/>
  <c r="F29" i="73"/>
  <c r="F30" i="73"/>
  <c r="F31" i="73"/>
  <c r="F32" i="73"/>
  <c r="F33" i="73"/>
  <c r="F34" i="73"/>
  <c r="F35" i="73"/>
  <c r="G35" i="73" s="1"/>
  <c r="F51" i="73"/>
  <c r="F52" i="73"/>
  <c r="F53" i="73"/>
  <c r="F54" i="73"/>
  <c r="F55" i="73"/>
  <c r="F56" i="73"/>
  <c r="F57" i="73"/>
  <c r="F58" i="73"/>
  <c r="F59" i="73"/>
  <c r="F60" i="73"/>
  <c r="F61" i="73"/>
  <c r="F62" i="73"/>
  <c r="F63" i="73"/>
  <c r="F64" i="73"/>
  <c r="F65" i="73"/>
  <c r="G65" i="73" s="1"/>
  <c r="F81" i="73"/>
  <c r="F82" i="73"/>
  <c r="F83" i="73"/>
  <c r="F84" i="73"/>
  <c r="F85" i="73"/>
  <c r="F86" i="73"/>
  <c r="F87" i="73"/>
  <c r="F88" i="73"/>
  <c r="F89" i="73"/>
  <c r="F90" i="73"/>
  <c r="F91" i="73"/>
  <c r="F92" i="73"/>
  <c r="F93" i="73"/>
  <c r="F94" i="73"/>
  <c r="G94" i="73" s="1"/>
  <c r="F95" i="73"/>
  <c r="G95" i="73" s="1"/>
  <c r="F124" i="73"/>
  <c r="G124" i="73" s="1"/>
  <c r="F125" i="73"/>
  <c r="G125" i="73" s="1"/>
  <c r="F141" i="73"/>
  <c r="F142" i="73"/>
  <c r="F143" i="73"/>
  <c r="F144" i="73"/>
  <c r="F145" i="73"/>
  <c r="F146" i="73"/>
  <c r="F147" i="73"/>
  <c r="F148" i="73"/>
  <c r="F149" i="73"/>
  <c r="F150" i="73"/>
  <c r="F151" i="73"/>
  <c r="F152" i="73"/>
  <c r="F153" i="73"/>
  <c r="F154" i="73"/>
  <c r="F155" i="73"/>
  <c r="G155" i="73" s="1"/>
  <c r="E210" i="73"/>
  <c r="G210" i="73" s="1"/>
  <c r="E206" i="73"/>
  <c r="G206" i="73" s="1"/>
  <c r="E202" i="73"/>
  <c r="G202" i="73" s="1"/>
  <c r="E228" i="73"/>
  <c r="G228" i="73" s="1"/>
  <c r="E224" i="73"/>
  <c r="G224" i="73" s="1"/>
  <c r="E220" i="73"/>
  <c r="G220" i="73" s="1"/>
  <c r="E242" i="73"/>
  <c r="G242" i="73" s="1"/>
  <c r="E238" i="73"/>
  <c r="G238" i="73" s="1"/>
  <c r="E234" i="73"/>
  <c r="G234" i="73" s="1"/>
  <c r="F258" i="73"/>
  <c r="G258" i="73" s="1"/>
  <c r="F257" i="73"/>
  <c r="G257" i="73" s="1"/>
  <c r="F253" i="73"/>
  <c r="G253" i="73" s="1"/>
  <c r="F273" i="73"/>
  <c r="G273" i="73" s="1"/>
  <c r="F269" i="73"/>
  <c r="G269" i="73" s="1"/>
  <c r="F265" i="73"/>
  <c r="G265" i="73" s="1"/>
  <c r="E287" i="73"/>
  <c r="G287" i="73" s="1"/>
  <c r="E283" i="73"/>
  <c r="G283" i="73" s="1"/>
  <c r="E279" i="73"/>
  <c r="G279" i="73" s="1"/>
  <c r="F305" i="73"/>
  <c r="G305" i="73" s="1"/>
  <c r="F298" i="73"/>
  <c r="G298" i="73" s="1"/>
  <c r="F297" i="73"/>
  <c r="G297" i="73" s="1"/>
  <c r="F312" i="73"/>
  <c r="G312" i="73" s="1"/>
  <c r="E320" i="73"/>
  <c r="G320" i="73" s="1"/>
  <c r="F335" i="73"/>
  <c r="G335" i="73" s="1"/>
  <c r="F331" i="73"/>
  <c r="G331" i="73" s="1"/>
  <c r="F327" i="73"/>
  <c r="G327" i="73" s="1"/>
  <c r="F323" i="73"/>
  <c r="G323" i="73" s="1"/>
  <c r="E346" i="73"/>
  <c r="G346" i="73" s="1"/>
  <c r="E342" i="73"/>
  <c r="G342" i="73" s="1"/>
  <c r="E338" i="73"/>
  <c r="G338" i="73" s="1"/>
  <c r="E364" i="73"/>
  <c r="G364" i="73" s="1"/>
  <c r="E360" i="73"/>
  <c r="G360" i="73" s="1"/>
  <c r="E356" i="73"/>
  <c r="G356" i="73" s="1"/>
  <c r="E352" i="73"/>
  <c r="G352" i="73" s="1"/>
  <c r="E378" i="73"/>
  <c r="G378" i="73" s="1"/>
  <c r="E374" i="73"/>
  <c r="G374" i="73" s="1"/>
  <c r="E370" i="73"/>
  <c r="G370" i="73" s="1"/>
  <c r="F187" i="73"/>
  <c r="G187" i="73" s="1"/>
  <c r="E180" i="73"/>
  <c r="G180" i="73" s="1"/>
  <c r="E176" i="73"/>
  <c r="G176" i="73" s="1"/>
  <c r="E172" i="73"/>
  <c r="G172" i="73" s="1"/>
  <c r="F161" i="73"/>
  <c r="G161" i="73" s="1"/>
  <c r="F157" i="73"/>
  <c r="G157" i="73" s="1"/>
  <c r="E168" i="73"/>
  <c r="G168" i="73" s="1"/>
  <c r="E164" i="73"/>
  <c r="G164" i="73" s="1"/>
  <c r="G296" i="73"/>
  <c r="G261" i="73"/>
  <c r="A9" i="74"/>
  <c r="A4" i="8"/>
  <c r="A98" i="73"/>
  <c r="A100" i="73"/>
  <c r="A105" i="73"/>
  <c r="A102" i="73"/>
  <c r="A104" i="73"/>
  <c r="A107" i="73"/>
  <c r="A109" i="73"/>
  <c r="A103" i="73"/>
  <c r="A110" i="73"/>
  <c r="A96" i="73"/>
  <c r="A99" i="73"/>
  <c r="A101" i="73"/>
  <c r="A106" i="73"/>
  <c r="A97" i="73"/>
  <c r="A108" i="73"/>
  <c r="E36" i="73"/>
  <c r="F21" i="73"/>
  <c r="K6" i="74"/>
  <c r="L6" i="74"/>
  <c r="E21" i="73"/>
  <c r="F36" i="73"/>
  <c r="E51" i="73"/>
  <c r="F66" i="73"/>
  <c r="G66" i="73" s="1"/>
  <c r="F71" i="73"/>
  <c r="G71" i="73" s="1"/>
  <c r="F73" i="73"/>
  <c r="G73" i="73" s="1"/>
  <c r="F75" i="73"/>
  <c r="G75" i="73" s="1"/>
  <c r="F79" i="73"/>
  <c r="G79" i="73" s="1"/>
  <c r="E81" i="73"/>
  <c r="F96" i="73"/>
  <c r="G96" i="73" s="1"/>
  <c r="F98" i="73"/>
  <c r="G98" i="73" s="1"/>
  <c r="F100" i="73"/>
  <c r="G100" i="73" s="1"/>
  <c r="F101" i="73"/>
  <c r="G101" i="73" s="1"/>
  <c r="F102" i="73"/>
  <c r="G102" i="73" s="1"/>
  <c r="F104" i="73"/>
  <c r="G104" i="73" s="1"/>
  <c r="F111" i="73"/>
  <c r="G111" i="73" s="1"/>
  <c r="F117" i="73"/>
  <c r="G117" i="73" s="1"/>
  <c r="F129" i="73"/>
  <c r="G129" i="73" s="1"/>
  <c r="F130" i="73"/>
  <c r="G130" i="73" s="1"/>
  <c r="F131" i="73"/>
  <c r="G131" i="73" s="1"/>
  <c r="F132" i="73"/>
  <c r="G132" i="73" s="1"/>
  <c r="F133" i="73"/>
  <c r="G133" i="73" s="1"/>
  <c r="F137" i="73"/>
  <c r="G137" i="73" s="1"/>
  <c r="E141" i="73"/>
  <c r="B9" i="76" l="1"/>
  <c r="A9" i="76"/>
  <c r="F10" i="76"/>
  <c r="Y9" i="74"/>
  <c r="Z9" i="74"/>
  <c r="G81" i="73"/>
  <c r="G141" i="73"/>
  <c r="G51" i="73"/>
  <c r="E151" i="73"/>
  <c r="G151" i="73" s="1"/>
  <c r="E150" i="73"/>
  <c r="G150" i="73" s="1"/>
  <c r="F140" i="73"/>
  <c r="G140" i="73" s="1"/>
  <c r="F136" i="73"/>
  <c r="G136" i="73" s="1"/>
  <c r="F122" i="73"/>
  <c r="G122" i="73" s="1"/>
  <c r="F114" i="73"/>
  <c r="G114" i="73" s="1"/>
  <c r="F105" i="73"/>
  <c r="G105" i="73" s="1"/>
  <c r="F97" i="73"/>
  <c r="G97" i="73" s="1"/>
  <c r="E90" i="73"/>
  <c r="G90" i="73" s="1"/>
  <c r="E82" i="73"/>
  <c r="G82" i="73" s="1"/>
  <c r="E62" i="73"/>
  <c r="G62" i="73" s="1"/>
  <c r="E54" i="73"/>
  <c r="G54" i="73" s="1"/>
  <c r="F37" i="73"/>
  <c r="G37" i="73" s="1"/>
  <c r="F44" i="73"/>
  <c r="G44" i="73" s="1"/>
  <c r="E30" i="73"/>
  <c r="G30" i="73" s="1"/>
  <c r="E153" i="73"/>
  <c r="G153" i="73" s="1"/>
  <c r="F139" i="73"/>
  <c r="G139" i="73" s="1"/>
  <c r="F135" i="73"/>
  <c r="G135" i="73" s="1"/>
  <c r="F127" i="73"/>
  <c r="G127" i="73" s="1"/>
  <c r="F121" i="73"/>
  <c r="G121" i="73" s="1"/>
  <c r="F113" i="73"/>
  <c r="G113" i="73" s="1"/>
  <c r="F108" i="73"/>
  <c r="G108" i="73" s="1"/>
  <c r="E93" i="73"/>
  <c r="G93" i="73" s="1"/>
  <c r="E89" i="73"/>
  <c r="G89" i="73" s="1"/>
  <c r="E85" i="73"/>
  <c r="G85" i="73" s="1"/>
  <c r="F80" i="73"/>
  <c r="G80" i="73" s="1"/>
  <c r="F76" i="73"/>
  <c r="G76" i="73" s="1"/>
  <c r="F72" i="73"/>
  <c r="G72" i="73" s="1"/>
  <c r="F68" i="73"/>
  <c r="G68" i="73" s="1"/>
  <c r="E61" i="73"/>
  <c r="E57" i="73"/>
  <c r="E53" i="73"/>
  <c r="G53" i="73" s="1"/>
  <c r="F40" i="73"/>
  <c r="G40" i="73" s="1"/>
  <c r="F47" i="73"/>
  <c r="G47" i="73" s="1"/>
  <c r="F43" i="73"/>
  <c r="G43" i="73" s="1"/>
  <c r="E33" i="73"/>
  <c r="G33" i="73" s="1"/>
  <c r="E29" i="73"/>
  <c r="G29" i="73" s="1"/>
  <c r="E25" i="73"/>
  <c r="G25" i="73" s="1"/>
  <c r="G21" i="73"/>
  <c r="E154" i="73"/>
  <c r="G154" i="73" s="1"/>
  <c r="E146" i="73"/>
  <c r="G146" i="73" s="1"/>
  <c r="E142" i="73"/>
  <c r="G142" i="73" s="1"/>
  <c r="F128" i="73"/>
  <c r="G128" i="73" s="1"/>
  <c r="F118" i="73"/>
  <c r="G118" i="73" s="1"/>
  <c r="F109" i="73"/>
  <c r="G109" i="73" s="1"/>
  <c r="E86" i="73"/>
  <c r="G86" i="73" s="1"/>
  <c r="F77" i="73"/>
  <c r="G77" i="73" s="1"/>
  <c r="F69" i="73"/>
  <c r="G69" i="73" s="1"/>
  <c r="E58" i="73"/>
  <c r="G58" i="73" s="1"/>
  <c r="F41" i="73"/>
  <c r="G41" i="73" s="1"/>
  <c r="F48" i="73"/>
  <c r="G48" i="73" s="1"/>
  <c r="E34" i="73"/>
  <c r="G34" i="73" s="1"/>
  <c r="E26" i="73"/>
  <c r="G26" i="73" s="1"/>
  <c r="E22" i="73"/>
  <c r="G22" i="73" s="1"/>
  <c r="G61" i="73"/>
  <c r="G57" i="73"/>
  <c r="E149" i="73"/>
  <c r="G149" i="73" s="1"/>
  <c r="E145" i="73"/>
  <c r="G145" i="73" s="1"/>
  <c r="E152" i="73"/>
  <c r="G152" i="73" s="1"/>
  <c r="E148" i="73"/>
  <c r="G148" i="73" s="1"/>
  <c r="E144" i="73"/>
  <c r="G144" i="73" s="1"/>
  <c r="F138" i="73"/>
  <c r="G138" i="73" s="1"/>
  <c r="F134" i="73"/>
  <c r="G134" i="73" s="1"/>
  <c r="F126" i="73"/>
  <c r="G126" i="73" s="1"/>
  <c r="F120" i="73"/>
  <c r="G120" i="73" s="1"/>
  <c r="F116" i="73"/>
  <c r="G116" i="73" s="1"/>
  <c r="F112" i="73"/>
  <c r="G112" i="73" s="1"/>
  <c r="F107" i="73"/>
  <c r="G107" i="73" s="1"/>
  <c r="F103" i="73"/>
  <c r="G103" i="73" s="1"/>
  <c r="F99" i="73"/>
  <c r="G99" i="73" s="1"/>
  <c r="E92" i="73"/>
  <c r="G92" i="73" s="1"/>
  <c r="E88" i="73"/>
  <c r="G88" i="73" s="1"/>
  <c r="E84" i="73"/>
  <c r="G84" i="73" s="1"/>
  <c r="F67" i="73"/>
  <c r="G67" i="73" s="1"/>
  <c r="E64" i="73"/>
  <c r="G64" i="73" s="1"/>
  <c r="E60" i="73"/>
  <c r="G60" i="73" s="1"/>
  <c r="E56" i="73"/>
  <c r="G56" i="73" s="1"/>
  <c r="E52" i="73"/>
  <c r="G52" i="73" s="1"/>
  <c r="F39" i="73"/>
  <c r="G39" i="73" s="1"/>
  <c r="F50" i="73"/>
  <c r="G50" i="73" s="1"/>
  <c r="F46" i="73"/>
  <c r="G46" i="73" s="1"/>
  <c r="E42" i="73"/>
  <c r="G42" i="73" s="1"/>
  <c r="E32" i="73"/>
  <c r="G32" i="73" s="1"/>
  <c r="E28" i="73"/>
  <c r="G28" i="73" s="1"/>
  <c r="E24" i="73"/>
  <c r="G24" i="73" s="1"/>
  <c r="E147" i="73"/>
  <c r="G147" i="73" s="1"/>
  <c r="E143" i="73"/>
  <c r="G143" i="73" s="1"/>
  <c r="F123" i="73"/>
  <c r="G123" i="73" s="1"/>
  <c r="F119" i="73"/>
  <c r="G119" i="73" s="1"/>
  <c r="F115" i="73"/>
  <c r="G115" i="73" s="1"/>
  <c r="F110" i="73"/>
  <c r="G110" i="73" s="1"/>
  <c r="F106" i="73"/>
  <c r="G106" i="73" s="1"/>
  <c r="E91" i="73"/>
  <c r="G91" i="73" s="1"/>
  <c r="E87" i="73"/>
  <c r="G87" i="73" s="1"/>
  <c r="E83" i="73"/>
  <c r="G83" i="73" s="1"/>
  <c r="F78" i="73"/>
  <c r="G78" i="73" s="1"/>
  <c r="F74" i="73"/>
  <c r="G74" i="73" s="1"/>
  <c r="F70" i="73"/>
  <c r="G70" i="73" s="1"/>
  <c r="E63" i="73"/>
  <c r="G63" i="73" s="1"/>
  <c r="E59" i="73"/>
  <c r="G59" i="73" s="1"/>
  <c r="E55" i="73"/>
  <c r="G55" i="73" s="1"/>
  <c r="F38" i="73"/>
  <c r="G38" i="73" s="1"/>
  <c r="F49" i="73"/>
  <c r="G49" i="73" s="1"/>
  <c r="F45" i="73"/>
  <c r="G45" i="73" s="1"/>
  <c r="E31" i="73"/>
  <c r="G31" i="73" s="1"/>
  <c r="E27" i="73"/>
  <c r="G27" i="73" s="1"/>
  <c r="E23" i="73"/>
  <c r="G23" i="73" s="1"/>
  <c r="A10" i="74"/>
  <c r="A4" i="9"/>
  <c r="A113" i="73"/>
  <c r="A115" i="73"/>
  <c r="A120" i="73"/>
  <c r="A117" i="73"/>
  <c r="A119" i="73"/>
  <c r="A122" i="73"/>
  <c r="A124" i="73"/>
  <c r="A111" i="73"/>
  <c r="A118" i="73"/>
  <c r="A125" i="73"/>
  <c r="A114" i="73"/>
  <c r="A112" i="73"/>
  <c r="A121" i="73"/>
  <c r="A123" i="73"/>
  <c r="A116" i="73"/>
  <c r="G36" i="73"/>
  <c r="L7" i="74"/>
  <c r="K7" i="74"/>
  <c r="F11" i="76" l="1"/>
  <c r="A10" i="76"/>
  <c r="B10" i="76"/>
  <c r="Y10" i="74"/>
  <c r="Z10" i="74"/>
  <c r="A11" i="74"/>
  <c r="A4" i="10"/>
  <c r="A132" i="73"/>
  <c r="A134" i="73"/>
  <c r="A127" i="73"/>
  <c r="A129" i="73"/>
  <c r="A136" i="73"/>
  <c r="A138" i="73"/>
  <c r="A126" i="73"/>
  <c r="A131" i="73"/>
  <c r="A140" i="73"/>
  <c r="A130" i="73"/>
  <c r="A139" i="73"/>
  <c r="A128" i="73"/>
  <c r="A137" i="73"/>
  <c r="A135" i="73"/>
  <c r="A133" i="73"/>
  <c r="K8" i="74"/>
  <c r="L8" i="74"/>
  <c r="F12" i="76" l="1"/>
  <c r="A11" i="76"/>
  <c r="B11" i="76"/>
  <c r="Y11" i="74"/>
  <c r="Z11" i="74"/>
  <c r="A12" i="74"/>
  <c r="A4" i="11"/>
  <c r="A150" i="73"/>
  <c r="A141" i="73"/>
  <c r="A142" i="73"/>
  <c r="A144" i="73"/>
  <c r="A147" i="73"/>
  <c r="A149" i="73"/>
  <c r="A152" i="73"/>
  <c r="A155" i="73"/>
  <c r="A146" i="73"/>
  <c r="A148" i="73"/>
  <c r="A154" i="73"/>
  <c r="A145" i="73"/>
  <c r="A153" i="73"/>
  <c r="A143" i="73"/>
  <c r="A151" i="73"/>
  <c r="L9" i="74"/>
  <c r="K9" i="74"/>
  <c r="M21" i="72"/>
  <c r="M20" i="72"/>
  <c r="M19" i="72"/>
  <c r="M18" i="72"/>
  <c r="M17" i="72"/>
  <c r="M16" i="72"/>
  <c r="M15" i="72"/>
  <c r="M14" i="72"/>
  <c r="M13" i="72"/>
  <c r="M12" i="72"/>
  <c r="M11" i="72"/>
  <c r="M10" i="72"/>
  <c r="M9" i="72"/>
  <c r="M8" i="72"/>
  <c r="M7" i="72"/>
  <c r="F13" i="76" l="1"/>
  <c r="B12" i="76"/>
  <c r="A12" i="76"/>
  <c r="Y12" i="74"/>
  <c r="Z12" i="74"/>
  <c r="A13" i="74"/>
  <c r="A4" i="12"/>
  <c r="A157" i="73"/>
  <c r="A159" i="73"/>
  <c r="A166" i="73"/>
  <c r="A168" i="73"/>
  <c r="A156" i="73"/>
  <c r="A161" i="73"/>
  <c r="A163" i="73"/>
  <c r="A170" i="73"/>
  <c r="A160" i="73"/>
  <c r="A162" i="73"/>
  <c r="A158" i="73"/>
  <c r="A167" i="73"/>
  <c r="A169" i="73"/>
  <c r="A165" i="73"/>
  <c r="A164" i="73"/>
  <c r="F18" i="73"/>
  <c r="F9" i="73"/>
  <c r="K10" i="74"/>
  <c r="L10" i="74"/>
  <c r="F16" i="73"/>
  <c r="F15" i="73"/>
  <c r="F14" i="73"/>
  <c r="E8" i="73"/>
  <c r="F12" i="73"/>
  <c r="E14" i="73"/>
  <c r="E20" i="73"/>
  <c r="E6" i="73"/>
  <c r="F10" i="73"/>
  <c r="F11" i="73"/>
  <c r="F17" i="73"/>
  <c r="E10" i="73"/>
  <c r="F8" i="73"/>
  <c r="E12" i="73"/>
  <c r="E18" i="73"/>
  <c r="F19" i="73"/>
  <c r="F6" i="73"/>
  <c r="F7" i="73"/>
  <c r="F13" i="73"/>
  <c r="M22" i="72"/>
  <c r="M6" i="2" s="1"/>
  <c r="E13" i="73"/>
  <c r="E7" i="73"/>
  <c r="E11" i="73"/>
  <c r="E19" i="73"/>
  <c r="F14" i="76" l="1"/>
  <c r="B13" i="76"/>
  <c r="A13" i="76"/>
  <c r="Y13" i="74"/>
  <c r="Z13" i="74"/>
  <c r="G11" i="73"/>
  <c r="G8" i="73"/>
  <c r="G7" i="73"/>
  <c r="A14" i="74"/>
  <c r="A4" i="13"/>
  <c r="A175" i="73"/>
  <c r="A180" i="73"/>
  <c r="A182" i="73"/>
  <c r="A172" i="73"/>
  <c r="A174" i="73"/>
  <c r="A177" i="73"/>
  <c r="A179" i="73"/>
  <c r="A184" i="73"/>
  <c r="A176" i="73"/>
  <c r="A181" i="73"/>
  <c r="A173" i="73"/>
  <c r="A178" i="73"/>
  <c r="A185" i="73"/>
  <c r="A171" i="73"/>
  <c r="A183" i="73"/>
  <c r="G13" i="73"/>
  <c r="G14" i="73"/>
  <c r="G19" i="73"/>
  <c r="G18" i="73"/>
  <c r="G10" i="73"/>
  <c r="G12" i="73"/>
  <c r="L11" i="74"/>
  <c r="K11" i="74"/>
  <c r="P21" i="72"/>
  <c r="F20" i="73"/>
  <c r="G20" i="73" s="1"/>
  <c r="G6" i="73"/>
  <c r="P18" i="72"/>
  <c r="E17" i="73"/>
  <c r="G17" i="73" s="1"/>
  <c r="P16" i="72"/>
  <c r="E15" i="73"/>
  <c r="P17" i="72"/>
  <c r="E16" i="73"/>
  <c r="P10" i="72"/>
  <c r="E9" i="73"/>
  <c r="G9" i="73" s="1"/>
  <c r="M22" i="2"/>
  <c r="M6" i="3" s="1"/>
  <c r="M22" i="3" s="1"/>
  <c r="P11" i="72"/>
  <c r="P15" i="72"/>
  <c r="P12" i="72"/>
  <c r="P13" i="72"/>
  <c r="P19" i="72"/>
  <c r="P20" i="72"/>
  <c r="P8" i="72"/>
  <c r="L22" i="72"/>
  <c r="L6" i="2" s="1"/>
  <c r="P9" i="72"/>
  <c r="P14" i="72"/>
  <c r="K6" i="2"/>
  <c r="K22" i="2" s="1"/>
  <c r="A14" i="76" l="1"/>
  <c r="B14" i="76"/>
  <c r="F15" i="76"/>
  <c r="Z14" i="74"/>
  <c r="Y14" i="74"/>
  <c r="A15" i="74"/>
  <c r="A4" i="14"/>
  <c r="A187" i="73"/>
  <c r="A189" i="73"/>
  <c r="A196" i="73"/>
  <c r="A198" i="73"/>
  <c r="A186" i="73"/>
  <c r="A191" i="73"/>
  <c r="A193" i="73"/>
  <c r="A200" i="73"/>
  <c r="A190" i="73"/>
  <c r="A192" i="73"/>
  <c r="A188" i="73"/>
  <c r="A197" i="73"/>
  <c r="A199" i="73"/>
  <c r="A195" i="73"/>
  <c r="A194" i="73"/>
  <c r="G16" i="73"/>
  <c r="G15" i="73"/>
  <c r="K12" i="74"/>
  <c r="L12" i="74"/>
  <c r="M6" i="4"/>
  <c r="M22" i="4" s="1"/>
  <c r="M6" i="5" s="1"/>
  <c r="M22" i="5" s="1"/>
  <c r="M6" i="6" s="1"/>
  <c r="M22" i="6" s="1"/>
  <c r="M6" i="7" s="1"/>
  <c r="M22" i="7" s="1"/>
  <c r="M6" i="8" s="1"/>
  <c r="M22" i="8" s="1"/>
  <c r="M6" i="9" s="1"/>
  <c r="M22" i="9" s="1"/>
  <c r="M6" i="10" s="1"/>
  <c r="M22" i="10" s="1"/>
  <c r="M6" i="11" s="1"/>
  <c r="L22" i="2"/>
  <c r="L6" i="3" s="1"/>
  <c r="L22" i="3" s="1"/>
  <c r="L6" i="4" s="1"/>
  <c r="L22" i="4" s="1"/>
  <c r="L6" i="5" s="1"/>
  <c r="L22" i="5" s="1"/>
  <c r="L6" i="6" s="1"/>
  <c r="L22" i="6" s="1"/>
  <c r="L6" i="7" s="1"/>
  <c r="L22" i="7" s="1"/>
  <c r="L6" i="8" s="1"/>
  <c r="L22" i="8" s="1"/>
  <c r="L6" i="9" s="1"/>
  <c r="L22" i="9" s="1"/>
  <c r="L6" i="10" s="1"/>
  <c r="L22" i="10" s="1"/>
  <c r="L6" i="11" s="1"/>
  <c r="K6" i="3"/>
  <c r="K22" i="3" s="1"/>
  <c r="P22" i="72"/>
  <c r="P6" i="2" s="1"/>
  <c r="M22" i="11" l="1"/>
  <c r="M6" i="12" s="1"/>
  <c r="M22" i="12" s="1"/>
  <c r="M6" i="13" s="1"/>
  <c r="M22" i="13" s="1"/>
  <c r="M6" i="14" s="1"/>
  <c r="M22" i="14" s="1"/>
  <c r="M6" i="15" s="1"/>
  <c r="M22" i="15" s="1"/>
  <c r="M6" i="16" s="1"/>
  <c r="L22" i="11"/>
  <c r="L6" i="12" s="1"/>
  <c r="L22" i="12" s="1"/>
  <c r="L6" i="13" s="1"/>
  <c r="L22" i="13" s="1"/>
  <c r="L6" i="14" s="1"/>
  <c r="L22" i="14" s="1"/>
  <c r="L6" i="15" s="1"/>
  <c r="L22" i="15" s="1"/>
  <c r="L6" i="16" s="1"/>
  <c r="L22" i="16" s="1"/>
  <c r="L6" i="17" s="1"/>
  <c r="L22" i="17" s="1"/>
  <c r="L6" i="18" s="1"/>
  <c r="L22" i="18" s="1"/>
  <c r="F16" i="76"/>
  <c r="B15" i="76"/>
  <c r="A15" i="76"/>
  <c r="Y15" i="74"/>
  <c r="Z15" i="74"/>
  <c r="A16" i="74"/>
  <c r="A4" i="15"/>
  <c r="A206" i="73"/>
  <c r="A208" i="73"/>
  <c r="A215" i="73"/>
  <c r="A203" i="73"/>
  <c r="A205" i="73"/>
  <c r="A210" i="73"/>
  <c r="A212" i="73"/>
  <c r="A213" i="73"/>
  <c r="A204" i="73"/>
  <c r="A209" i="73"/>
  <c r="A211" i="73"/>
  <c r="A202" i="73"/>
  <c r="A207" i="73"/>
  <c r="A214" i="73"/>
  <c r="A201" i="73"/>
  <c r="L13" i="74"/>
  <c r="K13" i="74"/>
  <c r="P22" i="2"/>
  <c r="P6" i="3" s="1"/>
  <c r="P22" i="3"/>
  <c r="P6" i="4" s="1"/>
  <c r="K6" i="4"/>
  <c r="K22" i="4" s="1"/>
  <c r="P22" i="4" s="1"/>
  <c r="F17" i="76" l="1"/>
  <c r="B16" i="76"/>
  <c r="A16" i="76"/>
  <c r="Y16" i="74"/>
  <c r="Z16" i="74"/>
  <c r="A17" i="74"/>
  <c r="A4" i="16"/>
  <c r="A218" i="73"/>
  <c r="A220" i="73"/>
  <c r="A223" i="73"/>
  <c r="A226" i="73"/>
  <c r="A228" i="73"/>
  <c r="A217" i="73"/>
  <c r="A225" i="73"/>
  <c r="A224" i="73"/>
  <c r="A222" i="73"/>
  <c r="A230" i="73"/>
  <c r="A216" i="73"/>
  <c r="A219" i="73"/>
  <c r="A221" i="73"/>
  <c r="A227" i="73"/>
  <c r="A229" i="73"/>
  <c r="K14" i="74"/>
  <c r="L14" i="74"/>
  <c r="M22" i="16"/>
  <c r="M6" i="17" s="1"/>
  <c r="L6" i="19"/>
  <c r="P6" i="5"/>
  <c r="K6" i="5"/>
  <c r="K22" i="5" s="1"/>
  <c r="P22" i="5" s="1"/>
  <c r="F18" i="76" l="1"/>
  <c r="B17" i="76"/>
  <c r="A17" i="76"/>
  <c r="Y17" i="74"/>
  <c r="Z17" i="74"/>
  <c r="A18" i="74"/>
  <c r="A4" i="17"/>
  <c r="A232" i="73"/>
  <c r="A240" i="73"/>
  <c r="A231" i="73"/>
  <c r="A234" i="73"/>
  <c r="A237" i="73"/>
  <c r="A239" i="73"/>
  <c r="A242" i="73"/>
  <c r="A245" i="73"/>
  <c r="A233" i="73"/>
  <c r="A241" i="73"/>
  <c r="A236" i="73"/>
  <c r="A238" i="73"/>
  <c r="A244" i="73"/>
  <c r="A243" i="73"/>
  <c r="A235" i="73"/>
  <c r="L15" i="74"/>
  <c r="K15" i="74"/>
  <c r="M22" i="17"/>
  <c r="M6" i="18" s="1"/>
  <c r="L22" i="19"/>
  <c r="L6" i="20" s="1"/>
  <c r="K6" i="6"/>
  <c r="K22" i="6" s="1"/>
  <c r="P22" i="6" s="1"/>
  <c r="P6" i="6"/>
  <c r="F19" i="76" l="1"/>
  <c r="A18" i="76"/>
  <c r="B18" i="76"/>
  <c r="Y18" i="74"/>
  <c r="Z18" i="74"/>
  <c r="A19" i="74"/>
  <c r="A4" i="18"/>
  <c r="A251" i="73"/>
  <c r="A253" i="73"/>
  <c r="A260" i="73"/>
  <c r="A248" i="73"/>
  <c r="A250" i="73"/>
  <c r="A255" i="73"/>
  <c r="A257" i="73"/>
  <c r="A247" i="73"/>
  <c r="A252" i="73"/>
  <c r="A259" i="73"/>
  <c r="A246" i="73"/>
  <c r="A258" i="73"/>
  <c r="A256" i="73"/>
  <c r="A249" i="73"/>
  <c r="A254" i="73"/>
  <c r="K16" i="74"/>
  <c r="L16" i="74"/>
  <c r="L22" i="20"/>
  <c r="M22" i="18"/>
  <c r="M6" i="19" s="1"/>
  <c r="P6" i="7"/>
  <c r="K6" i="7"/>
  <c r="K22" i="7" s="1"/>
  <c r="P22" i="7" s="1"/>
  <c r="F20" i="76" l="1"/>
  <c r="B19" i="76"/>
  <c r="A19" i="76"/>
  <c r="A20" i="74"/>
  <c r="A4" i="19"/>
  <c r="A266" i="73"/>
  <c r="A274" i="73"/>
  <c r="A263" i="73"/>
  <c r="A265" i="73"/>
  <c r="A268" i="73"/>
  <c r="A271" i="73"/>
  <c r="A273" i="73"/>
  <c r="A267" i="73"/>
  <c r="A275" i="73"/>
  <c r="A262" i="73"/>
  <c r="A264" i="73"/>
  <c r="A270" i="73"/>
  <c r="A272" i="73"/>
  <c r="A261" i="73"/>
  <c r="A269" i="73"/>
  <c r="L17" i="74"/>
  <c r="K17" i="74"/>
  <c r="M22" i="19"/>
  <c r="M6" i="20" s="1"/>
  <c r="L6" i="21"/>
  <c r="K6" i="8"/>
  <c r="K22" i="8" s="1"/>
  <c r="P22" i="8" s="1"/>
  <c r="P6" i="8"/>
  <c r="A20" i="76" l="1"/>
  <c r="F21" i="76"/>
  <c r="B20" i="76"/>
  <c r="A21" i="74"/>
  <c r="A4" i="20"/>
  <c r="A282" i="73"/>
  <c r="A284" i="73"/>
  <c r="A289" i="73"/>
  <c r="A277" i="73"/>
  <c r="A279" i="73"/>
  <c r="A286" i="73"/>
  <c r="A288" i="73"/>
  <c r="A276" i="73"/>
  <c r="A281" i="73"/>
  <c r="A280" i="73"/>
  <c r="A278" i="73"/>
  <c r="A287" i="73"/>
  <c r="A290" i="73"/>
  <c r="A285" i="73"/>
  <c r="A283" i="73"/>
  <c r="K18" i="74"/>
  <c r="L18" i="74"/>
  <c r="M22" i="20"/>
  <c r="M6" i="21" s="1"/>
  <c r="M22" i="21" s="1"/>
  <c r="L22" i="21"/>
  <c r="L6" i="22" s="1"/>
  <c r="P6" i="9"/>
  <c r="K6" i="9"/>
  <c r="K22" i="9" s="1"/>
  <c r="P22" i="9" s="1"/>
  <c r="F22" i="76" l="1"/>
  <c r="B21" i="76"/>
  <c r="A21" i="76"/>
  <c r="A22" i="74"/>
  <c r="A4" i="21"/>
  <c r="A301" i="73"/>
  <c r="A303" i="73"/>
  <c r="A291" i="73"/>
  <c r="A293" i="73"/>
  <c r="A296" i="73"/>
  <c r="A298" i="73"/>
  <c r="A305" i="73"/>
  <c r="A295" i="73"/>
  <c r="A297" i="73"/>
  <c r="A294" i="73"/>
  <c r="A302" i="73"/>
  <c r="A304" i="73"/>
  <c r="A292" i="73"/>
  <c r="A300" i="73"/>
  <c r="A299" i="73"/>
  <c r="L19" i="74"/>
  <c r="K19" i="74"/>
  <c r="L22" i="22"/>
  <c r="M6" i="22"/>
  <c r="M22" i="22" s="1"/>
  <c r="M6" i="23" s="1"/>
  <c r="K6" i="10"/>
  <c r="K22" i="10" s="1"/>
  <c r="P22" i="10" s="1"/>
  <c r="P6" i="10"/>
  <c r="F23" i="76" l="1"/>
  <c r="A22" i="76"/>
  <c r="B22" i="76"/>
  <c r="A23" i="74"/>
  <c r="A4" i="22"/>
  <c r="A308" i="73"/>
  <c r="A310" i="73"/>
  <c r="A315" i="73"/>
  <c r="A317" i="73"/>
  <c r="A312" i="73"/>
  <c r="A314" i="73"/>
  <c r="A319" i="73"/>
  <c r="A307" i="73"/>
  <c r="A306" i="73"/>
  <c r="A313" i="73"/>
  <c r="A318" i="73"/>
  <c r="A320" i="73"/>
  <c r="A316" i="73"/>
  <c r="A309" i="73"/>
  <c r="A311" i="73"/>
  <c r="K20" i="74"/>
  <c r="L20" i="74"/>
  <c r="M22" i="23"/>
  <c r="M6" i="24" s="1"/>
  <c r="L6" i="23"/>
  <c r="P6" i="11"/>
  <c r="K6" i="11"/>
  <c r="K22" i="11" s="1"/>
  <c r="P22" i="11" s="1"/>
  <c r="A23" i="76" l="1"/>
  <c r="B23" i="76"/>
  <c r="F24" i="76"/>
  <c r="A24" i="74"/>
  <c r="A4" i="23"/>
  <c r="A323" i="73"/>
  <c r="A326" i="73"/>
  <c r="A328" i="73"/>
  <c r="A331" i="73"/>
  <c r="A334" i="73"/>
  <c r="A325" i="73"/>
  <c r="A333" i="73"/>
  <c r="A321" i="73"/>
  <c r="A322" i="73"/>
  <c r="A330" i="73"/>
  <c r="A327" i="73"/>
  <c r="A329" i="73"/>
  <c r="A335" i="73"/>
  <c r="A324" i="73"/>
  <c r="A332" i="73"/>
  <c r="L21" i="74"/>
  <c r="K21" i="74"/>
  <c r="M22" i="24"/>
  <c r="M6" i="25" s="1"/>
  <c r="M22" i="25" s="1"/>
  <c r="L22" i="23"/>
  <c r="L6" i="24" s="1"/>
  <c r="K6" i="12"/>
  <c r="K22" i="12" s="1"/>
  <c r="P22" i="12" s="1"/>
  <c r="P6" i="12"/>
  <c r="A24" i="76" l="1"/>
  <c r="F25" i="76"/>
  <c r="B24" i="76"/>
  <c r="A25" i="74"/>
  <c r="A4" i="24"/>
  <c r="A342" i="73"/>
  <c r="A344" i="73"/>
  <c r="A349" i="73"/>
  <c r="A337" i="73"/>
  <c r="A339" i="73"/>
  <c r="A346" i="73"/>
  <c r="A348" i="73"/>
  <c r="A336" i="73"/>
  <c r="A338" i="73"/>
  <c r="A347" i="73"/>
  <c r="A343" i="73"/>
  <c r="A345" i="73"/>
  <c r="A350" i="73"/>
  <c r="A341" i="73"/>
  <c r="A340" i="73"/>
  <c r="K22" i="74"/>
  <c r="L22" i="74"/>
  <c r="L22" i="24"/>
  <c r="L6" i="25" s="1"/>
  <c r="L22" i="25" s="1"/>
  <c r="K6" i="13"/>
  <c r="K22" i="13" s="1"/>
  <c r="P22" i="13" s="1"/>
  <c r="P6" i="13"/>
  <c r="B25" i="76" l="1"/>
  <c r="A25" i="76"/>
  <c r="F26" i="76"/>
  <c r="A26" i="74"/>
  <c r="A4" i="25"/>
  <c r="A352" i="73"/>
  <c r="A354" i="73"/>
  <c r="A361" i="73"/>
  <c r="A363" i="73"/>
  <c r="A351" i="73"/>
  <c r="A356" i="73"/>
  <c r="A358" i="73"/>
  <c r="A365" i="73"/>
  <c r="A360" i="73"/>
  <c r="A359" i="73"/>
  <c r="A355" i="73"/>
  <c r="A357" i="73"/>
  <c r="A353" i="73"/>
  <c r="A362" i="73"/>
  <c r="A364" i="73"/>
  <c r="L23" i="74"/>
  <c r="K23" i="74"/>
  <c r="K6" i="14"/>
  <c r="K22" i="14" s="1"/>
  <c r="P22" i="14" s="1"/>
  <c r="P6" i="14"/>
  <c r="A26" i="76" l="1"/>
  <c r="F27" i="76"/>
  <c r="B26" i="76"/>
  <c r="A27" i="74"/>
  <c r="A368" i="73"/>
  <c r="A370" i="73"/>
  <c r="A373" i="73"/>
  <c r="A376" i="73"/>
  <c r="A378" i="73"/>
  <c r="A367" i="73"/>
  <c r="A375" i="73"/>
  <c r="A372" i="73"/>
  <c r="A380" i="73"/>
  <c r="A369" i="73"/>
  <c r="A371" i="73"/>
  <c r="A377" i="73"/>
  <c r="A379" i="73"/>
  <c r="A366" i="73"/>
  <c r="A374" i="73"/>
  <c r="K24" i="74"/>
  <c r="L24" i="74"/>
  <c r="K6" i="15"/>
  <c r="K22" i="15" s="1"/>
  <c r="P22" i="15" s="1"/>
  <c r="P6" i="15"/>
  <c r="G4" i="74" l="1"/>
  <c r="B4" i="74" s="1"/>
  <c r="F4" i="74"/>
  <c r="E4" i="74"/>
  <c r="A27" i="76"/>
  <c r="B27" i="76"/>
  <c r="F28" i="76"/>
  <c r="E24" i="74"/>
  <c r="G19" i="74"/>
  <c r="F21" i="74"/>
  <c r="F22" i="74"/>
  <c r="G18" i="74"/>
  <c r="F17" i="74"/>
  <c r="E19" i="74"/>
  <c r="M15" i="74" a="1"/>
  <c r="M15" i="74" s="1"/>
  <c r="M18" i="74" a="1"/>
  <c r="M18" i="74" s="1"/>
  <c r="M6" i="74" a="1"/>
  <c r="M6" i="74" s="1"/>
  <c r="M9" i="74" a="1"/>
  <c r="M9" i="74" s="1"/>
  <c r="M14" i="74" a="1"/>
  <c r="M14" i="74" s="1"/>
  <c r="M7" i="74" a="1"/>
  <c r="M7" i="74" s="1"/>
  <c r="E17" i="74"/>
  <c r="G22" i="74"/>
  <c r="M26" i="74" a="1"/>
  <c r="M26" i="74" s="1"/>
  <c r="M20" i="74" a="1"/>
  <c r="M20" i="74" s="1"/>
  <c r="M10" i="74" a="1"/>
  <c r="M10" i="74" s="1"/>
  <c r="M16" i="74" a="1"/>
  <c r="M16" i="74" s="1"/>
  <c r="M4" i="74" a="1"/>
  <c r="M4" i="74" s="1"/>
  <c r="M11" i="74" a="1"/>
  <c r="M11" i="74" s="1"/>
  <c r="G24" i="74"/>
  <c r="F24" i="74"/>
  <c r="F18" i="74"/>
  <c r="G20" i="74"/>
  <c r="E18" i="74"/>
  <c r="F19" i="74"/>
  <c r="F20" i="74"/>
  <c r="E21" i="74"/>
  <c r="G21" i="74"/>
  <c r="E22" i="74"/>
  <c r="M17" i="74" a="1"/>
  <c r="M17" i="74" s="1"/>
  <c r="M8" i="74" a="1"/>
  <c r="M8" i="74" s="1"/>
  <c r="M5" i="74" a="1"/>
  <c r="M5" i="74" s="1"/>
  <c r="M12" i="74" a="1"/>
  <c r="M12" i="74" s="1"/>
  <c r="M19" i="74" a="1"/>
  <c r="M19" i="74" s="1"/>
  <c r="M23" i="74" a="1"/>
  <c r="M23" i="74" s="1"/>
  <c r="M13" i="74" a="1"/>
  <c r="M13" i="74" s="1"/>
  <c r="M22" i="74" a="1"/>
  <c r="M22" i="74" s="1"/>
  <c r="M24" i="74" a="1"/>
  <c r="M24" i="74" s="1"/>
  <c r="M25" i="74" a="1"/>
  <c r="M25" i="74" s="1"/>
  <c r="M21" i="74" a="1"/>
  <c r="M21" i="74" s="1"/>
  <c r="M27" i="74" a="1"/>
  <c r="M27" i="74" s="1"/>
  <c r="A28" i="74"/>
  <c r="G23" i="74"/>
  <c r="E23" i="74"/>
  <c r="F23" i="74"/>
  <c r="E20" i="74"/>
  <c r="F7" i="74"/>
  <c r="G10" i="74"/>
  <c r="G5" i="74"/>
  <c r="B5" i="74" s="1"/>
  <c r="E9" i="74"/>
  <c r="F9" i="74"/>
  <c r="F8" i="74"/>
  <c r="G8" i="74"/>
  <c r="F5" i="74"/>
  <c r="G12" i="74"/>
  <c r="F11" i="74"/>
  <c r="E10" i="74"/>
  <c r="F10" i="74"/>
  <c r="E6" i="74"/>
  <c r="F6" i="74"/>
  <c r="E5" i="74"/>
  <c r="G9" i="74"/>
  <c r="E15" i="74"/>
  <c r="F13" i="74"/>
  <c r="F12" i="74"/>
  <c r="G11" i="74"/>
  <c r="G6" i="74"/>
  <c r="I6" i="74" s="1"/>
  <c r="G7" i="74"/>
  <c r="E11" i="74"/>
  <c r="E13" i="74"/>
  <c r="E7" i="74"/>
  <c r="E8" i="74"/>
  <c r="G14" i="74"/>
  <c r="F14" i="74"/>
  <c r="E12" i="74"/>
  <c r="G13" i="74"/>
  <c r="E14" i="74"/>
  <c r="F16" i="74"/>
  <c r="F15" i="74"/>
  <c r="E16" i="74"/>
  <c r="G15" i="74"/>
  <c r="G16" i="74"/>
  <c r="G17" i="74"/>
  <c r="E25" i="74"/>
  <c r="F25" i="74"/>
  <c r="G25" i="74"/>
  <c r="L25" i="74"/>
  <c r="K25" i="74"/>
  <c r="K6" i="16"/>
  <c r="K22" i="16" s="1"/>
  <c r="P22" i="16" s="1"/>
  <c r="P6" i="16"/>
  <c r="I5" i="74" l="1"/>
  <c r="F29" i="76"/>
  <c r="B28" i="76"/>
  <c r="A28" i="76"/>
  <c r="B15" i="74"/>
  <c r="H15" i="74" s="1"/>
  <c r="J15" i="74" s="1"/>
  <c r="I15" i="74"/>
  <c r="I21" i="74"/>
  <c r="B24" i="74"/>
  <c r="I24" i="74"/>
  <c r="I13" i="74"/>
  <c r="B12" i="74"/>
  <c r="H12" i="74" s="1"/>
  <c r="J12" i="74" s="1"/>
  <c r="I12" i="74"/>
  <c r="I23" i="74"/>
  <c r="B20" i="74"/>
  <c r="I20" i="74"/>
  <c r="I18" i="74"/>
  <c r="B14" i="74"/>
  <c r="H14" i="74" s="1"/>
  <c r="J14" i="74" s="1"/>
  <c r="I14" i="74"/>
  <c r="B9" i="74"/>
  <c r="H9" i="74" s="1"/>
  <c r="J9" i="74" s="1"/>
  <c r="I9" i="74"/>
  <c r="I4" i="74"/>
  <c r="B10" i="74"/>
  <c r="H10" i="74" s="1"/>
  <c r="J10" i="74" s="1"/>
  <c r="I10" i="74"/>
  <c r="I17" i="74"/>
  <c r="B11" i="74"/>
  <c r="H11" i="74" s="1"/>
  <c r="J11" i="74" s="1"/>
  <c r="I11" i="74"/>
  <c r="B25" i="74"/>
  <c r="I25" i="74"/>
  <c r="B16" i="74"/>
  <c r="H16" i="74" s="1"/>
  <c r="J16" i="74" s="1"/>
  <c r="I16" i="74"/>
  <c r="I7" i="74"/>
  <c r="B8" i="74"/>
  <c r="I8" i="74"/>
  <c r="B22" i="74"/>
  <c r="I22" i="74"/>
  <c r="I19" i="74"/>
  <c r="B23" i="74"/>
  <c r="H23" i="74" s="1"/>
  <c r="J23" i="74" s="1"/>
  <c r="P26" i="74" a="1"/>
  <c r="P26" i="74" s="1"/>
  <c r="O26" i="74" a="1"/>
  <c r="O26" i="74" s="1"/>
  <c r="N26" i="74" a="1"/>
  <c r="N26" i="74" s="1"/>
  <c r="Q26" i="74" s="1"/>
  <c r="C26" i="74" s="1"/>
  <c r="P25" i="74" a="1"/>
  <c r="P25" i="74" s="1"/>
  <c r="O25" i="74" a="1"/>
  <c r="O25" i="74" s="1"/>
  <c r="N25" i="74" a="1"/>
  <c r="N25" i="74" s="1"/>
  <c r="Q25" i="74" s="1"/>
  <c r="C25" i="74" s="1"/>
  <c r="N12" i="74" a="1"/>
  <c r="N12" i="74" s="1"/>
  <c r="Q12" i="74" s="1"/>
  <c r="C12" i="74" s="1"/>
  <c r="P12" i="74" a="1"/>
  <c r="P12" i="74" s="1"/>
  <c r="O12" i="74" a="1"/>
  <c r="O12" i="74" s="1"/>
  <c r="O5" i="74" a="1"/>
  <c r="O5" i="74" s="1"/>
  <c r="N5" i="74" a="1"/>
  <c r="N5" i="74" s="1"/>
  <c r="Q5" i="74" s="1"/>
  <c r="C5" i="74" s="1"/>
  <c r="P5" i="74" a="1"/>
  <c r="P5" i="74" s="1"/>
  <c r="O4" i="74" a="1"/>
  <c r="O4" i="74" s="1"/>
  <c r="P4" i="74" a="1"/>
  <c r="P4" i="74" s="1"/>
  <c r="N4" i="74" a="1"/>
  <c r="N4" i="74" s="1"/>
  <c r="Q4" i="74" s="1"/>
  <c r="C4" i="74" s="1"/>
  <c r="N20" i="74" a="1"/>
  <c r="N20" i="74" s="1"/>
  <c r="Q20" i="74" s="1"/>
  <c r="C20" i="74" s="1"/>
  <c r="O20" i="74" a="1"/>
  <c r="O20" i="74" s="1"/>
  <c r="P20" i="74" a="1"/>
  <c r="P20" i="74" s="1"/>
  <c r="N9" i="74" a="1"/>
  <c r="N9" i="74" s="1"/>
  <c r="Q9" i="74" s="1"/>
  <c r="C9" i="74" s="1"/>
  <c r="O9" i="74" a="1"/>
  <c r="O9" i="74" s="1"/>
  <c r="P9" i="74" a="1"/>
  <c r="P9" i="74" s="1"/>
  <c r="N15" i="74" a="1"/>
  <c r="N15" i="74" s="1"/>
  <c r="Q15" i="74" s="1"/>
  <c r="O15" i="74" a="1"/>
  <c r="O15" i="74" s="1"/>
  <c r="P15" i="74" a="1"/>
  <c r="P15" i="74" s="1"/>
  <c r="P22" i="74" a="1"/>
  <c r="P22" i="74" s="1"/>
  <c r="N22" i="74" a="1"/>
  <c r="N22" i="74" s="1"/>
  <c r="Q22" i="74" s="1"/>
  <c r="C22" i="74" s="1"/>
  <c r="O22" i="74" a="1"/>
  <c r="O22" i="74" s="1"/>
  <c r="N8" i="74" a="1"/>
  <c r="N8" i="74" s="1"/>
  <c r="Q8" i="74" s="1"/>
  <c r="C8" i="74" s="1"/>
  <c r="O8" i="74" a="1"/>
  <c r="O8" i="74" s="1"/>
  <c r="P8" i="74" a="1"/>
  <c r="P8" i="74" s="1"/>
  <c r="P10" i="74" a="1"/>
  <c r="P10" i="74" s="1"/>
  <c r="N10" i="74" a="1"/>
  <c r="N10" i="74" s="1"/>
  <c r="Q10" i="74" s="1"/>
  <c r="C10" i="74" s="1"/>
  <c r="O10" i="74" a="1"/>
  <c r="O10" i="74" s="1"/>
  <c r="O7" i="74" a="1"/>
  <c r="O7" i="74" s="1"/>
  <c r="P7" i="74" a="1"/>
  <c r="P7" i="74" s="1"/>
  <c r="N7" i="74" a="1"/>
  <c r="N7" i="74" s="1"/>
  <c r="Q7" i="74" s="1"/>
  <c r="C7" i="74" s="1"/>
  <c r="B7" i="74" s="1"/>
  <c r="P14" i="74" a="1"/>
  <c r="P14" i="74" s="1"/>
  <c r="O14" i="74" a="1"/>
  <c r="O14" i="74" s="1"/>
  <c r="N14" i="74" a="1"/>
  <c r="N14" i="74" s="1"/>
  <c r="Q14" i="74" s="1"/>
  <c r="C14" i="74" s="1"/>
  <c r="P6" i="74" a="1"/>
  <c r="P6" i="74" s="1"/>
  <c r="N6" i="74" a="1"/>
  <c r="N6" i="74" s="1"/>
  <c r="Q6" i="74" s="1"/>
  <c r="C6" i="74" s="1"/>
  <c r="O6" i="74" a="1"/>
  <c r="O6" i="74" s="1"/>
  <c r="P21" i="74" a="1"/>
  <c r="P21" i="74" s="1"/>
  <c r="O21" i="74" a="1"/>
  <c r="O21" i="74" s="1"/>
  <c r="N21" i="74" a="1"/>
  <c r="N21" i="74" s="1"/>
  <c r="Q21" i="74" s="1"/>
  <c r="C21" i="74" s="1"/>
  <c r="B21" i="74" s="1"/>
  <c r="O24" i="74" a="1"/>
  <c r="O24" i="74" s="1"/>
  <c r="P24" i="74" a="1"/>
  <c r="P24" i="74" s="1"/>
  <c r="N24" i="74" a="1"/>
  <c r="N24" i="74" s="1"/>
  <c r="Q24" i="74" s="1"/>
  <c r="C24" i="74" s="1"/>
  <c r="O13" i="74" a="1"/>
  <c r="O13" i="74" s="1"/>
  <c r="P13" i="74" a="1"/>
  <c r="P13" i="74" s="1"/>
  <c r="N13" i="74" a="1"/>
  <c r="N13" i="74" s="1"/>
  <c r="Q13" i="74" s="1"/>
  <c r="C13" i="74" s="1"/>
  <c r="B13" i="74" s="1"/>
  <c r="P11" i="74" a="1"/>
  <c r="P11" i="74" s="1"/>
  <c r="N11" i="74" a="1"/>
  <c r="N11" i="74" s="1"/>
  <c r="Q11" i="74" s="1"/>
  <c r="C11" i="74" s="1"/>
  <c r="O11" i="74" a="1"/>
  <c r="O11" i="74" s="1"/>
  <c r="N23" i="74" a="1"/>
  <c r="N23" i="74" s="1"/>
  <c r="Q23" i="74" s="1"/>
  <c r="C23" i="74" s="1"/>
  <c r="O23" i="74" a="1"/>
  <c r="O23" i="74" s="1"/>
  <c r="P23" i="74" a="1"/>
  <c r="P23" i="74" s="1"/>
  <c r="P19" i="74" a="1"/>
  <c r="P19" i="74" s="1"/>
  <c r="N19" i="74" a="1"/>
  <c r="N19" i="74" s="1"/>
  <c r="Q19" i="74" s="1"/>
  <c r="C19" i="74" s="1"/>
  <c r="B19" i="74" s="1"/>
  <c r="O19" i="74" a="1"/>
  <c r="O19" i="74" s="1"/>
  <c r="O17" i="74" a="1"/>
  <c r="O17" i="74" s="1"/>
  <c r="P17" i="74" a="1"/>
  <c r="P17" i="74" s="1"/>
  <c r="N17" i="74" a="1"/>
  <c r="N17" i="74" s="1"/>
  <c r="Q17" i="74" s="1"/>
  <c r="C17" i="74" s="1"/>
  <c r="B17" i="74" s="1"/>
  <c r="N16" i="74" a="1"/>
  <c r="N16" i="74" s="1"/>
  <c r="Q16" i="74" s="1"/>
  <c r="C16" i="74" s="1"/>
  <c r="O16" i="74" a="1"/>
  <c r="O16" i="74" s="1"/>
  <c r="P16" i="74" a="1"/>
  <c r="P16" i="74" s="1"/>
  <c r="P18" i="74" a="1"/>
  <c r="P18" i="74" s="1"/>
  <c r="O18" i="74" a="1"/>
  <c r="O18" i="74" s="1"/>
  <c r="N18" i="74" a="1"/>
  <c r="N18" i="74" s="1"/>
  <c r="Q18" i="74" s="1"/>
  <c r="C18" i="74" s="1"/>
  <c r="B18" i="74" s="1"/>
  <c r="N27" i="74" a="1"/>
  <c r="N27" i="74" s="1"/>
  <c r="Q27" i="74" s="1"/>
  <c r="C27" i="74" s="1"/>
  <c r="O27" i="74" a="1"/>
  <c r="O27" i="74" s="1"/>
  <c r="P27" i="74" a="1"/>
  <c r="P27" i="74" s="1"/>
  <c r="M28" i="74" a="1"/>
  <c r="M28" i="74" s="1"/>
  <c r="A29" i="74"/>
  <c r="F26" i="74"/>
  <c r="G26" i="74"/>
  <c r="E26" i="74"/>
  <c r="K26" i="74"/>
  <c r="L26" i="74"/>
  <c r="K6" i="17"/>
  <c r="K22" i="17" s="1"/>
  <c r="P22" i="17" s="1"/>
  <c r="P6" i="17"/>
  <c r="H24" i="74" l="1"/>
  <c r="J24" i="74" s="1"/>
  <c r="F30" i="76"/>
  <c r="B29" i="76"/>
  <c r="A29" i="76"/>
  <c r="H22" i="74"/>
  <c r="B26" i="74"/>
  <c r="I26" i="74"/>
  <c r="H21" i="74"/>
  <c r="J21" i="74" s="1"/>
  <c r="B6" i="74"/>
  <c r="C15" i="74"/>
  <c r="R14" i="74"/>
  <c r="D14" i="74" s="1"/>
  <c r="R24" i="74"/>
  <c r="D24" i="74" s="1"/>
  <c r="R7" i="74"/>
  <c r="D7" i="74" s="1"/>
  <c r="H7" i="74" s="1"/>
  <c r="J7" i="74" s="1"/>
  <c r="R10" i="74"/>
  <c r="D10" i="74" s="1"/>
  <c r="R18" i="74"/>
  <c r="D18" i="74" s="1"/>
  <c r="R21" i="74"/>
  <c r="D21" i="74" s="1"/>
  <c r="R9" i="74"/>
  <c r="D9" i="74" s="1"/>
  <c r="R26" i="74"/>
  <c r="D26" i="74" s="1"/>
  <c r="R19" i="74"/>
  <c r="D19" i="74" s="1"/>
  <c r="H19" i="74" s="1"/>
  <c r="J19" i="74" s="1"/>
  <c r="AE11" i="74"/>
  <c r="AE8" i="74"/>
  <c r="AE16" i="74"/>
  <c r="AE6" i="74"/>
  <c r="AE12" i="74"/>
  <c r="AE9" i="74"/>
  <c r="AE7" i="74"/>
  <c r="AE18" i="74"/>
  <c r="AE13" i="74"/>
  <c r="R22" i="74"/>
  <c r="D22" i="74" s="1"/>
  <c r="R23" i="74"/>
  <c r="D23" i="74" s="1"/>
  <c r="R27" i="74"/>
  <c r="D27" i="74" s="1"/>
  <c r="R15" i="74"/>
  <c r="D15" i="74" s="1"/>
  <c r="R11" i="74"/>
  <c r="D11" i="74" s="1"/>
  <c r="R16" i="74"/>
  <c r="D16" i="74" s="1"/>
  <c r="R17" i="74"/>
  <c r="D17" i="74" s="1"/>
  <c r="R13" i="74"/>
  <c r="D13" i="74" s="1"/>
  <c r="H13" i="74" s="1"/>
  <c r="J13" i="74" s="1"/>
  <c r="R8" i="74"/>
  <c r="D8" i="74" s="1"/>
  <c r="R20" i="74"/>
  <c r="D20" i="74" s="1"/>
  <c r="R12" i="74"/>
  <c r="D12" i="74" s="1"/>
  <c r="R25" i="74"/>
  <c r="D25" i="74" s="1"/>
  <c r="R4" i="74"/>
  <c r="D4" i="74" s="1"/>
  <c r="H4" i="74" s="1"/>
  <c r="R6" i="74"/>
  <c r="D6" i="74" s="1"/>
  <c r="R5" i="74"/>
  <c r="D5" i="74" s="1"/>
  <c r="N28" i="74" a="1"/>
  <c r="N28" i="74" s="1"/>
  <c r="Q28" i="74" s="1"/>
  <c r="C28" i="74" s="1"/>
  <c r="O28" i="74" a="1"/>
  <c r="O28" i="74" s="1"/>
  <c r="P28" i="74" a="1"/>
  <c r="P28" i="74" s="1"/>
  <c r="H25" i="74"/>
  <c r="J25" i="74" s="1"/>
  <c r="M29" i="74" a="1"/>
  <c r="M29" i="74" s="1"/>
  <c r="A30" i="74"/>
  <c r="H17" i="74"/>
  <c r="J17" i="74" s="1"/>
  <c r="H18" i="74"/>
  <c r="J18" i="74" s="1"/>
  <c r="H20" i="74"/>
  <c r="J20" i="74" s="1"/>
  <c r="E27" i="74"/>
  <c r="F27" i="74"/>
  <c r="G27" i="74"/>
  <c r="L27" i="74"/>
  <c r="K27" i="74"/>
  <c r="K6" i="18"/>
  <c r="K22" i="18" s="1"/>
  <c r="P22" i="18" s="1"/>
  <c r="P6" i="18"/>
  <c r="J22" i="74" l="1"/>
  <c r="F31" i="76"/>
  <c r="B30" i="76"/>
  <c r="A30" i="76"/>
  <c r="B27" i="74"/>
  <c r="I27" i="74"/>
  <c r="S20" i="74"/>
  <c r="S19" i="74"/>
  <c r="S23" i="74"/>
  <c r="S26" i="74"/>
  <c r="S25" i="74"/>
  <c r="S22" i="74"/>
  <c r="S27" i="74"/>
  <c r="S21" i="74"/>
  <c r="S24" i="74"/>
  <c r="H8" i="74"/>
  <c r="J8" i="74" s="1"/>
  <c r="AB18" i="74"/>
  <c r="AD18" i="74"/>
  <c r="AA18" i="74"/>
  <c r="AC18" i="74"/>
  <c r="AD12" i="74"/>
  <c r="AC12" i="74"/>
  <c r="AB12" i="74"/>
  <c r="AA12" i="74"/>
  <c r="AD6" i="74"/>
  <c r="AA6" i="74"/>
  <c r="AC6" i="74"/>
  <c r="AB6" i="74"/>
  <c r="AB8" i="74"/>
  <c r="AC8" i="74"/>
  <c r="AA8" i="74"/>
  <c r="AD8" i="74"/>
  <c r="AD13" i="74"/>
  <c r="AB13" i="74"/>
  <c r="AA13" i="74"/>
  <c r="AC13" i="74"/>
  <c r="AA7" i="74"/>
  <c r="AB7" i="74"/>
  <c r="AD7" i="74"/>
  <c r="AC7" i="74"/>
  <c r="AD9" i="74"/>
  <c r="AA9" i="74"/>
  <c r="AC9" i="74"/>
  <c r="AB9" i="74"/>
  <c r="AD16" i="74"/>
  <c r="AB16" i="74"/>
  <c r="AC16" i="74"/>
  <c r="AA16" i="74"/>
  <c r="AA11" i="74"/>
  <c r="AB11" i="74"/>
  <c r="AD11" i="74"/>
  <c r="AC11" i="74"/>
  <c r="H5" i="74"/>
  <c r="J5" i="74" s="1"/>
  <c r="H6" i="74"/>
  <c r="J6" i="74" s="1"/>
  <c r="AE4" i="74"/>
  <c r="AE5" i="74"/>
  <c r="AE17" i="74"/>
  <c r="AE10" i="74"/>
  <c r="AE15" i="74"/>
  <c r="AE14" i="74"/>
  <c r="J4" i="74"/>
  <c r="R28" i="74"/>
  <c r="D28" i="74" s="1"/>
  <c r="N29" i="74" a="1"/>
  <c r="N29" i="74" s="1"/>
  <c r="Q29" i="74" s="1"/>
  <c r="C29" i="74" s="1"/>
  <c r="O29" i="74" a="1"/>
  <c r="O29" i="74" s="1"/>
  <c r="H26" i="74"/>
  <c r="P29" i="74" a="1"/>
  <c r="P29" i="74" s="1"/>
  <c r="M30" i="74" a="1"/>
  <c r="M30" i="74" s="1"/>
  <c r="A31" i="74"/>
  <c r="G28" i="74"/>
  <c r="E28" i="74"/>
  <c r="F28" i="74"/>
  <c r="K28" i="74"/>
  <c r="L28" i="74"/>
  <c r="K6" i="19"/>
  <c r="K22" i="19" s="1"/>
  <c r="P22" i="19" s="1"/>
  <c r="P6" i="19"/>
  <c r="J26" i="74" l="1"/>
  <c r="F32" i="76"/>
  <c r="A31" i="76"/>
  <c r="B31" i="76"/>
  <c r="B28" i="74"/>
  <c r="I28" i="74"/>
  <c r="S11" i="74"/>
  <c r="S28" i="74"/>
  <c r="S8" i="74"/>
  <c r="S6" i="74"/>
  <c r="S18" i="74"/>
  <c r="S12" i="74"/>
  <c r="S13" i="74"/>
  <c r="S7" i="74"/>
  <c r="S16" i="74"/>
  <c r="S9" i="74"/>
  <c r="AB14" i="74"/>
  <c r="AA14" i="74"/>
  <c r="AD14" i="74"/>
  <c r="AC14" i="74"/>
  <c r="AD17" i="74"/>
  <c r="AB17" i="74"/>
  <c r="AA17" i="74"/>
  <c r="AC17" i="74"/>
  <c r="AD4" i="74"/>
  <c r="AA4" i="74"/>
  <c r="AC4" i="74"/>
  <c r="AB4" i="74"/>
  <c r="S4" i="74" s="1"/>
  <c r="AC15" i="74"/>
  <c r="AA15" i="74"/>
  <c r="AB15" i="74"/>
  <c r="AD15" i="74"/>
  <c r="AB10" i="74"/>
  <c r="AA10" i="74"/>
  <c r="AD10" i="74"/>
  <c r="AC10" i="74"/>
  <c r="AD5" i="74"/>
  <c r="AC5" i="74"/>
  <c r="AB5" i="74"/>
  <c r="AA5" i="74"/>
  <c r="R29" i="74"/>
  <c r="D29" i="74" s="1"/>
  <c r="N30" i="74" a="1"/>
  <c r="N30" i="74" s="1"/>
  <c r="Q30" i="74" s="1"/>
  <c r="C30" i="74" s="1"/>
  <c r="O30" i="74" a="1"/>
  <c r="O30" i="74" s="1"/>
  <c r="P30" i="74" a="1"/>
  <c r="P30" i="74" s="1"/>
  <c r="M31" i="74" a="1"/>
  <c r="M31" i="74" s="1"/>
  <c r="H27" i="74"/>
  <c r="J27" i="74" s="1"/>
  <c r="A32" i="74"/>
  <c r="E29" i="74"/>
  <c r="F29" i="74"/>
  <c r="G29" i="74"/>
  <c r="L29" i="74"/>
  <c r="K29" i="74"/>
  <c r="K6" i="20"/>
  <c r="K22" i="20" s="1"/>
  <c r="P22" i="20" s="1"/>
  <c r="P6" i="20"/>
  <c r="F33" i="76" l="1"/>
  <c r="A32" i="76"/>
  <c r="B32" i="76"/>
  <c r="B29" i="74"/>
  <c r="I29" i="74"/>
  <c r="S29" i="74"/>
  <c r="S10" i="74"/>
  <c r="S14" i="74"/>
  <c r="S17" i="74"/>
  <c r="S5" i="74"/>
  <c r="S15" i="74"/>
  <c r="R30" i="74"/>
  <c r="D30" i="74" s="1"/>
  <c r="N31" i="74" a="1"/>
  <c r="N31" i="74" s="1"/>
  <c r="Q31" i="74" s="1"/>
  <c r="C31" i="74" s="1"/>
  <c r="O31" i="74" a="1"/>
  <c r="O31" i="74" s="1"/>
  <c r="P31" i="74" a="1"/>
  <c r="P31" i="74" s="1"/>
  <c r="M32" i="74" a="1"/>
  <c r="M32" i="74" s="1"/>
  <c r="H28" i="74"/>
  <c r="J28" i="74" s="1"/>
  <c r="A33" i="74"/>
  <c r="G30" i="74"/>
  <c r="E30" i="74"/>
  <c r="F30" i="74"/>
  <c r="K30" i="74"/>
  <c r="L30" i="74"/>
  <c r="K6" i="21"/>
  <c r="K22" i="21" s="1"/>
  <c r="P22" i="21" s="1"/>
  <c r="P6" i="21"/>
  <c r="A33" i="76" l="1"/>
  <c r="B33" i="76"/>
  <c r="F34" i="76"/>
  <c r="B30" i="74"/>
  <c r="I30" i="74"/>
  <c r="S30" i="74"/>
  <c r="R31" i="74"/>
  <c r="D31" i="74" s="1"/>
  <c r="N32" i="74" a="1"/>
  <c r="N32" i="74" s="1"/>
  <c r="Q32" i="74" s="1"/>
  <c r="C32" i="74" s="1"/>
  <c r="O32" i="74" a="1"/>
  <c r="O32" i="74" s="1"/>
  <c r="P32" i="74" a="1"/>
  <c r="P32" i="74" s="1"/>
  <c r="M33" i="74" a="1"/>
  <c r="M33" i="74" s="1"/>
  <c r="H29" i="74"/>
  <c r="J29" i="74" s="1"/>
  <c r="A34" i="74"/>
  <c r="F31" i="74"/>
  <c r="G31" i="74"/>
  <c r="E31" i="74"/>
  <c r="L31" i="74"/>
  <c r="K31" i="74"/>
  <c r="P6" i="22"/>
  <c r="K6" i="22"/>
  <c r="K22" i="22" s="1"/>
  <c r="P22" i="22" s="1"/>
  <c r="B34" i="76" l="1"/>
  <c r="A34" i="76"/>
  <c r="F35" i="76"/>
  <c r="B31" i="74"/>
  <c r="I31" i="74"/>
  <c r="S31" i="74"/>
  <c r="R32" i="74"/>
  <c r="D32" i="74" s="1"/>
  <c r="N33" i="74" a="1"/>
  <c r="N33" i="74" s="1"/>
  <c r="Q33" i="74" s="1"/>
  <c r="C33" i="74" s="1"/>
  <c r="O33" i="74" a="1"/>
  <c r="O33" i="74" s="1"/>
  <c r="P33" i="74" a="1"/>
  <c r="P33" i="74" s="1"/>
  <c r="M34" i="74" a="1"/>
  <c r="M34" i="74" s="1"/>
  <c r="H30" i="74"/>
  <c r="J30" i="74" s="1"/>
  <c r="A35" i="74"/>
  <c r="E32" i="74"/>
  <c r="F32" i="74"/>
  <c r="G32" i="74"/>
  <c r="K32" i="74"/>
  <c r="L32" i="74"/>
  <c r="K6" i="23"/>
  <c r="K22" i="23" s="1"/>
  <c r="P22" i="23" s="1"/>
  <c r="P6" i="23"/>
  <c r="A35" i="76" l="1"/>
  <c r="B35" i="76"/>
  <c r="F36" i="76"/>
  <c r="B32" i="74"/>
  <c r="I32" i="74"/>
  <c r="S32" i="74"/>
  <c r="R33" i="74"/>
  <c r="D33" i="74" s="1"/>
  <c r="N34" i="74" a="1"/>
  <c r="N34" i="74" s="1"/>
  <c r="Q34" i="74" s="1"/>
  <c r="C34" i="74" s="1"/>
  <c r="O34" i="74" a="1"/>
  <c r="O34" i="74" s="1"/>
  <c r="P34" i="74" a="1"/>
  <c r="P34" i="74" s="1"/>
  <c r="M35" i="74" a="1"/>
  <c r="M35" i="74" s="1"/>
  <c r="H31" i="74"/>
  <c r="J31" i="74" s="1"/>
  <c r="A36" i="74"/>
  <c r="F33" i="74"/>
  <c r="G33" i="74"/>
  <c r="E33" i="74"/>
  <c r="L33" i="74"/>
  <c r="K33" i="74"/>
  <c r="K6" i="24"/>
  <c r="K22" i="24" s="1"/>
  <c r="P22" i="24" s="1"/>
  <c r="P6" i="24"/>
  <c r="B36" i="76" l="1"/>
  <c r="F37" i="76"/>
  <c r="A36" i="76"/>
  <c r="B33" i="74"/>
  <c r="I33" i="74"/>
  <c r="S33" i="74"/>
  <c r="R34" i="74"/>
  <c r="D34" i="74" s="1"/>
  <c r="N35" i="74" a="1"/>
  <c r="N35" i="74" s="1"/>
  <c r="Q35" i="74" s="1"/>
  <c r="C35" i="74" s="1"/>
  <c r="O35" i="74" a="1"/>
  <c r="O35" i="74" s="1"/>
  <c r="P35" i="74" a="1"/>
  <c r="P35" i="74" s="1"/>
  <c r="M36" i="74" a="1"/>
  <c r="M36" i="74" s="1"/>
  <c r="H32" i="74"/>
  <c r="J32" i="74" s="1"/>
  <c r="A37" i="74"/>
  <c r="E34" i="74"/>
  <c r="F34" i="74"/>
  <c r="G34" i="74"/>
  <c r="K34" i="74"/>
  <c r="L34" i="74"/>
  <c r="K6" i="25"/>
  <c r="K22" i="25" s="1"/>
  <c r="P22" i="25" s="1"/>
  <c r="P6" i="25"/>
  <c r="A37" i="76" l="1"/>
  <c r="F38" i="76"/>
  <c r="B37" i="76"/>
  <c r="B34" i="74"/>
  <c r="I34" i="74"/>
  <c r="S34" i="74"/>
  <c r="R35" i="74"/>
  <c r="D35" i="74" s="1"/>
  <c r="N36" i="74" a="1"/>
  <c r="N36" i="74" s="1"/>
  <c r="Q36" i="74" s="1"/>
  <c r="C36" i="74" s="1"/>
  <c r="O36" i="74" a="1"/>
  <c r="O36" i="74" s="1"/>
  <c r="P36" i="74" a="1"/>
  <c r="P36" i="74" s="1"/>
  <c r="M37" i="74" a="1"/>
  <c r="M37" i="74" s="1"/>
  <c r="H33" i="74"/>
  <c r="J33" i="74" s="1"/>
  <c r="A38" i="74"/>
  <c r="G35" i="74"/>
  <c r="E35" i="74"/>
  <c r="F35" i="74"/>
  <c r="L35" i="74"/>
  <c r="K35" i="74"/>
  <c r="F39" i="76" l="1"/>
  <c r="B38" i="76"/>
  <c r="A38" i="76"/>
  <c r="B35" i="74"/>
  <c r="I35" i="74"/>
  <c r="S35" i="74"/>
  <c r="R36" i="74"/>
  <c r="D36" i="74" s="1"/>
  <c r="N37" i="74" a="1"/>
  <c r="N37" i="74" s="1"/>
  <c r="Q37" i="74" s="1"/>
  <c r="C37" i="74" s="1"/>
  <c r="O37" i="74" a="1"/>
  <c r="O37" i="74" s="1"/>
  <c r="P37" i="74" a="1"/>
  <c r="P37" i="74" s="1"/>
  <c r="M38" i="74" a="1"/>
  <c r="M38" i="74" s="1"/>
  <c r="H34" i="74"/>
  <c r="J34" i="74" s="1"/>
  <c r="A39" i="74"/>
  <c r="E36" i="74"/>
  <c r="F36" i="74"/>
  <c r="G36" i="74"/>
  <c r="K36" i="74"/>
  <c r="L36" i="74"/>
  <c r="B39" i="76" l="1"/>
  <c r="A39" i="76"/>
  <c r="F40" i="76"/>
  <c r="B36" i="74"/>
  <c r="I36" i="74"/>
  <c r="S36" i="74"/>
  <c r="R37" i="74"/>
  <c r="D37" i="74" s="1"/>
  <c r="N38" i="74" a="1"/>
  <c r="N38" i="74" s="1"/>
  <c r="Q38" i="74" s="1"/>
  <c r="C38" i="74" s="1"/>
  <c r="O38" i="74" a="1"/>
  <c r="O38" i="74" s="1"/>
  <c r="P38" i="74" a="1"/>
  <c r="P38" i="74" s="1"/>
  <c r="M39" i="74" a="1"/>
  <c r="M39" i="74" s="1"/>
  <c r="H35" i="74"/>
  <c r="J35" i="74" s="1"/>
  <c r="A40" i="74"/>
  <c r="G37" i="74"/>
  <c r="E37" i="74"/>
  <c r="F37" i="74"/>
  <c r="L37" i="74"/>
  <c r="K37" i="74"/>
  <c r="A40" i="76" l="1"/>
  <c r="B40" i="76"/>
  <c r="B37" i="74"/>
  <c r="I37" i="74"/>
  <c r="S37" i="74"/>
  <c r="R38" i="74"/>
  <c r="D38" i="74" s="1"/>
  <c r="N39" i="74" a="1"/>
  <c r="N39" i="74" s="1"/>
  <c r="Q39" i="74" s="1"/>
  <c r="C39" i="74" s="1"/>
  <c r="O39" i="74" a="1"/>
  <c r="O39" i="74" s="1"/>
  <c r="P39" i="74" a="1"/>
  <c r="P39" i="74" s="1"/>
  <c r="M40" i="74" a="1"/>
  <c r="M40" i="74" s="1"/>
  <c r="H36" i="74"/>
  <c r="J36" i="74" s="1"/>
  <c r="A41" i="74"/>
  <c r="E38" i="74"/>
  <c r="F38" i="74"/>
  <c r="G38" i="74"/>
  <c r="K38" i="74"/>
  <c r="L38" i="74"/>
  <c r="B38" i="74" l="1"/>
  <c r="I38" i="74"/>
  <c r="S38" i="74"/>
  <c r="R39" i="74"/>
  <c r="D39" i="74" s="1"/>
  <c r="N40" i="74" a="1"/>
  <c r="N40" i="74" s="1"/>
  <c r="Q40" i="74" s="1"/>
  <c r="C40" i="74" s="1"/>
  <c r="O40" i="74" a="1"/>
  <c r="O40" i="74" s="1"/>
  <c r="P40" i="74" a="1"/>
  <c r="P40" i="74" s="1"/>
  <c r="M41" i="74" a="1"/>
  <c r="M41" i="74" s="1"/>
  <c r="H37" i="74"/>
  <c r="J37" i="74" s="1"/>
  <c r="A42" i="74"/>
  <c r="E39" i="74"/>
  <c r="F39" i="74"/>
  <c r="G39" i="74"/>
  <c r="L39" i="74"/>
  <c r="K39" i="74"/>
  <c r="B39" i="74" l="1"/>
  <c r="I39" i="74"/>
  <c r="S39" i="74"/>
  <c r="R40" i="74"/>
  <c r="D40" i="74" s="1"/>
  <c r="N41" i="74" a="1"/>
  <c r="N41" i="74" s="1"/>
  <c r="Q41" i="74" s="1"/>
  <c r="C41" i="74" s="1"/>
  <c r="O41" i="74" a="1"/>
  <c r="O41" i="74" s="1"/>
  <c r="P41" i="74" a="1"/>
  <c r="P41" i="74" s="1"/>
  <c r="M42" i="74" a="1"/>
  <c r="M42" i="74" s="1"/>
  <c r="H38" i="74"/>
  <c r="J38" i="74" s="1"/>
  <c r="A43" i="74"/>
  <c r="F40" i="74"/>
  <c r="G40" i="74"/>
  <c r="E40" i="74"/>
  <c r="K40" i="74"/>
  <c r="L40" i="74"/>
  <c r="B40" i="74" l="1"/>
  <c r="I40" i="74"/>
  <c r="S40" i="74"/>
  <c r="R41" i="74"/>
  <c r="D41" i="74" s="1"/>
  <c r="N42" i="74" a="1"/>
  <c r="N42" i="74" s="1"/>
  <c r="Q42" i="74" s="1"/>
  <c r="C42" i="74" s="1"/>
  <c r="O42" i="74" a="1"/>
  <c r="O42" i="74" s="1"/>
  <c r="P42" i="74" a="1"/>
  <c r="P42" i="74" s="1"/>
  <c r="M43" i="74" a="1"/>
  <c r="M43" i="74" s="1"/>
  <c r="H39" i="74"/>
  <c r="J39" i="74" s="1"/>
  <c r="A44" i="74"/>
  <c r="E41" i="74"/>
  <c r="F41" i="74"/>
  <c r="G41" i="74"/>
  <c r="L41" i="74"/>
  <c r="K41" i="74"/>
  <c r="B41" i="74" l="1"/>
  <c r="I41" i="74"/>
  <c r="S41" i="74"/>
  <c r="R42" i="74"/>
  <c r="D42" i="74" s="1"/>
  <c r="N43" i="74" a="1"/>
  <c r="N43" i="74" s="1"/>
  <c r="Q43" i="74" s="1"/>
  <c r="C43" i="74" s="1"/>
  <c r="O43" i="74" a="1"/>
  <c r="O43" i="74" s="1"/>
  <c r="P43" i="74" a="1"/>
  <c r="P43" i="74" s="1"/>
  <c r="M44" i="74" a="1"/>
  <c r="M44" i="74" s="1"/>
  <c r="H40" i="74"/>
  <c r="J40" i="74" s="1"/>
  <c r="A45" i="74"/>
  <c r="G42" i="74"/>
  <c r="E42" i="74"/>
  <c r="F42" i="74"/>
  <c r="K42" i="74"/>
  <c r="L42" i="74"/>
  <c r="B42" i="74" l="1"/>
  <c r="I42" i="74"/>
  <c r="S42" i="74"/>
  <c r="R43" i="74"/>
  <c r="D43" i="74" s="1"/>
  <c r="N44" i="74" a="1"/>
  <c r="N44" i="74" s="1"/>
  <c r="Q44" i="74" s="1"/>
  <c r="C44" i="74" s="1"/>
  <c r="O44" i="74" a="1"/>
  <c r="O44" i="74" s="1"/>
  <c r="P44" i="74" a="1"/>
  <c r="P44" i="74" s="1"/>
  <c r="M45" i="74" a="1"/>
  <c r="M45" i="74" s="1"/>
  <c r="H41" i="74"/>
  <c r="J41" i="74" s="1"/>
  <c r="A46" i="74"/>
  <c r="F43" i="74"/>
  <c r="G43" i="74"/>
  <c r="E43" i="74"/>
  <c r="L43" i="74"/>
  <c r="K43" i="74"/>
  <c r="B43" i="74" l="1"/>
  <c r="I43" i="74"/>
  <c r="S43" i="74"/>
  <c r="R44" i="74"/>
  <c r="D44" i="74" s="1"/>
  <c r="N45" i="74" a="1"/>
  <c r="N45" i="74" s="1"/>
  <c r="Q45" i="74" s="1"/>
  <c r="C45" i="74" s="1"/>
  <c r="O45" i="74" a="1"/>
  <c r="O45" i="74" s="1"/>
  <c r="H42" i="74"/>
  <c r="J42" i="74" s="1"/>
  <c r="P45" i="74" a="1"/>
  <c r="P45" i="74" s="1"/>
  <c r="M46" i="74" a="1"/>
  <c r="M46" i="74" s="1"/>
  <c r="A47" i="74"/>
  <c r="E44" i="74"/>
  <c r="F44" i="74"/>
  <c r="G44" i="74"/>
  <c r="K44" i="74"/>
  <c r="L44" i="74"/>
  <c r="B44" i="74" l="1"/>
  <c r="I44" i="74"/>
  <c r="S44" i="74"/>
  <c r="R45" i="74"/>
  <c r="D45" i="74" s="1"/>
  <c r="N46" i="74" a="1"/>
  <c r="N46" i="74" s="1"/>
  <c r="Q46" i="74" s="1"/>
  <c r="C46" i="74" s="1"/>
  <c r="O46" i="74" a="1"/>
  <c r="O46" i="74" s="1"/>
  <c r="H43" i="74"/>
  <c r="J43" i="74" s="1"/>
  <c r="P46" i="74" a="1"/>
  <c r="P46" i="74" s="1"/>
  <c r="M47" i="74" a="1"/>
  <c r="M47" i="74" s="1"/>
  <c r="A48" i="74"/>
  <c r="G45" i="74"/>
  <c r="E45" i="74"/>
  <c r="F45" i="74"/>
  <c r="L45" i="74"/>
  <c r="K45" i="74"/>
  <c r="B45" i="74" l="1"/>
  <c r="I45" i="74"/>
  <c r="S45" i="74"/>
  <c r="R46" i="74"/>
  <c r="D46" i="74" s="1"/>
  <c r="N47" i="74" a="1"/>
  <c r="N47" i="74" s="1"/>
  <c r="Q47" i="74" s="1"/>
  <c r="C47" i="74" s="1"/>
  <c r="O47" i="74" a="1"/>
  <c r="O47" i="74" s="1"/>
  <c r="P47" i="74" a="1"/>
  <c r="P47" i="74" s="1"/>
  <c r="M48" i="74" a="1"/>
  <c r="M48" i="74" s="1"/>
  <c r="H44" i="74"/>
  <c r="J44" i="74" s="1"/>
  <c r="A49" i="74"/>
  <c r="E46" i="74"/>
  <c r="F46" i="74"/>
  <c r="G46" i="74"/>
  <c r="K46" i="74"/>
  <c r="L46" i="74"/>
  <c r="B46" i="74" l="1"/>
  <c r="I46" i="74"/>
  <c r="S46" i="74"/>
  <c r="R47" i="74"/>
  <c r="D47" i="74" s="1"/>
  <c r="H45" i="74"/>
  <c r="J45" i="74" s="1"/>
  <c r="N48" i="74" a="1"/>
  <c r="N48" i="74" s="1"/>
  <c r="Q48" i="74" s="1"/>
  <c r="C48" i="74" s="1"/>
  <c r="O48" i="74" a="1"/>
  <c r="O48" i="74" s="1"/>
  <c r="P48" i="74" a="1"/>
  <c r="P48" i="74" s="1"/>
  <c r="M49" i="74" a="1"/>
  <c r="M49" i="74" s="1"/>
  <c r="A50" i="74"/>
  <c r="E47" i="74"/>
  <c r="F47" i="74"/>
  <c r="G47" i="74"/>
  <c r="L47" i="74"/>
  <c r="K47" i="74"/>
  <c r="B47" i="74" l="1"/>
  <c r="I47" i="74"/>
  <c r="S47" i="74"/>
  <c r="R48" i="74"/>
  <c r="D48" i="74" s="1"/>
  <c r="N49" i="74" a="1"/>
  <c r="N49" i="74" s="1"/>
  <c r="Q49" i="74" s="1"/>
  <c r="C49" i="74" s="1"/>
  <c r="O49" i="74" a="1"/>
  <c r="O49" i="74" s="1"/>
  <c r="H46" i="74"/>
  <c r="J46" i="74" s="1"/>
  <c r="P49" i="74" a="1"/>
  <c r="P49" i="74" s="1"/>
  <c r="M50" i="74" a="1"/>
  <c r="M50" i="74" s="1"/>
  <c r="A51" i="74"/>
  <c r="F48" i="74"/>
  <c r="G48" i="74"/>
  <c r="E48" i="74"/>
  <c r="K48" i="74"/>
  <c r="L48" i="74"/>
  <c r="B48" i="74" l="1"/>
  <c r="I48" i="74"/>
  <c r="S48" i="74"/>
  <c r="R49" i="74"/>
  <c r="D49" i="74" s="1"/>
  <c r="N50" i="74" a="1"/>
  <c r="N50" i="74" s="1"/>
  <c r="Q50" i="74" s="1"/>
  <c r="C50" i="74" s="1"/>
  <c r="O50" i="74" a="1"/>
  <c r="O50" i="74" s="1"/>
  <c r="H47" i="74"/>
  <c r="J47" i="74" s="1"/>
  <c r="P50" i="74" a="1"/>
  <c r="P50" i="74" s="1"/>
  <c r="M51" i="74" a="1"/>
  <c r="M51" i="74" s="1"/>
  <c r="A52" i="74"/>
  <c r="E49" i="74"/>
  <c r="F49" i="74"/>
  <c r="G49" i="74"/>
  <c r="L49" i="74"/>
  <c r="K49" i="74"/>
  <c r="B49" i="74" l="1"/>
  <c r="I49" i="74"/>
  <c r="S49" i="74"/>
  <c r="R50" i="74"/>
  <c r="D50" i="74" s="1"/>
  <c r="N51" i="74" a="1"/>
  <c r="N51" i="74" s="1"/>
  <c r="Q51" i="74" s="1"/>
  <c r="C51" i="74" s="1"/>
  <c r="O51" i="74" a="1"/>
  <c r="O51" i="74" s="1"/>
  <c r="H48" i="74"/>
  <c r="J48" i="74" s="1"/>
  <c r="P51" i="74" a="1"/>
  <c r="P51" i="74" s="1"/>
  <c r="M52" i="74" a="1"/>
  <c r="M52" i="74" s="1"/>
  <c r="A53" i="74"/>
  <c r="G50" i="74"/>
  <c r="E50" i="74"/>
  <c r="F50" i="74"/>
  <c r="K50" i="74"/>
  <c r="L50" i="74"/>
  <c r="B50" i="74" l="1"/>
  <c r="I50" i="74"/>
  <c r="S50" i="74"/>
  <c r="R51" i="74"/>
  <c r="D51" i="74" s="1"/>
  <c r="N52" i="74" a="1"/>
  <c r="N52" i="74" s="1"/>
  <c r="Q52" i="74" s="1"/>
  <c r="C52" i="74" s="1"/>
  <c r="O52" i="74" a="1"/>
  <c r="O52" i="74" s="1"/>
  <c r="H49" i="74"/>
  <c r="J49" i="74" s="1"/>
  <c r="P52" i="74" a="1"/>
  <c r="P52" i="74" s="1"/>
  <c r="M53" i="74" a="1"/>
  <c r="M53" i="74" s="1"/>
  <c r="A54" i="74"/>
  <c r="F51" i="74"/>
  <c r="G51" i="74"/>
  <c r="E51" i="74"/>
  <c r="L51" i="74"/>
  <c r="K51" i="74"/>
  <c r="B51" i="74" l="1"/>
  <c r="I51" i="74"/>
  <c r="S51" i="74"/>
  <c r="R52" i="74"/>
  <c r="D52" i="74" s="1"/>
  <c r="N53" i="74" a="1"/>
  <c r="N53" i="74" s="1"/>
  <c r="Q53" i="74" s="1"/>
  <c r="C53" i="74" s="1"/>
  <c r="O53" i="74" a="1"/>
  <c r="O53" i="74" s="1"/>
  <c r="H50" i="74"/>
  <c r="J50" i="74" s="1"/>
  <c r="P53" i="74" a="1"/>
  <c r="P53" i="74" s="1"/>
  <c r="M54" i="74" a="1"/>
  <c r="M54" i="74" s="1"/>
  <c r="A55" i="74"/>
  <c r="E52" i="74"/>
  <c r="F52" i="74"/>
  <c r="G52" i="74"/>
  <c r="K52" i="74"/>
  <c r="L52" i="74"/>
  <c r="B52" i="74" l="1"/>
  <c r="I52" i="74"/>
  <c r="S52" i="74"/>
  <c r="R53" i="74"/>
  <c r="D53" i="74" s="1"/>
  <c r="H51" i="74"/>
  <c r="J51" i="74" s="1"/>
  <c r="N54" i="74" a="1"/>
  <c r="N54" i="74" s="1"/>
  <c r="Q54" i="74" s="1"/>
  <c r="C54" i="74" s="1"/>
  <c r="O54" i="74" a="1"/>
  <c r="O54" i="74" s="1"/>
  <c r="P54" i="74" a="1"/>
  <c r="P54" i="74" s="1"/>
  <c r="M55" i="74" a="1"/>
  <c r="M55" i="74" s="1"/>
  <c r="A56" i="74"/>
  <c r="G53" i="74"/>
  <c r="E53" i="74"/>
  <c r="F53" i="74"/>
  <c r="L53" i="74"/>
  <c r="K53" i="74"/>
  <c r="B53" i="74" l="1"/>
  <c r="I53" i="74"/>
  <c r="S53" i="74"/>
  <c r="R54" i="74"/>
  <c r="D54" i="74" s="1"/>
  <c r="N55" i="74" a="1"/>
  <c r="N55" i="74" s="1"/>
  <c r="Q55" i="74" s="1"/>
  <c r="C55" i="74" s="1"/>
  <c r="O55" i="74" a="1"/>
  <c r="O55" i="74" s="1"/>
  <c r="H52" i="74"/>
  <c r="J52" i="74" s="1"/>
  <c r="P55" i="74" a="1"/>
  <c r="P55" i="74" s="1"/>
  <c r="M56" i="74" a="1"/>
  <c r="M56" i="74" s="1"/>
  <c r="A57" i="74"/>
  <c r="E54" i="74"/>
  <c r="F54" i="74"/>
  <c r="G54" i="74"/>
  <c r="K54" i="74"/>
  <c r="L54" i="74"/>
  <c r="I54" i="74" l="1"/>
  <c r="B54" i="74"/>
  <c r="S54" i="74"/>
  <c r="R55" i="74"/>
  <c r="D55" i="74" s="1"/>
  <c r="N56" i="74" a="1"/>
  <c r="N56" i="74" s="1"/>
  <c r="Q56" i="74" s="1"/>
  <c r="C56" i="74" s="1"/>
  <c r="O56" i="74" a="1"/>
  <c r="O56" i="74" s="1"/>
  <c r="H53" i="74"/>
  <c r="J53" i="74" s="1"/>
  <c r="P56" i="74" a="1"/>
  <c r="P56" i="74" s="1"/>
  <c r="M57" i="74" a="1"/>
  <c r="M57" i="74" s="1"/>
  <c r="A58" i="74"/>
  <c r="E55" i="74"/>
  <c r="F55" i="74"/>
  <c r="G55" i="74"/>
  <c r="L55" i="74"/>
  <c r="K55" i="74"/>
  <c r="B55" i="74" l="1"/>
  <c r="I55" i="74"/>
  <c r="S55" i="74"/>
  <c r="R56" i="74"/>
  <c r="D56" i="74" s="1"/>
  <c r="N57" i="74" a="1"/>
  <c r="N57" i="74" s="1"/>
  <c r="Q57" i="74" s="1"/>
  <c r="C57" i="74" s="1"/>
  <c r="O57" i="74" a="1"/>
  <c r="O57" i="74" s="1"/>
  <c r="P57" i="74" a="1"/>
  <c r="P57" i="74" s="1"/>
  <c r="M58" i="74" a="1"/>
  <c r="M58" i="74" s="1"/>
  <c r="H54" i="74"/>
  <c r="J54" i="74" s="1"/>
  <c r="A59" i="74"/>
  <c r="F56" i="74"/>
  <c r="G56" i="74"/>
  <c r="E56" i="74"/>
  <c r="K56" i="74"/>
  <c r="L56" i="74"/>
  <c r="B56" i="74" l="1"/>
  <c r="I56" i="74"/>
  <c r="S56" i="74"/>
  <c r="R57" i="74"/>
  <c r="D57" i="74" s="1"/>
  <c r="N58" i="74" a="1"/>
  <c r="N58" i="74" s="1"/>
  <c r="Q58" i="74" s="1"/>
  <c r="C58" i="74" s="1"/>
  <c r="O58" i="74" a="1"/>
  <c r="O58" i="74" s="1"/>
  <c r="P58" i="74" a="1"/>
  <c r="P58" i="74" s="1"/>
  <c r="M59" i="74" a="1"/>
  <c r="M59" i="74" s="1"/>
  <c r="H55" i="74"/>
  <c r="J55" i="74" s="1"/>
  <c r="A60" i="74"/>
  <c r="E57" i="74"/>
  <c r="F57" i="74"/>
  <c r="G57" i="74"/>
  <c r="L57" i="74"/>
  <c r="K57" i="74"/>
  <c r="B57" i="74" l="1"/>
  <c r="I57" i="74"/>
  <c r="S57" i="74"/>
  <c r="R58" i="74"/>
  <c r="D58" i="74" s="1"/>
  <c r="N59" i="74" a="1"/>
  <c r="N59" i="74" s="1"/>
  <c r="Q59" i="74" s="1"/>
  <c r="C59" i="74" s="1"/>
  <c r="O59" i="74" a="1"/>
  <c r="O59" i="74" s="1"/>
  <c r="H56" i="74"/>
  <c r="P59" i="74" a="1"/>
  <c r="P59" i="74" s="1"/>
  <c r="M60" i="74" a="1"/>
  <c r="M60" i="74" s="1"/>
  <c r="A61" i="74"/>
  <c r="G58" i="74"/>
  <c r="E58" i="74"/>
  <c r="F58" i="74"/>
  <c r="K58" i="74"/>
  <c r="L58" i="74"/>
  <c r="J56" i="74" l="1"/>
  <c r="B58" i="74"/>
  <c r="I58" i="74"/>
  <c r="S58" i="74"/>
  <c r="R59" i="74"/>
  <c r="D59" i="74" s="1"/>
  <c r="N60" i="74" a="1"/>
  <c r="N60" i="74" s="1"/>
  <c r="Q60" i="74" s="1"/>
  <c r="C60" i="74" s="1"/>
  <c r="O60" i="74" a="1"/>
  <c r="O60" i="74" s="1"/>
  <c r="P60" i="74" a="1"/>
  <c r="P60" i="74" s="1"/>
  <c r="M61" i="74" a="1"/>
  <c r="M61" i="74" s="1"/>
  <c r="H57" i="74"/>
  <c r="J57" i="74" s="1"/>
  <c r="A62" i="74"/>
  <c r="F59" i="74"/>
  <c r="G59" i="74"/>
  <c r="E59" i="74"/>
  <c r="L59" i="74"/>
  <c r="K59" i="74"/>
  <c r="B59" i="74" l="1"/>
  <c r="I59" i="74"/>
  <c r="S59" i="74"/>
  <c r="R60" i="74"/>
  <c r="D60" i="74" s="1"/>
  <c r="N61" i="74" a="1"/>
  <c r="N61" i="74" s="1"/>
  <c r="Q61" i="74" s="1"/>
  <c r="C61" i="74" s="1"/>
  <c r="O61" i="74" a="1"/>
  <c r="O61" i="74" s="1"/>
  <c r="H58" i="74"/>
  <c r="J58" i="74" s="1"/>
  <c r="P61" i="74" a="1"/>
  <c r="P61" i="74" s="1"/>
  <c r="M62" i="74" a="1"/>
  <c r="M62" i="74" s="1"/>
  <c r="A63" i="74"/>
  <c r="E60" i="74"/>
  <c r="F60" i="74"/>
  <c r="G60" i="74"/>
  <c r="K60" i="74"/>
  <c r="L60" i="74"/>
  <c r="B60" i="74" l="1"/>
  <c r="I60" i="74"/>
  <c r="S60" i="74"/>
  <c r="R61" i="74"/>
  <c r="D61" i="74" s="1"/>
  <c r="N62" i="74" a="1"/>
  <c r="N62" i="74" s="1"/>
  <c r="Q62" i="74" s="1"/>
  <c r="C62" i="74" s="1"/>
  <c r="O62" i="74" a="1"/>
  <c r="O62" i="74" s="1"/>
  <c r="P62" i="74" a="1"/>
  <c r="P62" i="74" s="1"/>
  <c r="M63" i="74" a="1"/>
  <c r="M63" i="74" s="1"/>
  <c r="H59" i="74"/>
  <c r="J59" i="74" s="1"/>
  <c r="A64" i="74"/>
  <c r="G61" i="74"/>
  <c r="E61" i="74"/>
  <c r="F61" i="74"/>
  <c r="L61" i="74"/>
  <c r="K61" i="74"/>
  <c r="B61" i="74" l="1"/>
  <c r="I61" i="74"/>
  <c r="S61" i="74"/>
  <c r="R62" i="74"/>
  <c r="D62" i="74" s="1"/>
  <c r="N63" i="74" a="1"/>
  <c r="N63" i="74" s="1"/>
  <c r="Q63" i="74" s="1"/>
  <c r="C63" i="74" s="1"/>
  <c r="O63" i="74" a="1"/>
  <c r="O63" i="74" s="1"/>
  <c r="H60" i="74"/>
  <c r="J60" i="74" s="1"/>
  <c r="P63" i="74" a="1"/>
  <c r="P63" i="74" s="1"/>
  <c r="M64" i="74" a="1"/>
  <c r="M64" i="74" s="1"/>
  <c r="A65" i="74"/>
  <c r="E62" i="74"/>
  <c r="F62" i="74"/>
  <c r="G62" i="74"/>
  <c r="K62" i="74"/>
  <c r="L62" i="74"/>
  <c r="B62" i="74" l="1"/>
  <c r="I62" i="74"/>
  <c r="S62" i="74"/>
  <c r="R63" i="74"/>
  <c r="D63" i="74" s="1"/>
  <c r="N64" i="74" a="1"/>
  <c r="N64" i="74" s="1"/>
  <c r="Q64" i="74" s="1"/>
  <c r="C64" i="74" s="1"/>
  <c r="O64" i="74" a="1"/>
  <c r="O64" i="74" s="1"/>
  <c r="H61" i="74"/>
  <c r="J61" i="74" s="1"/>
  <c r="P64" i="74" a="1"/>
  <c r="P64" i="74" s="1"/>
  <c r="M65" i="74" a="1"/>
  <c r="M65" i="74" s="1"/>
  <c r="A66" i="74"/>
  <c r="E63" i="74"/>
  <c r="F63" i="74"/>
  <c r="G63" i="74"/>
  <c r="L63" i="74"/>
  <c r="K63" i="74"/>
  <c r="B63" i="74" l="1"/>
  <c r="I63" i="74"/>
  <c r="S63" i="74"/>
  <c r="R64" i="74"/>
  <c r="D64" i="74" s="1"/>
  <c r="N65" i="74" a="1"/>
  <c r="N65" i="74" s="1"/>
  <c r="Q65" i="74" s="1"/>
  <c r="C65" i="74" s="1"/>
  <c r="O65" i="74" a="1"/>
  <c r="O65" i="74" s="1"/>
  <c r="P65" i="74" a="1"/>
  <c r="P65" i="74" s="1"/>
  <c r="M66" i="74" a="1"/>
  <c r="M66" i="74" s="1"/>
  <c r="H62" i="74"/>
  <c r="J62" i="74" s="1"/>
  <c r="A67" i="74"/>
  <c r="F64" i="74"/>
  <c r="G64" i="74"/>
  <c r="E64" i="74"/>
  <c r="K64" i="74"/>
  <c r="L64" i="74"/>
  <c r="B64" i="74" l="1"/>
  <c r="I64" i="74"/>
  <c r="S64" i="74"/>
  <c r="R65" i="74"/>
  <c r="D65" i="74" s="1"/>
  <c r="N66" i="74" a="1"/>
  <c r="N66" i="74" s="1"/>
  <c r="Q66" i="74" s="1"/>
  <c r="C66" i="74" s="1"/>
  <c r="O66" i="74" a="1"/>
  <c r="O66" i="74" s="1"/>
  <c r="P66" i="74" a="1"/>
  <c r="P66" i="74" s="1"/>
  <c r="M67" i="74" a="1"/>
  <c r="M67" i="74" s="1"/>
  <c r="H63" i="74"/>
  <c r="J63" i="74" s="1"/>
  <c r="A68" i="74"/>
  <c r="F65" i="74"/>
  <c r="E65" i="74"/>
  <c r="G65" i="74"/>
  <c r="L65" i="74"/>
  <c r="K65" i="74"/>
  <c r="B65" i="74" l="1"/>
  <c r="I65" i="74"/>
  <c r="S65" i="74"/>
  <c r="R66" i="74"/>
  <c r="D66" i="74" s="1"/>
  <c r="N67" i="74" a="1"/>
  <c r="N67" i="74" s="1"/>
  <c r="Q67" i="74" s="1"/>
  <c r="C67" i="74" s="1"/>
  <c r="O67" i="74" a="1"/>
  <c r="O67" i="74" s="1"/>
  <c r="H64" i="74"/>
  <c r="J64" i="74" s="1"/>
  <c r="P67" i="74" a="1"/>
  <c r="P67" i="74" s="1"/>
  <c r="M68" i="74" a="1"/>
  <c r="M68" i="74" s="1"/>
  <c r="A69" i="74"/>
  <c r="G66" i="74"/>
  <c r="E66" i="74"/>
  <c r="F66" i="74"/>
  <c r="K66" i="74"/>
  <c r="L66" i="74"/>
  <c r="B66" i="74" l="1"/>
  <c r="I66" i="74"/>
  <c r="S66" i="74"/>
  <c r="R67" i="74"/>
  <c r="D67" i="74" s="1"/>
  <c r="N68" i="74" a="1"/>
  <c r="N68" i="74" s="1"/>
  <c r="Q68" i="74" s="1"/>
  <c r="C68" i="74" s="1"/>
  <c r="O68" i="74" a="1"/>
  <c r="O68" i="74" s="1"/>
  <c r="P68" i="74" a="1"/>
  <c r="P68" i="74" s="1"/>
  <c r="M69" i="74" a="1"/>
  <c r="M69" i="74" s="1"/>
  <c r="H65" i="74"/>
  <c r="J65" i="74" s="1"/>
  <c r="A70" i="74"/>
  <c r="G67" i="74"/>
  <c r="E67" i="74"/>
  <c r="F67" i="74"/>
  <c r="L67" i="74"/>
  <c r="K67" i="74"/>
  <c r="B67" i="74" l="1"/>
  <c r="I67" i="74"/>
  <c r="S67" i="74"/>
  <c r="R68" i="74"/>
  <c r="D68" i="74" s="1"/>
  <c r="N69" i="74" a="1"/>
  <c r="N69" i="74" s="1"/>
  <c r="Q69" i="74" s="1"/>
  <c r="C69" i="74" s="1"/>
  <c r="O69" i="74" a="1"/>
  <c r="O69" i="74" s="1"/>
  <c r="H66" i="74"/>
  <c r="J66" i="74" s="1"/>
  <c r="P69" i="74" a="1"/>
  <c r="P69" i="74" s="1"/>
  <c r="M70" i="74" a="1"/>
  <c r="M70" i="74" s="1"/>
  <c r="A71" i="74"/>
  <c r="E68" i="74"/>
  <c r="G68" i="74"/>
  <c r="F68" i="74"/>
  <c r="K68" i="74"/>
  <c r="L68" i="74"/>
  <c r="B68" i="74" l="1"/>
  <c r="I68" i="74"/>
  <c r="S68" i="74"/>
  <c r="R69" i="74"/>
  <c r="D69" i="74" s="1"/>
  <c r="N70" i="74" a="1"/>
  <c r="N70" i="74" s="1"/>
  <c r="Q70" i="74" s="1"/>
  <c r="C70" i="74" s="1"/>
  <c r="O70" i="74" a="1"/>
  <c r="O70" i="74" s="1"/>
  <c r="H67" i="74"/>
  <c r="J67" i="74" s="1"/>
  <c r="P70" i="74" a="1"/>
  <c r="P70" i="74" s="1"/>
  <c r="M71" i="74" a="1"/>
  <c r="M71" i="74" s="1"/>
  <c r="A72" i="74"/>
  <c r="G69" i="74"/>
  <c r="E69" i="74"/>
  <c r="F69" i="74"/>
  <c r="L69" i="74"/>
  <c r="K69" i="74"/>
  <c r="B69" i="74" l="1"/>
  <c r="I69" i="74"/>
  <c r="S69" i="74"/>
  <c r="R70" i="74"/>
  <c r="D70" i="74" s="1"/>
  <c r="H68" i="74"/>
  <c r="J68" i="74" s="1"/>
  <c r="N71" i="74" a="1"/>
  <c r="N71" i="74" s="1"/>
  <c r="Q71" i="74" s="1"/>
  <c r="C71" i="74" s="1"/>
  <c r="O71" i="74" a="1"/>
  <c r="O71" i="74" s="1"/>
  <c r="P71" i="74" a="1"/>
  <c r="P71" i="74" s="1"/>
  <c r="M72" i="74" a="1"/>
  <c r="M72" i="74" s="1"/>
  <c r="A73" i="74"/>
  <c r="F70" i="74"/>
  <c r="G70" i="74"/>
  <c r="E70" i="74"/>
  <c r="K70" i="74"/>
  <c r="L70" i="74"/>
  <c r="B70" i="74" l="1"/>
  <c r="I70" i="74"/>
  <c r="S70" i="74"/>
  <c r="R71" i="74"/>
  <c r="D71" i="74" s="1"/>
  <c r="N72" i="74" a="1"/>
  <c r="N72" i="74" s="1"/>
  <c r="Q72" i="74" s="1"/>
  <c r="C72" i="74" s="1"/>
  <c r="O72" i="74" a="1"/>
  <c r="O72" i="74" s="1"/>
  <c r="H69" i="74"/>
  <c r="J69" i="74" s="1"/>
  <c r="P72" i="74" a="1"/>
  <c r="P72" i="74" s="1"/>
  <c r="M73" i="74" a="1"/>
  <c r="M73" i="74" s="1"/>
  <c r="A74" i="74"/>
  <c r="E71" i="74"/>
  <c r="G71" i="74"/>
  <c r="F71" i="74"/>
  <c r="L71" i="74"/>
  <c r="K71" i="74"/>
  <c r="B71" i="74" l="1"/>
  <c r="I71" i="74"/>
  <c r="S71" i="74"/>
  <c r="R72" i="74"/>
  <c r="D72" i="74" s="1"/>
  <c r="N73" i="74" a="1"/>
  <c r="N73" i="74" s="1"/>
  <c r="Q73" i="74" s="1"/>
  <c r="C73" i="74" s="1"/>
  <c r="O73" i="74" a="1"/>
  <c r="O73" i="74" s="1"/>
  <c r="P73" i="74" a="1"/>
  <c r="P73" i="74" s="1"/>
  <c r="M74" i="74" a="1"/>
  <c r="M74" i="74" s="1"/>
  <c r="H70" i="74"/>
  <c r="J70" i="74" s="1"/>
  <c r="A75" i="74"/>
  <c r="G72" i="74"/>
  <c r="F72" i="74"/>
  <c r="E72" i="74"/>
  <c r="K72" i="74"/>
  <c r="L72" i="74"/>
  <c r="B72" i="74" l="1"/>
  <c r="I72" i="74"/>
  <c r="S72" i="74"/>
  <c r="R73" i="74"/>
  <c r="D73" i="74" s="1"/>
  <c r="N74" i="74" a="1"/>
  <c r="N74" i="74" s="1"/>
  <c r="Q74" i="74" s="1"/>
  <c r="C74" i="74" s="1"/>
  <c r="O74" i="74" a="1"/>
  <c r="O74" i="74" s="1"/>
  <c r="P74" i="74" a="1"/>
  <c r="P74" i="74" s="1"/>
  <c r="M75" i="74" a="1"/>
  <c r="M75" i="74" s="1"/>
  <c r="H71" i="74"/>
  <c r="J71" i="74" s="1"/>
  <c r="A76" i="74"/>
  <c r="F73" i="74"/>
  <c r="G73" i="74"/>
  <c r="E73" i="74"/>
  <c r="L73" i="74"/>
  <c r="K73" i="74"/>
  <c r="B73" i="74" l="1"/>
  <c r="I73" i="74"/>
  <c r="S73" i="74"/>
  <c r="R74" i="74"/>
  <c r="D74" i="74" s="1"/>
  <c r="N75" i="74" a="1"/>
  <c r="N75" i="74" s="1"/>
  <c r="Q75" i="74" s="1"/>
  <c r="C75" i="74" s="1"/>
  <c r="O75" i="74" a="1"/>
  <c r="O75" i="74" s="1"/>
  <c r="P75" i="74" a="1"/>
  <c r="P75" i="74" s="1"/>
  <c r="M76" i="74" a="1"/>
  <c r="M76" i="74" s="1"/>
  <c r="H72" i="74"/>
  <c r="J72" i="74" s="1"/>
  <c r="A77" i="74"/>
  <c r="F74" i="74"/>
  <c r="G74" i="74"/>
  <c r="E74" i="74"/>
  <c r="K74" i="74"/>
  <c r="L74" i="74"/>
  <c r="B74" i="74" l="1"/>
  <c r="I74" i="74"/>
  <c r="S74" i="74"/>
  <c r="R75" i="74"/>
  <c r="D75" i="74" s="1"/>
  <c r="H73" i="74"/>
  <c r="J73" i="74" s="1"/>
  <c r="N76" i="74" a="1"/>
  <c r="N76" i="74" s="1"/>
  <c r="Q76" i="74" s="1"/>
  <c r="C76" i="74" s="1"/>
  <c r="O76" i="74" a="1"/>
  <c r="O76" i="74" s="1"/>
  <c r="P76" i="74" a="1"/>
  <c r="P76" i="74" s="1"/>
  <c r="M77" i="74" a="1"/>
  <c r="M77" i="74" s="1"/>
  <c r="A78" i="74"/>
  <c r="G75" i="74"/>
  <c r="F75" i="74"/>
  <c r="E75" i="74"/>
  <c r="L75" i="74"/>
  <c r="K75" i="74"/>
  <c r="B75" i="74" l="1"/>
  <c r="I75" i="74"/>
  <c r="S75" i="74"/>
  <c r="R76" i="74"/>
  <c r="D76" i="74" s="1"/>
  <c r="N77" i="74" a="1"/>
  <c r="N77" i="74" s="1"/>
  <c r="Q77" i="74" s="1"/>
  <c r="C77" i="74" s="1"/>
  <c r="O77" i="74" a="1"/>
  <c r="O77" i="74" s="1"/>
  <c r="H74" i="74"/>
  <c r="J74" i="74" s="1"/>
  <c r="P77" i="74" a="1"/>
  <c r="P77" i="74" s="1"/>
  <c r="M78" i="74" a="1"/>
  <c r="M78" i="74" s="1"/>
  <c r="A79" i="74"/>
  <c r="E76" i="74"/>
  <c r="F76" i="74"/>
  <c r="G76" i="74"/>
  <c r="K76" i="74"/>
  <c r="L76" i="74"/>
  <c r="B76" i="74" l="1"/>
  <c r="I76" i="74"/>
  <c r="S76" i="74"/>
  <c r="R77" i="74"/>
  <c r="D77" i="74" s="1"/>
  <c r="H75" i="74"/>
  <c r="J75" i="74" s="1"/>
  <c r="N78" i="74" a="1"/>
  <c r="N78" i="74" s="1"/>
  <c r="Q78" i="74" s="1"/>
  <c r="C78" i="74" s="1"/>
  <c r="O78" i="74" a="1"/>
  <c r="O78" i="74" s="1"/>
  <c r="P78" i="74" a="1"/>
  <c r="P78" i="74" s="1"/>
  <c r="M79" i="74" a="1"/>
  <c r="M79" i="74" s="1"/>
  <c r="A80" i="74"/>
  <c r="F77" i="74"/>
  <c r="G77" i="74"/>
  <c r="E77" i="74"/>
  <c r="L77" i="74"/>
  <c r="K77" i="74"/>
  <c r="B77" i="74" l="1"/>
  <c r="I77" i="74"/>
  <c r="S77" i="74"/>
  <c r="R78" i="74"/>
  <c r="D78" i="74" s="1"/>
  <c r="N79" i="74" a="1"/>
  <c r="N79" i="74" s="1"/>
  <c r="Q79" i="74" s="1"/>
  <c r="C79" i="74" s="1"/>
  <c r="O79" i="74" a="1"/>
  <c r="O79" i="74" s="1"/>
  <c r="H76" i="74"/>
  <c r="J76" i="74" s="1"/>
  <c r="P79" i="74" a="1"/>
  <c r="P79" i="74" s="1"/>
  <c r="M80" i="74" a="1"/>
  <c r="M80" i="74" s="1"/>
  <c r="A81" i="74"/>
  <c r="E78" i="74"/>
  <c r="F78" i="74"/>
  <c r="G78" i="74"/>
  <c r="K78" i="74"/>
  <c r="L78" i="74"/>
  <c r="B78" i="74" l="1"/>
  <c r="I78" i="74"/>
  <c r="S78" i="74"/>
  <c r="R79" i="74"/>
  <c r="D79" i="74" s="1"/>
  <c r="H77" i="74"/>
  <c r="J77" i="74" s="1"/>
  <c r="N80" i="74" a="1"/>
  <c r="N80" i="74" s="1"/>
  <c r="Q80" i="74" s="1"/>
  <c r="C80" i="74" s="1"/>
  <c r="O80" i="74" a="1"/>
  <c r="O80" i="74" s="1"/>
  <c r="P80" i="74" a="1"/>
  <c r="P80" i="74" s="1"/>
  <c r="M81" i="74" a="1"/>
  <c r="M81" i="74" s="1"/>
  <c r="A82" i="74"/>
  <c r="E79" i="74"/>
  <c r="F79" i="74"/>
  <c r="G79" i="74"/>
  <c r="L79" i="74"/>
  <c r="K79" i="74"/>
  <c r="B79" i="74" l="1"/>
  <c r="I79" i="74"/>
  <c r="S79" i="74"/>
  <c r="R80" i="74"/>
  <c r="D80" i="74" s="1"/>
  <c r="N81" i="74" a="1"/>
  <c r="N81" i="74" s="1"/>
  <c r="Q81" i="74" s="1"/>
  <c r="C81" i="74" s="1"/>
  <c r="O81" i="74" a="1"/>
  <c r="O81" i="74" s="1"/>
  <c r="H78" i="74"/>
  <c r="J78" i="74" s="1"/>
  <c r="P81" i="74" a="1"/>
  <c r="P81" i="74" s="1"/>
  <c r="M82" i="74" a="1"/>
  <c r="M82" i="74" s="1"/>
  <c r="A83" i="74"/>
  <c r="E80" i="74"/>
  <c r="F80" i="74"/>
  <c r="G80" i="74"/>
  <c r="K80" i="74"/>
  <c r="L80" i="74"/>
  <c r="B80" i="74" l="1"/>
  <c r="I80" i="74"/>
  <c r="S80" i="74"/>
  <c r="R81" i="74"/>
  <c r="D81" i="74" s="1"/>
  <c r="N82" i="74" a="1"/>
  <c r="N82" i="74" s="1"/>
  <c r="Q82" i="74" s="1"/>
  <c r="C82" i="74" s="1"/>
  <c r="O82" i="74" a="1"/>
  <c r="O82" i="74" s="1"/>
  <c r="P82" i="74" a="1"/>
  <c r="P82" i="74" s="1"/>
  <c r="M83" i="74" a="1"/>
  <c r="M83" i="74" s="1"/>
  <c r="H79" i="74"/>
  <c r="J79" i="74" s="1"/>
  <c r="A84" i="74"/>
  <c r="E81" i="74"/>
  <c r="F81" i="74"/>
  <c r="G81" i="74"/>
  <c r="L81" i="74"/>
  <c r="K81" i="74"/>
  <c r="B81" i="74" l="1"/>
  <c r="I81" i="74"/>
  <c r="S81" i="74"/>
  <c r="R82" i="74"/>
  <c r="D82" i="74" s="1"/>
  <c r="N83" i="74" a="1"/>
  <c r="N83" i="74" s="1"/>
  <c r="Q83" i="74" s="1"/>
  <c r="C83" i="74" s="1"/>
  <c r="O83" i="74" a="1"/>
  <c r="O83" i="74" s="1"/>
  <c r="P83" i="74" a="1"/>
  <c r="P83" i="74" s="1"/>
  <c r="M84" i="74" a="1"/>
  <c r="M84" i="74" s="1"/>
  <c r="H80" i="74"/>
  <c r="J80" i="74" s="1"/>
  <c r="A85" i="74"/>
  <c r="E82" i="74"/>
  <c r="G82" i="74"/>
  <c r="F82" i="74"/>
  <c r="K82" i="74"/>
  <c r="L82" i="74"/>
  <c r="B82" i="74" l="1"/>
  <c r="I82" i="74"/>
  <c r="S82" i="74"/>
  <c r="R83" i="74"/>
  <c r="D83" i="74" s="1"/>
  <c r="H81" i="74"/>
  <c r="J81" i="74" s="1"/>
  <c r="N84" i="74" a="1"/>
  <c r="N84" i="74" s="1"/>
  <c r="Q84" i="74" s="1"/>
  <c r="C84" i="74" s="1"/>
  <c r="O84" i="74" a="1"/>
  <c r="O84" i="74" s="1"/>
  <c r="P84" i="74" a="1"/>
  <c r="P84" i="74" s="1"/>
  <c r="M85" i="74" a="1"/>
  <c r="M85" i="74" s="1"/>
  <c r="A86" i="74"/>
  <c r="G83" i="74"/>
  <c r="E83" i="74"/>
  <c r="F83" i="74"/>
  <c r="L83" i="74"/>
  <c r="K83" i="74"/>
  <c r="B83" i="74" l="1"/>
  <c r="I83" i="74"/>
  <c r="S83" i="74"/>
  <c r="R84" i="74"/>
  <c r="D84" i="74" s="1"/>
  <c r="N85" i="74" a="1"/>
  <c r="N85" i="74" s="1"/>
  <c r="Q85" i="74" s="1"/>
  <c r="C85" i="74" s="1"/>
  <c r="O85" i="74" a="1"/>
  <c r="O85" i="74" s="1"/>
  <c r="H82" i="74"/>
  <c r="J82" i="74" s="1"/>
  <c r="P85" i="74" a="1"/>
  <c r="P85" i="74" s="1"/>
  <c r="M86" i="74" a="1"/>
  <c r="M86" i="74" s="1"/>
  <c r="A87" i="74"/>
  <c r="E84" i="74"/>
  <c r="F84" i="74"/>
  <c r="G84" i="74"/>
  <c r="K84" i="74"/>
  <c r="L84" i="74"/>
  <c r="I84" i="74" l="1"/>
  <c r="B84" i="74"/>
  <c r="S84" i="74"/>
  <c r="R85" i="74"/>
  <c r="D85" i="74" s="1"/>
  <c r="H83" i="74"/>
  <c r="J83" i="74" s="1"/>
  <c r="N86" i="74" a="1"/>
  <c r="N86" i="74" s="1"/>
  <c r="Q86" i="74" s="1"/>
  <c r="C86" i="74" s="1"/>
  <c r="O86" i="74" a="1"/>
  <c r="O86" i="74" s="1"/>
  <c r="P86" i="74" a="1"/>
  <c r="P86" i="74" s="1"/>
  <c r="M87" i="74" a="1"/>
  <c r="M87" i="74" s="1"/>
  <c r="A88" i="74"/>
  <c r="F85" i="74"/>
  <c r="G85" i="74"/>
  <c r="E85" i="74"/>
  <c r="L85" i="74"/>
  <c r="K85" i="74"/>
  <c r="B85" i="74" l="1"/>
  <c r="I85" i="74"/>
  <c r="S85" i="74"/>
  <c r="R86" i="74"/>
  <c r="D86" i="74" s="1"/>
  <c r="N87" i="74" a="1"/>
  <c r="N87" i="74" s="1"/>
  <c r="Q87" i="74" s="1"/>
  <c r="C87" i="74" s="1"/>
  <c r="O87" i="74" a="1"/>
  <c r="O87" i="74" s="1"/>
  <c r="H84" i="74"/>
  <c r="J84" i="74" s="1"/>
  <c r="P87" i="74" a="1"/>
  <c r="P87" i="74" s="1"/>
  <c r="M88" i="74" a="1"/>
  <c r="M88" i="74" s="1"/>
  <c r="A89" i="74"/>
  <c r="G86" i="74"/>
  <c r="E86" i="74"/>
  <c r="F86" i="74"/>
  <c r="K86" i="74"/>
  <c r="L86" i="74"/>
  <c r="B86" i="74" l="1"/>
  <c r="I86" i="74"/>
  <c r="S86" i="74"/>
  <c r="R87" i="74"/>
  <c r="D87" i="74" s="1"/>
  <c r="N88" i="74" a="1"/>
  <c r="N88" i="74" s="1"/>
  <c r="Q88" i="74" s="1"/>
  <c r="C88" i="74" s="1"/>
  <c r="O88" i="74" a="1"/>
  <c r="O88" i="74" s="1"/>
  <c r="P88" i="74" a="1"/>
  <c r="P88" i="74" s="1"/>
  <c r="M89" i="74" a="1"/>
  <c r="M89" i="74" s="1"/>
  <c r="H85" i="74"/>
  <c r="J85" i="74" s="1"/>
  <c r="A90" i="74"/>
  <c r="F87" i="74"/>
  <c r="G87" i="74"/>
  <c r="E87" i="74"/>
  <c r="L87" i="74"/>
  <c r="K87" i="74"/>
  <c r="B87" i="74" l="1"/>
  <c r="I87" i="74"/>
  <c r="S87" i="74"/>
  <c r="R88" i="74"/>
  <c r="D88" i="74" s="1"/>
  <c r="H86" i="74"/>
  <c r="J86" i="74" s="1"/>
  <c r="N89" i="74" a="1"/>
  <c r="N89" i="74" s="1"/>
  <c r="Q89" i="74" s="1"/>
  <c r="C89" i="74" s="1"/>
  <c r="O89" i="74" a="1"/>
  <c r="O89" i="74" s="1"/>
  <c r="P89" i="74" a="1"/>
  <c r="P89" i="74" s="1"/>
  <c r="M90" i="74" a="1"/>
  <c r="M90" i="74" s="1"/>
  <c r="A91" i="74"/>
  <c r="G88" i="74"/>
  <c r="E88" i="74"/>
  <c r="F88" i="74"/>
  <c r="K88" i="74"/>
  <c r="L88" i="74"/>
  <c r="B88" i="74" l="1"/>
  <c r="I88" i="74"/>
  <c r="S88" i="74"/>
  <c r="R89" i="74"/>
  <c r="D89" i="74" s="1"/>
  <c r="N90" i="74" a="1"/>
  <c r="N90" i="74" s="1"/>
  <c r="Q90" i="74" s="1"/>
  <c r="C90" i="74" s="1"/>
  <c r="O90" i="74" a="1"/>
  <c r="O90" i="74" s="1"/>
  <c r="P90" i="74" a="1"/>
  <c r="P90" i="74" s="1"/>
  <c r="M91" i="74" a="1"/>
  <c r="M91" i="74" s="1"/>
  <c r="H87" i="74"/>
  <c r="A92" i="74"/>
  <c r="F89" i="74"/>
  <c r="G89" i="74"/>
  <c r="E89" i="74"/>
  <c r="L89" i="74"/>
  <c r="K89" i="74"/>
  <c r="J87" i="74" l="1"/>
  <c r="B89" i="74"/>
  <c r="I89" i="74"/>
  <c r="S89" i="74"/>
  <c r="R90" i="74"/>
  <c r="D90" i="74" s="1"/>
  <c r="N91" i="74" a="1"/>
  <c r="N91" i="74" s="1"/>
  <c r="Q91" i="74" s="1"/>
  <c r="C91" i="74" s="1"/>
  <c r="O91" i="74" a="1"/>
  <c r="O91" i="74" s="1"/>
  <c r="H88" i="74"/>
  <c r="J88" i="74" s="1"/>
  <c r="P91" i="74" a="1"/>
  <c r="P91" i="74" s="1"/>
  <c r="M92" i="74" a="1"/>
  <c r="M92" i="74" s="1"/>
  <c r="A93" i="74"/>
  <c r="E90" i="74"/>
  <c r="F90" i="74"/>
  <c r="G90" i="74"/>
  <c r="K90" i="74"/>
  <c r="L90" i="74"/>
  <c r="B90" i="74" l="1"/>
  <c r="I90" i="74"/>
  <c r="S90" i="74"/>
  <c r="R91" i="74"/>
  <c r="D91" i="74" s="1"/>
  <c r="N92" i="74" a="1"/>
  <c r="N92" i="74" s="1"/>
  <c r="Q92" i="74" s="1"/>
  <c r="C92" i="74" s="1"/>
  <c r="O92" i="74" a="1"/>
  <c r="O92" i="74" s="1"/>
  <c r="H89" i="74"/>
  <c r="P92" i="74" a="1"/>
  <c r="P92" i="74" s="1"/>
  <c r="M93" i="74" a="1"/>
  <c r="M93" i="74" s="1"/>
  <c r="A94" i="74"/>
  <c r="G91" i="74"/>
  <c r="E91" i="74"/>
  <c r="F91" i="74"/>
  <c r="L91" i="74"/>
  <c r="K91" i="74"/>
  <c r="J89" i="74" l="1"/>
  <c r="B91" i="74"/>
  <c r="I91" i="74"/>
  <c r="S91" i="74"/>
  <c r="R92" i="74"/>
  <c r="D92" i="74" s="1"/>
  <c r="N93" i="74" a="1"/>
  <c r="N93" i="74" s="1"/>
  <c r="Q93" i="74" s="1"/>
  <c r="C93" i="74" s="1"/>
  <c r="O93" i="74" a="1"/>
  <c r="O93" i="74" s="1"/>
  <c r="P93" i="74" a="1"/>
  <c r="P93" i="74" s="1"/>
  <c r="M94" i="74" a="1"/>
  <c r="M94" i="74" s="1"/>
  <c r="H90" i="74"/>
  <c r="J90" i="74" s="1"/>
  <c r="A95" i="74"/>
  <c r="F92" i="74"/>
  <c r="G92" i="74"/>
  <c r="E92" i="74"/>
  <c r="K92" i="74"/>
  <c r="L92" i="74"/>
  <c r="B92" i="74" l="1"/>
  <c r="I92" i="74"/>
  <c r="S92" i="74"/>
  <c r="R93" i="74"/>
  <c r="D93" i="74" s="1"/>
  <c r="N94" i="74" a="1"/>
  <c r="N94" i="74" s="1"/>
  <c r="Q94" i="74" s="1"/>
  <c r="C94" i="74" s="1"/>
  <c r="O94" i="74" a="1"/>
  <c r="O94" i="74" s="1"/>
  <c r="P94" i="74" a="1"/>
  <c r="P94" i="74" s="1"/>
  <c r="H91" i="74"/>
  <c r="J91" i="74" s="1"/>
  <c r="M95" i="74" a="1"/>
  <c r="M95" i="74" s="1"/>
  <c r="A96" i="74"/>
  <c r="E93" i="74"/>
  <c r="F93" i="74"/>
  <c r="G93" i="74"/>
  <c r="L93" i="74"/>
  <c r="K93" i="74"/>
  <c r="B93" i="74" l="1"/>
  <c r="I93" i="74"/>
  <c r="S93" i="74"/>
  <c r="R94" i="74"/>
  <c r="D94" i="74" s="1"/>
  <c r="H92" i="74"/>
  <c r="J92" i="74" s="1"/>
  <c r="N95" i="74" a="1"/>
  <c r="N95" i="74" s="1"/>
  <c r="Q95" i="74" s="1"/>
  <c r="C95" i="74" s="1"/>
  <c r="O95" i="74" a="1"/>
  <c r="O95" i="74" s="1"/>
  <c r="P95" i="74" a="1"/>
  <c r="P95" i="74" s="1"/>
  <c r="M96" i="74" a="1"/>
  <c r="M96" i="74" s="1"/>
  <c r="A97" i="74"/>
  <c r="G94" i="74"/>
  <c r="E94" i="74"/>
  <c r="F94" i="74"/>
  <c r="K94" i="74"/>
  <c r="L94" i="74"/>
  <c r="B94" i="74" l="1"/>
  <c r="I94" i="74"/>
  <c r="S94" i="74"/>
  <c r="R95" i="74"/>
  <c r="D95" i="74" s="1"/>
  <c r="N96" i="74" a="1"/>
  <c r="N96" i="74" s="1"/>
  <c r="Q96" i="74" s="1"/>
  <c r="C96" i="74" s="1"/>
  <c r="O96" i="74" a="1"/>
  <c r="O96" i="74" s="1"/>
  <c r="H93" i="74"/>
  <c r="P96" i="74" a="1"/>
  <c r="P96" i="74" s="1"/>
  <c r="M97" i="74" a="1"/>
  <c r="M97" i="74" s="1"/>
  <c r="A98" i="74"/>
  <c r="F95" i="74"/>
  <c r="G95" i="74"/>
  <c r="E95" i="74"/>
  <c r="L95" i="74"/>
  <c r="K95" i="74"/>
  <c r="J93" i="74" l="1"/>
  <c r="B95" i="74"/>
  <c r="I95" i="74"/>
  <c r="S95" i="74"/>
  <c r="R96" i="74"/>
  <c r="D96" i="74" s="1"/>
  <c r="N97" i="74" a="1"/>
  <c r="N97" i="74" s="1"/>
  <c r="Q97" i="74" s="1"/>
  <c r="C97" i="74" s="1"/>
  <c r="O97" i="74" a="1"/>
  <c r="O97" i="74" s="1"/>
  <c r="H94" i="74"/>
  <c r="J94" i="74" s="1"/>
  <c r="P97" i="74" a="1"/>
  <c r="P97" i="74" s="1"/>
  <c r="M98" i="74" a="1"/>
  <c r="M98" i="74" s="1"/>
  <c r="A99" i="74"/>
  <c r="E96" i="74"/>
  <c r="G96" i="74"/>
  <c r="F96" i="74"/>
  <c r="K96" i="74"/>
  <c r="L96" i="74"/>
  <c r="B96" i="74" l="1"/>
  <c r="I96" i="74"/>
  <c r="S96" i="74"/>
  <c r="R97" i="74"/>
  <c r="D97" i="74" s="1"/>
  <c r="N98" i="74" a="1"/>
  <c r="N98" i="74" s="1"/>
  <c r="Q98" i="74" s="1"/>
  <c r="C98" i="74" s="1"/>
  <c r="O98" i="74" a="1"/>
  <c r="O98" i="74" s="1"/>
  <c r="P98" i="74" a="1"/>
  <c r="P98" i="74" s="1"/>
  <c r="M99" i="74" a="1"/>
  <c r="M99" i="74" s="1"/>
  <c r="H95" i="74"/>
  <c r="J95" i="74" s="1"/>
  <c r="A100" i="74"/>
  <c r="G97" i="74"/>
  <c r="E97" i="74"/>
  <c r="F97" i="74"/>
  <c r="L97" i="74"/>
  <c r="K97" i="74"/>
  <c r="B97" i="74" l="1"/>
  <c r="I97" i="74"/>
  <c r="S97" i="74"/>
  <c r="R98" i="74"/>
  <c r="D98" i="74" s="1"/>
  <c r="N99" i="74" a="1"/>
  <c r="N99" i="74" s="1"/>
  <c r="Q99" i="74" s="1"/>
  <c r="C99" i="74" s="1"/>
  <c r="O99" i="74" a="1"/>
  <c r="O99" i="74" s="1"/>
  <c r="H96" i="74"/>
  <c r="J96" i="74" s="1"/>
  <c r="P99" i="74" a="1"/>
  <c r="P99" i="74" s="1"/>
  <c r="M100" i="74" a="1"/>
  <c r="M100" i="74" s="1"/>
  <c r="A101" i="74"/>
  <c r="E98" i="74"/>
  <c r="F98" i="74"/>
  <c r="G98" i="74"/>
  <c r="K98" i="74"/>
  <c r="L98" i="74"/>
  <c r="B98" i="74" l="1"/>
  <c r="I98" i="74"/>
  <c r="S98" i="74"/>
  <c r="R99" i="74"/>
  <c r="D99" i="74" s="1"/>
  <c r="N100" i="74" a="1"/>
  <c r="N100" i="74" s="1"/>
  <c r="Q100" i="74" s="1"/>
  <c r="C100" i="74" s="1"/>
  <c r="O100" i="74" a="1"/>
  <c r="O100" i="74" s="1"/>
  <c r="H97" i="74"/>
  <c r="J97" i="74" s="1"/>
  <c r="P100" i="74" a="1"/>
  <c r="P100" i="74" s="1"/>
  <c r="M101" i="74" a="1"/>
  <c r="M101" i="74" s="1"/>
  <c r="A102" i="74"/>
  <c r="E99" i="74"/>
  <c r="F99" i="74"/>
  <c r="G99" i="74"/>
  <c r="L99" i="74"/>
  <c r="K99" i="74"/>
  <c r="B99" i="74" l="1"/>
  <c r="I99" i="74"/>
  <c r="S99" i="74"/>
  <c r="R100" i="74"/>
  <c r="D100" i="74" s="1"/>
  <c r="N101" i="74" a="1"/>
  <c r="N101" i="74" s="1"/>
  <c r="Q101" i="74" s="1"/>
  <c r="C101" i="74" s="1"/>
  <c r="O101" i="74" a="1"/>
  <c r="O101" i="74" s="1"/>
  <c r="P101" i="74" a="1"/>
  <c r="P101" i="74" s="1"/>
  <c r="M102" i="74" a="1"/>
  <c r="M102" i="74" s="1"/>
  <c r="H98" i="74"/>
  <c r="J98" i="74" s="1"/>
  <c r="A103" i="74"/>
  <c r="G100" i="74"/>
  <c r="E100" i="74"/>
  <c r="F100" i="74"/>
  <c r="K100" i="74"/>
  <c r="L100" i="74"/>
  <c r="B100" i="74" l="1"/>
  <c r="I100" i="74"/>
  <c r="S100" i="74"/>
  <c r="R101" i="74"/>
  <c r="D101" i="74" s="1"/>
  <c r="N102" i="74" a="1"/>
  <c r="N102" i="74" s="1"/>
  <c r="Q102" i="74" s="1"/>
  <c r="C102" i="74" s="1"/>
  <c r="O102" i="74" a="1"/>
  <c r="O102" i="74" s="1"/>
  <c r="P102" i="74" a="1"/>
  <c r="P102" i="74" s="1"/>
  <c r="H99" i="74"/>
  <c r="J99" i="74" s="1"/>
  <c r="M103" i="74" a="1"/>
  <c r="M103" i="74" s="1"/>
  <c r="A104" i="74"/>
  <c r="F101" i="74"/>
  <c r="G101" i="74"/>
  <c r="E101" i="74"/>
  <c r="L101" i="74"/>
  <c r="K101" i="74"/>
  <c r="B101" i="74" l="1"/>
  <c r="I101" i="74"/>
  <c r="S101" i="74"/>
  <c r="R102" i="74"/>
  <c r="D102" i="74" s="1"/>
  <c r="H100" i="74"/>
  <c r="J100" i="74" s="1"/>
  <c r="N103" i="74" a="1"/>
  <c r="N103" i="74" s="1"/>
  <c r="Q103" i="74" s="1"/>
  <c r="C103" i="74" s="1"/>
  <c r="O103" i="74" a="1"/>
  <c r="O103" i="74" s="1"/>
  <c r="P103" i="74" a="1"/>
  <c r="P103" i="74" s="1"/>
  <c r="M104" i="74" a="1"/>
  <c r="M104" i="74" s="1"/>
  <c r="A105" i="74"/>
  <c r="E102" i="74"/>
  <c r="F102" i="74"/>
  <c r="G102" i="74"/>
  <c r="K102" i="74"/>
  <c r="L102" i="74"/>
  <c r="B102" i="74" l="1"/>
  <c r="I102" i="74"/>
  <c r="S102" i="74"/>
  <c r="R103" i="74"/>
  <c r="D103" i="74" s="1"/>
  <c r="N104" i="74" a="1"/>
  <c r="N104" i="74" s="1"/>
  <c r="Q104" i="74" s="1"/>
  <c r="C104" i="74" s="1"/>
  <c r="O104" i="74" a="1"/>
  <c r="O104" i="74" s="1"/>
  <c r="H101" i="74"/>
  <c r="J101" i="74" s="1"/>
  <c r="P104" i="74" a="1"/>
  <c r="P104" i="74" s="1"/>
  <c r="M105" i="74" a="1"/>
  <c r="M105" i="74" s="1"/>
  <c r="A106" i="74"/>
  <c r="G103" i="74"/>
  <c r="E103" i="74"/>
  <c r="F103" i="74"/>
  <c r="L103" i="74"/>
  <c r="K103" i="74"/>
  <c r="B103" i="74" l="1"/>
  <c r="I103" i="74"/>
  <c r="S103" i="74"/>
  <c r="R104" i="74"/>
  <c r="D104" i="74" s="1"/>
  <c r="H102" i="74"/>
  <c r="J102" i="74" s="1"/>
  <c r="N105" i="74" a="1"/>
  <c r="N105" i="74" s="1"/>
  <c r="Q105" i="74" s="1"/>
  <c r="C105" i="74" s="1"/>
  <c r="O105" i="74" a="1"/>
  <c r="O105" i="74" s="1"/>
  <c r="P105" i="74" a="1"/>
  <c r="P105" i="74" s="1"/>
  <c r="M106" i="74" a="1"/>
  <c r="M106" i="74" s="1"/>
  <c r="A107" i="74"/>
  <c r="E104" i="74"/>
  <c r="F104" i="74"/>
  <c r="G104" i="74"/>
  <c r="K104" i="74"/>
  <c r="L104" i="74"/>
  <c r="B104" i="74" l="1"/>
  <c r="I104" i="74"/>
  <c r="S104" i="74"/>
  <c r="R105" i="74"/>
  <c r="D105" i="74" s="1"/>
  <c r="N106" i="74" a="1"/>
  <c r="N106" i="74" s="1"/>
  <c r="Q106" i="74" s="1"/>
  <c r="C106" i="74" s="1"/>
  <c r="O106" i="74" a="1"/>
  <c r="O106" i="74" s="1"/>
  <c r="H103" i="74"/>
  <c r="J103" i="74" s="1"/>
  <c r="P106" i="74" a="1"/>
  <c r="P106" i="74" s="1"/>
  <c r="M107" i="74" a="1"/>
  <c r="M107" i="74" s="1"/>
  <c r="A108" i="74"/>
  <c r="E105" i="74"/>
  <c r="F105" i="74"/>
  <c r="G105" i="74"/>
  <c r="L105" i="74"/>
  <c r="K105" i="74"/>
  <c r="B105" i="74" l="1"/>
  <c r="I105" i="74"/>
  <c r="S105" i="74"/>
  <c r="R106" i="74"/>
  <c r="D106" i="74" s="1"/>
  <c r="N107" i="74" a="1"/>
  <c r="N107" i="74" s="1"/>
  <c r="Q107" i="74" s="1"/>
  <c r="C107" i="74" s="1"/>
  <c r="O107" i="74" a="1"/>
  <c r="O107" i="74" s="1"/>
  <c r="P107" i="74" a="1"/>
  <c r="P107" i="74" s="1"/>
  <c r="M108" i="74" a="1"/>
  <c r="M108" i="74" s="1"/>
  <c r="H104" i="74"/>
  <c r="J104" i="74" s="1"/>
  <c r="A109" i="74"/>
  <c r="F106" i="74"/>
  <c r="G106" i="74"/>
  <c r="E106" i="74"/>
  <c r="K106" i="74"/>
  <c r="L106" i="74"/>
  <c r="B106" i="74" l="1"/>
  <c r="I106" i="74"/>
  <c r="S106" i="74"/>
  <c r="R107" i="74"/>
  <c r="D107" i="74" s="1"/>
  <c r="N108" i="74" a="1"/>
  <c r="N108" i="74" s="1"/>
  <c r="Q108" i="74" s="1"/>
  <c r="C108" i="74" s="1"/>
  <c r="O108" i="74" a="1"/>
  <c r="O108" i="74" s="1"/>
  <c r="H105" i="74"/>
  <c r="J105" i="74" s="1"/>
  <c r="P108" i="74" a="1"/>
  <c r="P108" i="74" s="1"/>
  <c r="M109" i="74" a="1"/>
  <c r="M109" i="74" s="1"/>
  <c r="A110" i="74"/>
  <c r="E107" i="74"/>
  <c r="F107" i="74"/>
  <c r="G107" i="74"/>
  <c r="L107" i="74"/>
  <c r="K107" i="74"/>
  <c r="B107" i="74" l="1"/>
  <c r="I107" i="74"/>
  <c r="S107" i="74"/>
  <c r="R108" i="74"/>
  <c r="D108" i="74" s="1"/>
  <c r="N109" i="74" a="1"/>
  <c r="N109" i="74" s="1"/>
  <c r="Q109" i="74" s="1"/>
  <c r="C109" i="74" s="1"/>
  <c r="O109" i="74" a="1"/>
  <c r="O109" i="74" s="1"/>
  <c r="H106" i="74"/>
  <c r="J106" i="74" s="1"/>
  <c r="P109" i="74" a="1"/>
  <c r="P109" i="74" s="1"/>
  <c r="M110" i="74" a="1"/>
  <c r="M110" i="74" s="1"/>
  <c r="A111" i="74"/>
  <c r="G108" i="74"/>
  <c r="F108" i="74"/>
  <c r="E108" i="74"/>
  <c r="K108" i="74"/>
  <c r="L108" i="74"/>
  <c r="B108" i="74" l="1"/>
  <c r="I108" i="74"/>
  <c r="S108" i="74"/>
  <c r="R109" i="74"/>
  <c r="D109" i="74" s="1"/>
  <c r="N110" i="74" a="1"/>
  <c r="N110" i="74" s="1"/>
  <c r="Q110" i="74" s="1"/>
  <c r="C110" i="74" s="1"/>
  <c r="O110" i="74" a="1"/>
  <c r="O110" i="74" s="1"/>
  <c r="P110" i="74" a="1"/>
  <c r="P110" i="74" s="1"/>
  <c r="M111" i="74" a="1"/>
  <c r="M111" i="74" s="1"/>
  <c r="H107" i="74"/>
  <c r="J107" i="74" s="1"/>
  <c r="A112" i="74"/>
  <c r="F109" i="74"/>
  <c r="G109" i="74"/>
  <c r="E109" i="74"/>
  <c r="L109" i="74"/>
  <c r="K109" i="74"/>
  <c r="B109" i="74" l="1"/>
  <c r="I109" i="74"/>
  <c r="S109" i="74"/>
  <c r="R110" i="74"/>
  <c r="D110" i="74" s="1"/>
  <c r="N111" i="74" a="1"/>
  <c r="N111" i="74" s="1"/>
  <c r="Q111" i="74" s="1"/>
  <c r="C111" i="74" s="1"/>
  <c r="O111" i="74" a="1"/>
  <c r="O111" i="74" s="1"/>
  <c r="P111" i="74" a="1"/>
  <c r="P111" i="74" s="1"/>
  <c r="M112" i="74" a="1"/>
  <c r="M112" i="74" s="1"/>
  <c r="H108" i="74"/>
  <c r="J108" i="74" s="1"/>
  <c r="A113" i="74"/>
  <c r="E110" i="74"/>
  <c r="F110" i="74"/>
  <c r="G110" i="74"/>
  <c r="K110" i="74"/>
  <c r="L110" i="74"/>
  <c r="B110" i="74" l="1"/>
  <c r="I110" i="74"/>
  <c r="S110" i="74"/>
  <c r="R111" i="74"/>
  <c r="D111" i="74" s="1"/>
  <c r="N112" i="74" a="1"/>
  <c r="N112" i="74" s="1"/>
  <c r="Q112" i="74" s="1"/>
  <c r="C112" i="74" s="1"/>
  <c r="O112" i="74" a="1"/>
  <c r="O112" i="74" s="1"/>
  <c r="P112" i="74" a="1"/>
  <c r="P112" i="74" s="1"/>
  <c r="H109" i="74"/>
  <c r="J109" i="74" s="1"/>
  <c r="M113" i="74" a="1"/>
  <c r="M113" i="74" s="1"/>
  <c r="A114" i="74"/>
  <c r="G111" i="74"/>
  <c r="E111" i="74"/>
  <c r="F111" i="74"/>
  <c r="L111" i="74"/>
  <c r="K111" i="74"/>
  <c r="B111" i="74" l="1"/>
  <c r="I111" i="74"/>
  <c r="S111" i="74"/>
  <c r="R112" i="74"/>
  <c r="D112" i="74" s="1"/>
  <c r="N113" i="74" a="1"/>
  <c r="N113" i="74" s="1"/>
  <c r="Q113" i="74" s="1"/>
  <c r="C113" i="74" s="1"/>
  <c r="O113" i="74" a="1"/>
  <c r="O113" i="74" s="1"/>
  <c r="H110" i="74"/>
  <c r="J110" i="74" s="1"/>
  <c r="P113" i="74" a="1"/>
  <c r="P113" i="74" s="1"/>
  <c r="M114" i="74" a="1"/>
  <c r="M114" i="74" s="1"/>
  <c r="A115" i="74"/>
  <c r="E112" i="74"/>
  <c r="F112" i="74"/>
  <c r="G112" i="74"/>
  <c r="K112" i="74"/>
  <c r="L112" i="74"/>
  <c r="B112" i="74" l="1"/>
  <c r="I112" i="74"/>
  <c r="S112" i="74"/>
  <c r="R113" i="74"/>
  <c r="D113" i="74" s="1"/>
  <c r="N114" i="74" a="1"/>
  <c r="N114" i="74" s="1"/>
  <c r="Q114" i="74" s="1"/>
  <c r="C114" i="74" s="1"/>
  <c r="O114" i="74" a="1"/>
  <c r="O114" i="74" s="1"/>
  <c r="H111" i="74"/>
  <c r="J111" i="74" s="1"/>
  <c r="P114" i="74" a="1"/>
  <c r="P114" i="74" s="1"/>
  <c r="M115" i="74" a="1"/>
  <c r="M115" i="74" s="1"/>
  <c r="A116" i="74"/>
  <c r="G113" i="74"/>
  <c r="E113" i="74"/>
  <c r="F113" i="74"/>
  <c r="K113" i="74"/>
  <c r="L113" i="74"/>
  <c r="B113" i="74" l="1"/>
  <c r="I113" i="74"/>
  <c r="S113" i="74"/>
  <c r="R114" i="74"/>
  <c r="D114" i="74" s="1"/>
  <c r="H112" i="74"/>
  <c r="J112" i="74" s="1"/>
  <c r="N115" i="74" a="1"/>
  <c r="N115" i="74" s="1"/>
  <c r="Q115" i="74" s="1"/>
  <c r="C115" i="74" s="1"/>
  <c r="O115" i="74" a="1"/>
  <c r="O115" i="74" s="1"/>
  <c r="P115" i="74" a="1"/>
  <c r="P115" i="74" s="1"/>
  <c r="M116" i="74" a="1"/>
  <c r="M116" i="74" s="1"/>
  <c r="A117" i="74"/>
  <c r="E114" i="74"/>
  <c r="F114" i="74"/>
  <c r="G114" i="74"/>
  <c r="K114" i="74"/>
  <c r="L114" i="74"/>
  <c r="B114" i="74" l="1"/>
  <c r="I114" i="74"/>
  <c r="S114" i="74"/>
  <c r="R115" i="74"/>
  <c r="D115" i="74" s="1"/>
  <c r="N116" i="74" a="1"/>
  <c r="N116" i="74" s="1"/>
  <c r="Q116" i="74" s="1"/>
  <c r="C116" i="74" s="1"/>
  <c r="O116" i="74" a="1"/>
  <c r="O116" i="74" s="1"/>
  <c r="H113" i="74"/>
  <c r="J113" i="74" s="1"/>
  <c r="P116" i="74" a="1"/>
  <c r="P116" i="74" s="1"/>
  <c r="M117" i="74" a="1"/>
  <c r="M117" i="74" s="1"/>
  <c r="A118" i="74"/>
  <c r="E115" i="74"/>
  <c r="F115" i="74"/>
  <c r="G115" i="74"/>
  <c r="L115" i="74"/>
  <c r="K115" i="74"/>
  <c r="I115" i="74" l="1"/>
  <c r="B115" i="74"/>
  <c r="S115" i="74"/>
  <c r="R116" i="74"/>
  <c r="D116" i="74" s="1"/>
  <c r="N117" i="74" a="1"/>
  <c r="N117" i="74" s="1"/>
  <c r="Q117" i="74" s="1"/>
  <c r="C117" i="74" s="1"/>
  <c r="O117" i="74" a="1"/>
  <c r="O117" i="74" s="1"/>
  <c r="H114" i="74"/>
  <c r="J114" i="74" s="1"/>
  <c r="P117" i="74" a="1"/>
  <c r="P117" i="74" s="1"/>
  <c r="M118" i="74" a="1"/>
  <c r="M118" i="74" s="1"/>
  <c r="A119" i="74"/>
  <c r="E116" i="74"/>
  <c r="F116" i="74"/>
  <c r="G116" i="74"/>
  <c r="K116" i="74"/>
  <c r="L116" i="74"/>
  <c r="B116" i="74" l="1"/>
  <c r="I116" i="74"/>
  <c r="S116" i="74"/>
  <c r="R117" i="74"/>
  <c r="D117" i="74" s="1"/>
  <c r="N118" i="74" a="1"/>
  <c r="N118" i="74" s="1"/>
  <c r="Q118" i="74" s="1"/>
  <c r="C118" i="74" s="1"/>
  <c r="O118" i="74" a="1"/>
  <c r="O118" i="74" s="1"/>
  <c r="H115" i="74"/>
  <c r="J115" i="74" s="1"/>
  <c r="P118" i="74" a="1"/>
  <c r="P118" i="74" s="1"/>
  <c r="M119" i="74" a="1"/>
  <c r="M119" i="74" s="1"/>
  <c r="A120" i="74"/>
  <c r="E117" i="74"/>
  <c r="F117" i="74"/>
  <c r="G117" i="74"/>
  <c r="L117" i="74"/>
  <c r="K117" i="74"/>
  <c r="B117" i="74" l="1"/>
  <c r="I117" i="74"/>
  <c r="S117" i="74"/>
  <c r="R118" i="74"/>
  <c r="D118" i="74" s="1"/>
  <c r="N119" i="74" a="1"/>
  <c r="N119" i="74" s="1"/>
  <c r="Q119" i="74" s="1"/>
  <c r="C119" i="74" s="1"/>
  <c r="O119" i="74" a="1"/>
  <c r="O119" i="74" s="1"/>
  <c r="H116" i="74"/>
  <c r="J116" i="74" s="1"/>
  <c r="P119" i="74" a="1"/>
  <c r="P119" i="74" s="1"/>
  <c r="M120" i="74" a="1"/>
  <c r="M120" i="74" s="1"/>
  <c r="A121" i="74"/>
  <c r="F118" i="74"/>
  <c r="G118" i="74"/>
  <c r="E118" i="74"/>
  <c r="K118" i="74"/>
  <c r="L118" i="74"/>
  <c r="B118" i="74" l="1"/>
  <c r="I118" i="74"/>
  <c r="S118" i="74"/>
  <c r="R119" i="74"/>
  <c r="D119" i="74" s="1"/>
  <c r="N120" i="74" a="1"/>
  <c r="N120" i="74" s="1"/>
  <c r="Q120" i="74" s="1"/>
  <c r="C120" i="74" s="1"/>
  <c r="O120" i="74" a="1"/>
  <c r="O120" i="74" s="1"/>
  <c r="P120" i="74" a="1"/>
  <c r="P120" i="74" s="1"/>
  <c r="M121" i="74" a="1"/>
  <c r="M121" i="74" s="1"/>
  <c r="H117" i="74"/>
  <c r="J117" i="74" s="1"/>
  <c r="A122" i="74"/>
  <c r="E119" i="74"/>
  <c r="F119" i="74"/>
  <c r="G119" i="74"/>
  <c r="L119" i="74"/>
  <c r="K119" i="74"/>
  <c r="B119" i="74" l="1"/>
  <c r="I119" i="74"/>
  <c r="S119" i="74"/>
  <c r="R120" i="74"/>
  <c r="D120" i="74" s="1"/>
  <c r="N121" i="74" a="1"/>
  <c r="N121" i="74" s="1"/>
  <c r="Q121" i="74" s="1"/>
  <c r="C121" i="74" s="1"/>
  <c r="O121" i="74" a="1"/>
  <c r="O121" i="74" s="1"/>
  <c r="P121" i="74" a="1"/>
  <c r="P121" i="74" s="1"/>
  <c r="M122" i="74" a="1"/>
  <c r="M122" i="74" s="1"/>
  <c r="H118" i="74"/>
  <c r="J118" i="74" s="1"/>
  <c r="A123" i="74"/>
  <c r="G120" i="74"/>
  <c r="E120" i="74"/>
  <c r="F120" i="74"/>
  <c r="K120" i="74"/>
  <c r="L120" i="74"/>
  <c r="B120" i="74" l="1"/>
  <c r="I120" i="74"/>
  <c r="S120" i="74"/>
  <c r="R121" i="74"/>
  <c r="D121" i="74" s="1"/>
  <c r="N122" i="74" a="1"/>
  <c r="N122" i="74" s="1"/>
  <c r="Q122" i="74" s="1"/>
  <c r="C122" i="74" s="1"/>
  <c r="O122" i="74" a="1"/>
  <c r="O122" i="74" s="1"/>
  <c r="P122" i="74" a="1"/>
  <c r="P122" i="74" s="1"/>
  <c r="M123" i="74" a="1"/>
  <c r="M123" i="74" s="1"/>
  <c r="H119" i="74"/>
  <c r="J119" i="74" s="1"/>
  <c r="A124" i="74"/>
  <c r="F121" i="74"/>
  <c r="G121" i="74"/>
  <c r="E121" i="74"/>
  <c r="K121" i="74"/>
  <c r="L121" i="74"/>
  <c r="B121" i="74" l="1"/>
  <c r="I121" i="74"/>
  <c r="S121" i="74"/>
  <c r="R122" i="74"/>
  <c r="D122" i="74" s="1"/>
  <c r="N123" i="74" a="1"/>
  <c r="N123" i="74" s="1"/>
  <c r="Q123" i="74" s="1"/>
  <c r="C123" i="74" s="1"/>
  <c r="O123" i="74" a="1"/>
  <c r="O123" i="74" s="1"/>
  <c r="P123" i="74" a="1"/>
  <c r="P123" i="74" s="1"/>
  <c r="M124" i="74" a="1"/>
  <c r="M124" i="74" s="1"/>
  <c r="H120" i="74"/>
  <c r="J120" i="74" s="1"/>
  <c r="A125" i="74"/>
  <c r="E122" i="74"/>
  <c r="F122" i="74"/>
  <c r="G122" i="74"/>
  <c r="K122" i="74"/>
  <c r="L122" i="74"/>
  <c r="B122" i="74" l="1"/>
  <c r="I122" i="74"/>
  <c r="S122" i="74"/>
  <c r="R123" i="74"/>
  <c r="D123" i="74" s="1"/>
  <c r="N124" i="74" a="1"/>
  <c r="N124" i="74" s="1"/>
  <c r="Q124" i="74" s="1"/>
  <c r="C124" i="74" s="1"/>
  <c r="O124" i="74" a="1"/>
  <c r="O124" i="74" s="1"/>
  <c r="P124" i="74" a="1"/>
  <c r="P124" i="74" s="1"/>
  <c r="M125" i="74" a="1"/>
  <c r="M125" i="74" s="1"/>
  <c r="H121" i="74"/>
  <c r="J121" i="74" s="1"/>
  <c r="A126" i="74"/>
  <c r="G123" i="74"/>
  <c r="E123" i="74"/>
  <c r="F123" i="74"/>
  <c r="L123" i="74"/>
  <c r="K123" i="74"/>
  <c r="B123" i="74" l="1"/>
  <c r="I123" i="74"/>
  <c r="S123" i="74"/>
  <c r="R124" i="74"/>
  <c r="D124" i="74" s="1"/>
  <c r="H122" i="74"/>
  <c r="J122" i="74" s="1"/>
  <c r="N125" i="74" a="1"/>
  <c r="N125" i="74" s="1"/>
  <c r="Q125" i="74" s="1"/>
  <c r="C125" i="74" s="1"/>
  <c r="O125" i="74" a="1"/>
  <c r="O125" i="74" s="1"/>
  <c r="P125" i="74" a="1"/>
  <c r="P125" i="74" s="1"/>
  <c r="M126" i="74" a="1"/>
  <c r="M126" i="74" s="1"/>
  <c r="A127" i="74"/>
  <c r="E124" i="74"/>
  <c r="F124" i="74"/>
  <c r="G124" i="74"/>
  <c r="K124" i="74"/>
  <c r="L124" i="74"/>
  <c r="B124" i="74" l="1"/>
  <c r="I124" i="74"/>
  <c r="S124" i="74"/>
  <c r="R125" i="74"/>
  <c r="D125" i="74" s="1"/>
  <c r="N126" i="74" a="1"/>
  <c r="N126" i="74" s="1"/>
  <c r="Q126" i="74" s="1"/>
  <c r="C126" i="74" s="1"/>
  <c r="O126" i="74" a="1"/>
  <c r="O126" i="74" s="1"/>
  <c r="H123" i="74"/>
  <c r="J123" i="74" s="1"/>
  <c r="P126" i="74" a="1"/>
  <c r="P126" i="74" s="1"/>
  <c r="M127" i="74" a="1"/>
  <c r="M127" i="74" s="1"/>
  <c r="A128" i="74"/>
  <c r="E125" i="74"/>
  <c r="F125" i="74"/>
  <c r="G125" i="74"/>
  <c r="L125" i="74"/>
  <c r="K125" i="74"/>
  <c r="B125" i="74" l="1"/>
  <c r="I125" i="74"/>
  <c r="S125" i="74"/>
  <c r="R126" i="74"/>
  <c r="D126" i="74" s="1"/>
  <c r="N127" i="74" a="1"/>
  <c r="N127" i="74" s="1"/>
  <c r="Q127" i="74" s="1"/>
  <c r="C127" i="74" s="1"/>
  <c r="O127" i="74" a="1"/>
  <c r="O127" i="74" s="1"/>
  <c r="H124" i="74"/>
  <c r="J124" i="74" s="1"/>
  <c r="P127" i="74" a="1"/>
  <c r="P127" i="74" s="1"/>
  <c r="M128" i="74" a="1"/>
  <c r="M128" i="74" s="1"/>
  <c r="A129" i="74"/>
  <c r="F126" i="74"/>
  <c r="G126" i="74"/>
  <c r="E126" i="74"/>
  <c r="K126" i="74"/>
  <c r="L126" i="74"/>
  <c r="B126" i="74" l="1"/>
  <c r="I126" i="74"/>
  <c r="S126" i="74"/>
  <c r="R127" i="74"/>
  <c r="D127" i="74" s="1"/>
  <c r="N128" i="74" a="1"/>
  <c r="N128" i="74" s="1"/>
  <c r="Q128" i="74" s="1"/>
  <c r="C128" i="74" s="1"/>
  <c r="O128" i="74" a="1"/>
  <c r="O128" i="74" s="1"/>
  <c r="H125" i="74"/>
  <c r="J125" i="74" s="1"/>
  <c r="P128" i="74" a="1"/>
  <c r="P128" i="74" s="1"/>
  <c r="M129" i="74" a="1"/>
  <c r="M129" i="74" s="1"/>
  <c r="A130" i="74"/>
  <c r="E127" i="74"/>
  <c r="F127" i="74"/>
  <c r="G127" i="74"/>
  <c r="L127" i="74"/>
  <c r="K127" i="74"/>
  <c r="B127" i="74" l="1"/>
  <c r="I127" i="74"/>
  <c r="S127" i="74"/>
  <c r="R128" i="74"/>
  <c r="D128" i="74" s="1"/>
  <c r="N129" i="74" a="1"/>
  <c r="N129" i="74" s="1"/>
  <c r="Q129" i="74" s="1"/>
  <c r="C129" i="74" s="1"/>
  <c r="O129" i="74" a="1"/>
  <c r="O129" i="74" s="1"/>
  <c r="H126" i="74"/>
  <c r="J126" i="74" s="1"/>
  <c r="P129" i="74" a="1"/>
  <c r="P129" i="74" s="1"/>
  <c r="M130" i="74" a="1"/>
  <c r="M130" i="74" s="1"/>
  <c r="A131" i="74"/>
  <c r="F128" i="74"/>
  <c r="G128" i="74"/>
  <c r="E128" i="74"/>
  <c r="K128" i="74"/>
  <c r="L128" i="74"/>
  <c r="B128" i="74" l="1"/>
  <c r="I128" i="74"/>
  <c r="S128" i="74"/>
  <c r="R129" i="74"/>
  <c r="D129" i="74" s="1"/>
  <c r="N130" i="74" a="1"/>
  <c r="N130" i="74" s="1"/>
  <c r="Q130" i="74" s="1"/>
  <c r="C130" i="74" s="1"/>
  <c r="O130" i="74" a="1"/>
  <c r="O130" i="74" s="1"/>
  <c r="P130" i="74" a="1"/>
  <c r="P130" i="74" s="1"/>
  <c r="M131" i="74" a="1"/>
  <c r="M131" i="74" s="1"/>
  <c r="H127" i="74"/>
  <c r="J127" i="74" s="1"/>
  <c r="A132" i="74"/>
  <c r="E129" i="74"/>
  <c r="F129" i="74"/>
  <c r="G129" i="74"/>
  <c r="K129" i="74"/>
  <c r="L129" i="74"/>
  <c r="B129" i="74" l="1"/>
  <c r="I129" i="74"/>
  <c r="S129" i="74"/>
  <c r="R130" i="74"/>
  <c r="D130" i="74" s="1"/>
  <c r="N131" i="74" a="1"/>
  <c r="N131" i="74" s="1"/>
  <c r="Q131" i="74" s="1"/>
  <c r="C131" i="74" s="1"/>
  <c r="O131" i="74" a="1"/>
  <c r="O131" i="74" s="1"/>
  <c r="P131" i="74" a="1"/>
  <c r="P131" i="74" s="1"/>
  <c r="M132" i="74" a="1"/>
  <c r="M132" i="74" s="1"/>
  <c r="H128" i="74"/>
  <c r="J128" i="74" s="1"/>
  <c r="A133" i="74"/>
  <c r="G130" i="74"/>
  <c r="E130" i="74"/>
  <c r="F130" i="74"/>
  <c r="K130" i="74"/>
  <c r="L130" i="74"/>
  <c r="B130" i="74" l="1"/>
  <c r="I130" i="74"/>
  <c r="S130" i="74"/>
  <c r="R131" i="74"/>
  <c r="D131" i="74" s="1"/>
  <c r="H129" i="74"/>
  <c r="J129" i="74" s="1"/>
  <c r="N132" i="74" a="1"/>
  <c r="N132" i="74" s="1"/>
  <c r="Q132" i="74" s="1"/>
  <c r="C132" i="74" s="1"/>
  <c r="O132" i="74" a="1"/>
  <c r="O132" i="74" s="1"/>
  <c r="P132" i="74" a="1"/>
  <c r="P132" i="74" s="1"/>
  <c r="M133" i="74" a="1"/>
  <c r="M133" i="74" s="1"/>
  <c r="A134" i="74"/>
  <c r="F131" i="74"/>
  <c r="G131" i="74"/>
  <c r="E131" i="74"/>
  <c r="L131" i="74"/>
  <c r="K131" i="74"/>
  <c r="B131" i="74" l="1"/>
  <c r="I131" i="74"/>
  <c r="S131" i="74"/>
  <c r="R132" i="74"/>
  <c r="D132" i="74" s="1"/>
  <c r="N133" i="74" a="1"/>
  <c r="N133" i="74" s="1"/>
  <c r="Q133" i="74" s="1"/>
  <c r="C133" i="74" s="1"/>
  <c r="O133" i="74" a="1"/>
  <c r="O133" i="74" s="1"/>
  <c r="P133" i="74" a="1"/>
  <c r="P133" i="74" s="1"/>
  <c r="M134" i="74" a="1"/>
  <c r="M134" i="74" s="1"/>
  <c r="H130" i="74"/>
  <c r="J130" i="74" s="1"/>
  <c r="A135" i="74"/>
  <c r="G132" i="74"/>
  <c r="E132" i="74"/>
  <c r="F132" i="74"/>
  <c r="K132" i="74"/>
  <c r="L132" i="74"/>
  <c r="B132" i="74" l="1"/>
  <c r="I132" i="74"/>
  <c r="S132" i="74"/>
  <c r="R133" i="74"/>
  <c r="D133" i="74" s="1"/>
  <c r="N134" i="74" a="1"/>
  <c r="N134" i="74" s="1"/>
  <c r="Q134" i="74" s="1"/>
  <c r="C134" i="74" s="1"/>
  <c r="O134" i="74" a="1"/>
  <c r="O134" i="74" s="1"/>
  <c r="P134" i="74" a="1"/>
  <c r="P134" i="74" s="1"/>
  <c r="M135" i="74" a="1"/>
  <c r="M135" i="74" s="1"/>
  <c r="H131" i="74"/>
  <c r="J131" i="74" s="1"/>
  <c r="A136" i="74"/>
  <c r="F133" i="74"/>
  <c r="G133" i="74"/>
  <c r="E133" i="74"/>
  <c r="L133" i="74"/>
  <c r="K133" i="74"/>
  <c r="B133" i="74" l="1"/>
  <c r="I133" i="74"/>
  <c r="S133" i="74"/>
  <c r="R134" i="74"/>
  <c r="D134" i="74" s="1"/>
  <c r="N135" i="74" a="1"/>
  <c r="N135" i="74" s="1"/>
  <c r="Q135" i="74" s="1"/>
  <c r="C135" i="74" s="1"/>
  <c r="O135" i="74" a="1"/>
  <c r="O135" i="74" s="1"/>
  <c r="P135" i="74" a="1"/>
  <c r="P135" i="74" s="1"/>
  <c r="M136" i="74" a="1"/>
  <c r="M136" i="74" s="1"/>
  <c r="H132" i="74"/>
  <c r="J132" i="74" s="1"/>
  <c r="A137" i="74"/>
  <c r="E134" i="74"/>
  <c r="F134" i="74"/>
  <c r="G134" i="74"/>
  <c r="K134" i="74"/>
  <c r="L134" i="74"/>
  <c r="B134" i="74" l="1"/>
  <c r="I134" i="74"/>
  <c r="S134" i="74"/>
  <c r="R135" i="74"/>
  <c r="D135" i="74" s="1"/>
  <c r="N136" i="74" a="1"/>
  <c r="N136" i="74" s="1"/>
  <c r="Q136" i="74" s="1"/>
  <c r="C136" i="74" s="1"/>
  <c r="O136" i="74" a="1"/>
  <c r="O136" i="74" s="1"/>
  <c r="H133" i="74"/>
  <c r="J133" i="74" s="1"/>
  <c r="P136" i="74" a="1"/>
  <c r="P136" i="74" s="1"/>
  <c r="M137" i="74" a="1"/>
  <c r="M137" i="74" s="1"/>
  <c r="A138" i="74"/>
  <c r="G135" i="74"/>
  <c r="E135" i="74"/>
  <c r="F135" i="74"/>
  <c r="L135" i="74"/>
  <c r="K135" i="74"/>
  <c r="B135" i="74" l="1"/>
  <c r="I135" i="74"/>
  <c r="S135" i="74"/>
  <c r="R136" i="74"/>
  <c r="D136" i="74" s="1"/>
  <c r="N137" i="74" a="1"/>
  <c r="N137" i="74" s="1"/>
  <c r="Q137" i="74" s="1"/>
  <c r="C137" i="74" s="1"/>
  <c r="O137" i="74" a="1"/>
  <c r="O137" i="74" s="1"/>
  <c r="P137" i="74" a="1"/>
  <c r="P137" i="74" s="1"/>
  <c r="M138" i="74" a="1"/>
  <c r="M138" i="74" s="1"/>
  <c r="H134" i="74"/>
  <c r="J134" i="74" s="1"/>
  <c r="A139" i="74"/>
  <c r="E136" i="74"/>
  <c r="F136" i="74"/>
  <c r="G136" i="74"/>
  <c r="K136" i="74"/>
  <c r="L136" i="74"/>
  <c r="B136" i="74" l="1"/>
  <c r="I136" i="74"/>
  <c r="S136" i="74"/>
  <c r="R137" i="74"/>
  <c r="D137" i="74" s="1"/>
  <c r="N138" i="74" a="1"/>
  <c r="N138" i="74" s="1"/>
  <c r="Q138" i="74" s="1"/>
  <c r="C138" i="74" s="1"/>
  <c r="O138" i="74" a="1"/>
  <c r="O138" i="74" s="1"/>
  <c r="P138" i="74" a="1"/>
  <c r="P138" i="74" s="1"/>
  <c r="M139" i="74" a="1"/>
  <c r="M139" i="74" s="1"/>
  <c r="H135" i="74"/>
  <c r="J135" i="74" s="1"/>
  <c r="A140" i="74"/>
  <c r="E137" i="74"/>
  <c r="F137" i="74"/>
  <c r="G137" i="74"/>
  <c r="K137" i="74"/>
  <c r="L137" i="74"/>
  <c r="B137" i="74" l="1"/>
  <c r="I137" i="74"/>
  <c r="S137" i="74"/>
  <c r="R138" i="74"/>
  <c r="D138" i="74" s="1"/>
  <c r="N139" i="74" a="1"/>
  <c r="N139" i="74" s="1"/>
  <c r="Q139" i="74" s="1"/>
  <c r="C139" i="74" s="1"/>
  <c r="O139" i="74" a="1"/>
  <c r="O139" i="74" s="1"/>
  <c r="P139" i="74" a="1"/>
  <c r="P139" i="74" s="1"/>
  <c r="M140" i="74" a="1"/>
  <c r="M140" i="74" s="1"/>
  <c r="H136" i="74"/>
  <c r="J136" i="74" s="1"/>
  <c r="A141" i="74"/>
  <c r="F138" i="74"/>
  <c r="G138" i="74"/>
  <c r="E138" i="74"/>
  <c r="K138" i="74"/>
  <c r="L138" i="74"/>
  <c r="B138" i="74" l="1"/>
  <c r="I138" i="74"/>
  <c r="S138" i="74"/>
  <c r="R139" i="74"/>
  <c r="D139" i="74" s="1"/>
  <c r="N140" i="74" a="1"/>
  <c r="N140" i="74" s="1"/>
  <c r="Q140" i="74" s="1"/>
  <c r="C140" i="74" s="1"/>
  <c r="O140" i="74" a="1"/>
  <c r="O140" i="74" s="1"/>
  <c r="H137" i="74"/>
  <c r="J137" i="74" s="1"/>
  <c r="P140" i="74" a="1"/>
  <c r="P140" i="74" s="1"/>
  <c r="M141" i="74" a="1"/>
  <c r="M141" i="74" s="1"/>
  <c r="A142" i="74"/>
  <c r="E139" i="74"/>
  <c r="F139" i="74"/>
  <c r="G139" i="74"/>
  <c r="L139" i="74"/>
  <c r="K139" i="74"/>
  <c r="B139" i="74" l="1"/>
  <c r="I139" i="74"/>
  <c r="S139" i="74"/>
  <c r="R140" i="74"/>
  <c r="D140" i="74" s="1"/>
  <c r="N141" i="74" a="1"/>
  <c r="N141" i="74" s="1"/>
  <c r="Q141" i="74" s="1"/>
  <c r="C141" i="74" s="1"/>
  <c r="O141" i="74" a="1"/>
  <c r="O141" i="74" s="1"/>
  <c r="H138" i="74"/>
  <c r="J138" i="74" s="1"/>
  <c r="P141" i="74" a="1"/>
  <c r="P141" i="74" s="1"/>
  <c r="M142" i="74" a="1"/>
  <c r="M142" i="74" s="1"/>
  <c r="A143" i="74"/>
  <c r="G140" i="74"/>
  <c r="E140" i="74"/>
  <c r="F140" i="74"/>
  <c r="K140" i="74"/>
  <c r="L140" i="74"/>
  <c r="B140" i="74" l="1"/>
  <c r="I140" i="74"/>
  <c r="S140" i="74"/>
  <c r="R141" i="74"/>
  <c r="D141" i="74" s="1"/>
  <c r="N142" i="74" a="1"/>
  <c r="N142" i="74" s="1"/>
  <c r="Q142" i="74" s="1"/>
  <c r="C142" i="74" s="1"/>
  <c r="O142" i="74" a="1"/>
  <c r="O142" i="74" s="1"/>
  <c r="P142" i="74" a="1"/>
  <c r="P142" i="74" s="1"/>
  <c r="M143" i="74" a="1"/>
  <c r="M143" i="74" s="1"/>
  <c r="H139" i="74"/>
  <c r="J139" i="74" s="1"/>
  <c r="A144" i="74"/>
  <c r="F141" i="74"/>
  <c r="G141" i="74"/>
  <c r="E141" i="74"/>
  <c r="L141" i="74"/>
  <c r="K141" i="74"/>
  <c r="B141" i="74" l="1"/>
  <c r="I141" i="74"/>
  <c r="S141" i="74"/>
  <c r="R142" i="74"/>
  <c r="D142" i="74" s="1"/>
  <c r="N143" i="74" a="1"/>
  <c r="N143" i="74" s="1"/>
  <c r="Q143" i="74" s="1"/>
  <c r="C143" i="74" s="1"/>
  <c r="O143" i="74" a="1"/>
  <c r="O143" i="74" s="1"/>
  <c r="H140" i="74"/>
  <c r="J140" i="74" s="1"/>
  <c r="P143" i="74" a="1"/>
  <c r="P143" i="74" s="1"/>
  <c r="M144" i="74" a="1"/>
  <c r="M144" i="74" s="1"/>
  <c r="A145" i="74"/>
  <c r="E142" i="74"/>
  <c r="G142" i="74"/>
  <c r="F142" i="74"/>
  <c r="K142" i="74"/>
  <c r="L142" i="74"/>
  <c r="B142" i="74" l="1"/>
  <c r="I142" i="74"/>
  <c r="S142" i="74"/>
  <c r="R143" i="74"/>
  <c r="D143" i="74" s="1"/>
  <c r="N144" i="74" a="1"/>
  <c r="N144" i="74" s="1"/>
  <c r="Q144" i="74" s="1"/>
  <c r="C144" i="74" s="1"/>
  <c r="O144" i="74" a="1"/>
  <c r="O144" i="74" s="1"/>
  <c r="H141" i="74"/>
  <c r="J141" i="74" s="1"/>
  <c r="P144" i="74" a="1"/>
  <c r="P144" i="74" s="1"/>
  <c r="M145" i="74" a="1"/>
  <c r="M145" i="74" s="1"/>
  <c r="A146" i="74"/>
  <c r="G143" i="74"/>
  <c r="E143" i="74"/>
  <c r="F143" i="74"/>
  <c r="L143" i="74"/>
  <c r="K143" i="74"/>
  <c r="B143" i="74" l="1"/>
  <c r="I143" i="74"/>
  <c r="S143" i="74"/>
  <c r="R144" i="74"/>
  <c r="D144" i="74" s="1"/>
  <c r="N145" i="74" a="1"/>
  <c r="N145" i="74" s="1"/>
  <c r="Q145" i="74" s="1"/>
  <c r="C145" i="74" s="1"/>
  <c r="O145" i="74" a="1"/>
  <c r="O145" i="74" s="1"/>
  <c r="H142" i="74"/>
  <c r="J142" i="74" s="1"/>
  <c r="P145" i="74" a="1"/>
  <c r="P145" i="74" s="1"/>
  <c r="M146" i="74" a="1"/>
  <c r="M146" i="74" s="1"/>
  <c r="A147" i="74"/>
  <c r="E144" i="74"/>
  <c r="F144" i="74"/>
  <c r="G144" i="74"/>
  <c r="K144" i="74"/>
  <c r="L144" i="74"/>
  <c r="B144" i="74" l="1"/>
  <c r="I144" i="74"/>
  <c r="S144" i="74"/>
  <c r="R145" i="74"/>
  <c r="D145" i="74" s="1"/>
  <c r="N146" i="74" a="1"/>
  <c r="N146" i="74" s="1"/>
  <c r="Q146" i="74" s="1"/>
  <c r="C146" i="74" s="1"/>
  <c r="O146" i="74" a="1"/>
  <c r="O146" i="74" s="1"/>
  <c r="H143" i="74"/>
  <c r="J143" i="74" s="1"/>
  <c r="P146" i="74" a="1"/>
  <c r="P146" i="74" s="1"/>
  <c r="M147" i="74" a="1"/>
  <c r="M147" i="74" s="1"/>
  <c r="A148" i="74"/>
  <c r="G145" i="74"/>
  <c r="E145" i="74"/>
  <c r="F145" i="74"/>
  <c r="K145" i="74"/>
  <c r="L145" i="74"/>
  <c r="I145" i="74" l="1"/>
  <c r="B145" i="74"/>
  <c r="S145" i="74"/>
  <c r="R146" i="74"/>
  <c r="D146" i="74" s="1"/>
  <c r="N147" i="74" a="1"/>
  <c r="N147" i="74" s="1"/>
  <c r="Q147" i="74" s="1"/>
  <c r="C147" i="74" s="1"/>
  <c r="O147" i="74" a="1"/>
  <c r="O147" i="74" s="1"/>
  <c r="H144" i="74"/>
  <c r="J144" i="74" s="1"/>
  <c r="P147" i="74" a="1"/>
  <c r="P147" i="74" s="1"/>
  <c r="M148" i="74" a="1"/>
  <c r="M148" i="74" s="1"/>
  <c r="A149" i="74"/>
  <c r="E146" i="74"/>
  <c r="F146" i="74"/>
  <c r="G146" i="74"/>
  <c r="K146" i="74"/>
  <c r="L146" i="74"/>
  <c r="B146" i="74" l="1"/>
  <c r="I146" i="74"/>
  <c r="S146" i="74"/>
  <c r="R147" i="74"/>
  <c r="D147" i="74" s="1"/>
  <c r="N148" i="74" a="1"/>
  <c r="N148" i="74" s="1"/>
  <c r="Q148" i="74" s="1"/>
  <c r="C148" i="74" s="1"/>
  <c r="O148" i="74" a="1"/>
  <c r="O148" i="74" s="1"/>
  <c r="H145" i="74"/>
  <c r="J145" i="74" s="1"/>
  <c r="P148" i="74" a="1"/>
  <c r="P148" i="74" s="1"/>
  <c r="M149" i="74" a="1"/>
  <c r="M149" i="74" s="1"/>
  <c r="A150" i="74"/>
  <c r="E147" i="74"/>
  <c r="F147" i="74"/>
  <c r="G147" i="74"/>
  <c r="L147" i="74"/>
  <c r="K147" i="74"/>
  <c r="B147" i="74" l="1"/>
  <c r="I147" i="74"/>
  <c r="S147" i="74"/>
  <c r="R148" i="74"/>
  <c r="D148" i="74" s="1"/>
  <c r="N149" i="74" a="1"/>
  <c r="N149" i="74" s="1"/>
  <c r="Q149" i="74" s="1"/>
  <c r="C149" i="74" s="1"/>
  <c r="O149" i="74" a="1"/>
  <c r="O149" i="74" s="1"/>
  <c r="P149" i="74" a="1"/>
  <c r="P149" i="74" s="1"/>
  <c r="M150" i="74" a="1"/>
  <c r="M150" i="74" s="1"/>
  <c r="H146" i="74"/>
  <c r="J146" i="74" s="1"/>
  <c r="A151" i="74"/>
  <c r="E148" i="74"/>
  <c r="F148" i="74"/>
  <c r="G148" i="74"/>
  <c r="K148" i="74"/>
  <c r="L148" i="74"/>
  <c r="B148" i="74" l="1"/>
  <c r="I148" i="74"/>
  <c r="S148" i="74"/>
  <c r="R149" i="74"/>
  <c r="D149" i="74" s="1"/>
  <c r="N150" i="74" a="1"/>
  <c r="N150" i="74" s="1"/>
  <c r="Q150" i="74" s="1"/>
  <c r="C150" i="74" s="1"/>
  <c r="O150" i="74" a="1"/>
  <c r="O150" i="74" s="1"/>
  <c r="P150" i="74" a="1"/>
  <c r="P150" i="74" s="1"/>
  <c r="M151" i="74" a="1"/>
  <c r="M151" i="74" s="1"/>
  <c r="H147" i="74"/>
  <c r="J147" i="74" s="1"/>
  <c r="A152" i="74"/>
  <c r="E149" i="74"/>
  <c r="F149" i="74"/>
  <c r="G149" i="74"/>
  <c r="L149" i="74"/>
  <c r="K149" i="74"/>
  <c r="B149" i="74" l="1"/>
  <c r="I149" i="74"/>
  <c r="S149" i="74"/>
  <c r="R150" i="74"/>
  <c r="D150" i="74" s="1"/>
  <c r="H148" i="74"/>
  <c r="J148" i="74" s="1"/>
  <c r="N151" i="74" a="1"/>
  <c r="N151" i="74" s="1"/>
  <c r="Q151" i="74" s="1"/>
  <c r="C151" i="74" s="1"/>
  <c r="O151" i="74" a="1"/>
  <c r="O151" i="74" s="1"/>
  <c r="P151" i="74" a="1"/>
  <c r="P151" i="74" s="1"/>
  <c r="M152" i="74" a="1"/>
  <c r="M152" i="74" s="1"/>
  <c r="A153" i="74"/>
  <c r="F150" i="74"/>
  <c r="G150" i="74"/>
  <c r="E150" i="74"/>
  <c r="K150" i="74"/>
  <c r="L150" i="74"/>
  <c r="B150" i="74" l="1"/>
  <c r="I150" i="74"/>
  <c r="S150" i="74"/>
  <c r="R151" i="74"/>
  <c r="D151" i="74" s="1"/>
  <c r="N152" i="74" a="1"/>
  <c r="N152" i="74" s="1"/>
  <c r="Q152" i="74" s="1"/>
  <c r="C152" i="74" s="1"/>
  <c r="O152" i="74" a="1"/>
  <c r="O152" i="74" s="1"/>
  <c r="H149" i="74"/>
  <c r="J149" i="74" s="1"/>
  <c r="P152" i="74" a="1"/>
  <c r="P152" i="74" s="1"/>
  <c r="M153" i="74" a="1"/>
  <c r="M153" i="74" s="1"/>
  <c r="A154" i="74"/>
  <c r="E151" i="74"/>
  <c r="F151" i="74"/>
  <c r="G151" i="74"/>
  <c r="L151" i="74"/>
  <c r="K151" i="74"/>
  <c r="B151" i="74" l="1"/>
  <c r="I151" i="74"/>
  <c r="S151" i="74"/>
  <c r="R152" i="74"/>
  <c r="D152" i="74" s="1"/>
  <c r="H150" i="74"/>
  <c r="J150" i="74" s="1"/>
  <c r="N153" i="74" a="1"/>
  <c r="N153" i="74" s="1"/>
  <c r="Q153" i="74" s="1"/>
  <c r="C153" i="74" s="1"/>
  <c r="O153" i="74" a="1"/>
  <c r="O153" i="74" s="1"/>
  <c r="P153" i="74" a="1"/>
  <c r="P153" i="74" s="1"/>
  <c r="M154" i="74" a="1"/>
  <c r="M154" i="74" s="1"/>
  <c r="A155" i="74"/>
  <c r="G152" i="74"/>
  <c r="E152" i="74"/>
  <c r="F152" i="74"/>
  <c r="K152" i="74"/>
  <c r="L152" i="74"/>
  <c r="B152" i="74" l="1"/>
  <c r="I152" i="74"/>
  <c r="S152" i="74"/>
  <c r="R153" i="74"/>
  <c r="D153" i="74" s="1"/>
  <c r="N154" i="74" a="1"/>
  <c r="N154" i="74" s="1"/>
  <c r="Q154" i="74" s="1"/>
  <c r="C154" i="74" s="1"/>
  <c r="O154" i="74" a="1"/>
  <c r="O154" i="74" s="1"/>
  <c r="P154" i="74" a="1"/>
  <c r="P154" i="74" s="1"/>
  <c r="M155" i="74" a="1"/>
  <c r="M155" i="74" s="1"/>
  <c r="H151" i="74"/>
  <c r="J151" i="74" s="1"/>
  <c r="A156" i="74"/>
  <c r="F153" i="74"/>
  <c r="G153" i="74"/>
  <c r="E153" i="74"/>
  <c r="K153" i="74"/>
  <c r="L153" i="74"/>
  <c r="B153" i="74" l="1"/>
  <c r="I153" i="74"/>
  <c r="S153" i="74"/>
  <c r="R154" i="74"/>
  <c r="D154" i="74" s="1"/>
  <c r="N155" i="74" a="1"/>
  <c r="N155" i="74" s="1"/>
  <c r="Q155" i="74" s="1"/>
  <c r="C155" i="74" s="1"/>
  <c r="O155" i="74" a="1"/>
  <c r="O155" i="74" s="1"/>
  <c r="H152" i="74"/>
  <c r="J152" i="74" s="1"/>
  <c r="P155" i="74" a="1"/>
  <c r="P155" i="74" s="1"/>
  <c r="M156" i="74" a="1"/>
  <c r="M156" i="74" s="1"/>
  <c r="A157" i="74"/>
  <c r="E154" i="74"/>
  <c r="F154" i="74"/>
  <c r="G154" i="74"/>
  <c r="K154" i="74"/>
  <c r="L154" i="74"/>
  <c r="B154" i="74" l="1"/>
  <c r="I154" i="74"/>
  <c r="S154" i="74"/>
  <c r="R155" i="74"/>
  <c r="D155" i="74" s="1"/>
  <c r="N156" i="74" a="1"/>
  <c r="N156" i="74" s="1"/>
  <c r="Q156" i="74" s="1"/>
  <c r="C156" i="74" s="1"/>
  <c r="O156" i="74" a="1"/>
  <c r="O156" i="74" s="1"/>
  <c r="H153" i="74"/>
  <c r="J153" i="74" s="1"/>
  <c r="P156" i="74" a="1"/>
  <c r="P156" i="74" s="1"/>
  <c r="M157" i="74" a="1"/>
  <c r="M157" i="74" s="1"/>
  <c r="A158" i="74"/>
  <c r="G155" i="74"/>
  <c r="E155" i="74"/>
  <c r="F155" i="74"/>
  <c r="L155" i="74"/>
  <c r="K155" i="74"/>
  <c r="B155" i="74" l="1"/>
  <c r="I155" i="74"/>
  <c r="S155" i="74"/>
  <c r="R156" i="74"/>
  <c r="D156" i="74" s="1"/>
  <c r="H154" i="74"/>
  <c r="J154" i="74" s="1"/>
  <c r="N157" i="74" a="1"/>
  <c r="N157" i="74" s="1"/>
  <c r="Q157" i="74" s="1"/>
  <c r="C157" i="74" s="1"/>
  <c r="O157" i="74" a="1"/>
  <c r="O157" i="74" s="1"/>
  <c r="P157" i="74" a="1"/>
  <c r="P157" i="74" s="1"/>
  <c r="M158" i="74" a="1"/>
  <c r="M158" i="74" s="1"/>
  <c r="A159" i="74"/>
  <c r="F156" i="74"/>
  <c r="G156" i="74"/>
  <c r="E156" i="74"/>
  <c r="K156" i="74"/>
  <c r="L156" i="74"/>
  <c r="B156" i="74" l="1"/>
  <c r="I156" i="74"/>
  <c r="S156" i="74"/>
  <c r="R157" i="74"/>
  <c r="D157" i="74" s="1"/>
  <c r="N158" i="74" a="1"/>
  <c r="N158" i="74" s="1"/>
  <c r="Q158" i="74" s="1"/>
  <c r="C158" i="74" s="1"/>
  <c r="O158" i="74" a="1"/>
  <c r="O158" i="74" s="1"/>
  <c r="H155" i="74"/>
  <c r="J155" i="74" s="1"/>
  <c r="P158" i="74" a="1"/>
  <c r="P158" i="74" s="1"/>
  <c r="M159" i="74" a="1"/>
  <c r="M159" i="74" s="1"/>
  <c r="A160" i="74"/>
  <c r="E157" i="74"/>
  <c r="G157" i="74"/>
  <c r="F157" i="74"/>
  <c r="L157" i="74"/>
  <c r="K157" i="74"/>
  <c r="B157" i="74" l="1"/>
  <c r="I157" i="74"/>
  <c r="S157" i="74"/>
  <c r="R158" i="74"/>
  <c r="D158" i="74" s="1"/>
  <c r="N159" i="74" a="1"/>
  <c r="N159" i="74" s="1"/>
  <c r="Q159" i="74" s="1"/>
  <c r="C159" i="74" s="1"/>
  <c r="O159" i="74" a="1"/>
  <c r="O159" i="74" s="1"/>
  <c r="P159" i="74" a="1"/>
  <c r="P159" i="74" s="1"/>
  <c r="H156" i="74"/>
  <c r="J156" i="74" s="1"/>
  <c r="M160" i="74" a="1"/>
  <c r="M160" i="74" s="1"/>
  <c r="A161" i="74"/>
  <c r="G158" i="74"/>
  <c r="F158" i="74"/>
  <c r="E158" i="74"/>
  <c r="K158" i="74"/>
  <c r="L158" i="74"/>
  <c r="B158" i="74" l="1"/>
  <c r="I158" i="74"/>
  <c r="S158" i="74"/>
  <c r="R159" i="74"/>
  <c r="D159" i="74" s="1"/>
  <c r="N160" i="74" a="1"/>
  <c r="N160" i="74" s="1"/>
  <c r="Q160" i="74" s="1"/>
  <c r="C160" i="74" s="1"/>
  <c r="O160" i="74" a="1"/>
  <c r="O160" i="74" s="1"/>
  <c r="P160" i="74" a="1"/>
  <c r="P160" i="74" s="1"/>
  <c r="M161" i="74" a="1"/>
  <c r="M161" i="74" s="1"/>
  <c r="H157" i="74"/>
  <c r="J157" i="74" s="1"/>
  <c r="A162" i="74"/>
  <c r="F159" i="74"/>
  <c r="G159" i="74"/>
  <c r="E159" i="74"/>
  <c r="L159" i="74"/>
  <c r="K159" i="74"/>
  <c r="B159" i="74" l="1"/>
  <c r="I159" i="74"/>
  <c r="S159" i="74"/>
  <c r="R160" i="74"/>
  <c r="D160" i="74" s="1"/>
  <c r="H158" i="74"/>
  <c r="J158" i="74" s="1"/>
  <c r="N161" i="74" a="1"/>
  <c r="N161" i="74" s="1"/>
  <c r="Q161" i="74" s="1"/>
  <c r="C161" i="74" s="1"/>
  <c r="O161" i="74" a="1"/>
  <c r="O161" i="74" s="1"/>
  <c r="P161" i="74" a="1"/>
  <c r="P161" i="74" s="1"/>
  <c r="M162" i="74" a="1"/>
  <c r="M162" i="74" s="1"/>
  <c r="A163" i="74"/>
  <c r="G160" i="74"/>
  <c r="E160" i="74"/>
  <c r="F160" i="74"/>
  <c r="K160" i="74"/>
  <c r="L160" i="74"/>
  <c r="B160" i="74" l="1"/>
  <c r="I160" i="74"/>
  <c r="S160" i="74"/>
  <c r="R161" i="74"/>
  <c r="D161" i="74" s="1"/>
  <c r="N162" i="74" a="1"/>
  <c r="N162" i="74" s="1"/>
  <c r="Q162" i="74" s="1"/>
  <c r="C162" i="74" s="1"/>
  <c r="O162" i="74" a="1"/>
  <c r="O162" i="74" s="1"/>
  <c r="P162" i="74" a="1"/>
  <c r="P162" i="74" s="1"/>
  <c r="H159" i="74"/>
  <c r="J159" i="74" s="1"/>
  <c r="M163" i="74" a="1"/>
  <c r="M163" i="74" s="1"/>
  <c r="A164" i="74"/>
  <c r="E161" i="74"/>
  <c r="F161" i="74"/>
  <c r="G161" i="74"/>
  <c r="K161" i="74"/>
  <c r="L161" i="74"/>
  <c r="B161" i="74" l="1"/>
  <c r="I161" i="74"/>
  <c r="S161" i="74"/>
  <c r="R162" i="74"/>
  <c r="D162" i="74" s="1"/>
  <c r="N163" i="74" a="1"/>
  <c r="N163" i="74" s="1"/>
  <c r="Q163" i="74" s="1"/>
  <c r="C163" i="74" s="1"/>
  <c r="O163" i="74" a="1"/>
  <c r="O163" i="74" s="1"/>
  <c r="H160" i="74"/>
  <c r="J160" i="74" s="1"/>
  <c r="P163" i="74" a="1"/>
  <c r="P163" i="74" s="1"/>
  <c r="M164" i="74" a="1"/>
  <c r="M164" i="74" s="1"/>
  <c r="A165" i="74"/>
  <c r="G162" i="74"/>
  <c r="E162" i="74"/>
  <c r="F162" i="74"/>
  <c r="K162" i="74"/>
  <c r="L162" i="74"/>
  <c r="B162" i="74" l="1"/>
  <c r="I162" i="74"/>
  <c r="S162" i="74"/>
  <c r="R163" i="74"/>
  <c r="D163" i="74" s="1"/>
  <c r="N164" i="74" a="1"/>
  <c r="N164" i="74" s="1"/>
  <c r="Q164" i="74" s="1"/>
  <c r="C164" i="74" s="1"/>
  <c r="O164" i="74" a="1"/>
  <c r="O164" i="74" s="1"/>
  <c r="H161" i="74"/>
  <c r="J161" i="74" s="1"/>
  <c r="P164" i="74" a="1"/>
  <c r="P164" i="74" s="1"/>
  <c r="M165" i="74" a="1"/>
  <c r="M165" i="74" s="1"/>
  <c r="A166" i="74"/>
  <c r="F163" i="74"/>
  <c r="G163" i="74"/>
  <c r="E163" i="74"/>
  <c r="L163" i="74"/>
  <c r="K163" i="74"/>
  <c r="B163" i="74" l="1"/>
  <c r="I163" i="74"/>
  <c r="S163" i="74"/>
  <c r="R164" i="74"/>
  <c r="D164" i="74" s="1"/>
  <c r="N165" i="74" a="1"/>
  <c r="N165" i="74" s="1"/>
  <c r="Q165" i="74" s="1"/>
  <c r="C165" i="74" s="1"/>
  <c r="O165" i="74" a="1"/>
  <c r="O165" i="74" s="1"/>
  <c r="P165" i="74" a="1"/>
  <c r="P165" i="74" s="1"/>
  <c r="M166" i="74" a="1"/>
  <c r="M166" i="74" s="1"/>
  <c r="H162" i="74"/>
  <c r="J162" i="74" s="1"/>
  <c r="A167" i="74"/>
  <c r="G164" i="74"/>
  <c r="E164" i="74"/>
  <c r="F164" i="74"/>
  <c r="K164" i="74"/>
  <c r="L164" i="74"/>
  <c r="B164" i="74" l="1"/>
  <c r="I164" i="74"/>
  <c r="S164" i="74"/>
  <c r="R165" i="74"/>
  <c r="D165" i="74" s="1"/>
  <c r="H163" i="74"/>
  <c r="J163" i="74" s="1"/>
  <c r="N166" i="74" a="1"/>
  <c r="N166" i="74" s="1"/>
  <c r="Q166" i="74" s="1"/>
  <c r="C166" i="74" s="1"/>
  <c r="O166" i="74" a="1"/>
  <c r="O166" i="74" s="1"/>
  <c r="P166" i="74" a="1"/>
  <c r="P166" i="74" s="1"/>
  <c r="M167" i="74" a="1"/>
  <c r="M167" i="74" s="1"/>
  <c r="A168" i="74"/>
  <c r="F165" i="74"/>
  <c r="G165" i="74"/>
  <c r="E165" i="74"/>
  <c r="L165" i="74"/>
  <c r="K165" i="74"/>
  <c r="B165" i="74" l="1"/>
  <c r="I165" i="74"/>
  <c r="S165" i="74"/>
  <c r="R166" i="74"/>
  <c r="D166" i="74" s="1"/>
  <c r="N167" i="74" a="1"/>
  <c r="N167" i="74" s="1"/>
  <c r="Q167" i="74" s="1"/>
  <c r="C167" i="74" s="1"/>
  <c r="O167" i="74" a="1"/>
  <c r="O167" i="74" s="1"/>
  <c r="H164" i="74"/>
  <c r="J164" i="74" s="1"/>
  <c r="P167" i="74" a="1"/>
  <c r="P167" i="74" s="1"/>
  <c r="M168" i="74" a="1"/>
  <c r="M168" i="74" s="1"/>
  <c r="A169" i="74"/>
  <c r="E166" i="74"/>
  <c r="F166" i="74"/>
  <c r="G166" i="74"/>
  <c r="K166" i="74"/>
  <c r="L166" i="74"/>
  <c r="B166" i="74" l="1"/>
  <c r="I166" i="74"/>
  <c r="S166" i="74"/>
  <c r="R167" i="74"/>
  <c r="D167" i="74" s="1"/>
  <c r="N168" i="74" a="1"/>
  <c r="N168" i="74" s="1"/>
  <c r="Q168" i="74" s="1"/>
  <c r="C168" i="74" s="1"/>
  <c r="O168" i="74" a="1"/>
  <c r="O168" i="74" s="1"/>
  <c r="P168" i="74" a="1"/>
  <c r="P168" i="74" s="1"/>
  <c r="M169" i="74" a="1"/>
  <c r="M169" i="74" s="1"/>
  <c r="H165" i="74"/>
  <c r="J165" i="74" s="1"/>
  <c r="A170" i="74"/>
  <c r="G167" i="74"/>
  <c r="F167" i="74"/>
  <c r="E167" i="74"/>
  <c r="L167" i="74"/>
  <c r="K167" i="74"/>
  <c r="B167" i="74" l="1"/>
  <c r="I167" i="74"/>
  <c r="S167" i="74"/>
  <c r="R168" i="74"/>
  <c r="D168" i="74" s="1"/>
  <c r="N169" i="74" a="1"/>
  <c r="N169" i="74" s="1"/>
  <c r="Q169" i="74" s="1"/>
  <c r="C169" i="74" s="1"/>
  <c r="O169" i="74" a="1"/>
  <c r="O169" i="74" s="1"/>
  <c r="P169" i="74" a="1"/>
  <c r="P169" i="74" s="1"/>
  <c r="M170" i="74" a="1"/>
  <c r="M170" i="74" s="1"/>
  <c r="H166" i="74"/>
  <c r="J166" i="74" s="1"/>
  <c r="A171" i="74"/>
  <c r="E168" i="74"/>
  <c r="F168" i="74"/>
  <c r="G168" i="74"/>
  <c r="K168" i="74"/>
  <c r="L168" i="74"/>
  <c r="B168" i="74" l="1"/>
  <c r="I168" i="74"/>
  <c r="S168" i="74"/>
  <c r="R169" i="74"/>
  <c r="D169" i="74" s="1"/>
  <c r="H167" i="74"/>
  <c r="J167" i="74" s="1"/>
  <c r="N170" i="74" a="1"/>
  <c r="N170" i="74" s="1"/>
  <c r="Q170" i="74" s="1"/>
  <c r="C170" i="74" s="1"/>
  <c r="O170" i="74" a="1"/>
  <c r="O170" i="74" s="1"/>
  <c r="P170" i="74" a="1"/>
  <c r="P170" i="74" s="1"/>
  <c r="M171" i="74" a="1"/>
  <c r="M171" i="74" s="1"/>
  <c r="A172" i="74"/>
  <c r="E169" i="74"/>
  <c r="F169" i="74"/>
  <c r="G169" i="74"/>
  <c r="K169" i="74"/>
  <c r="L169" i="74"/>
  <c r="B169" i="74" l="1"/>
  <c r="I169" i="74"/>
  <c r="S169" i="74"/>
  <c r="R170" i="74"/>
  <c r="D170" i="74" s="1"/>
  <c r="N171" i="74" a="1"/>
  <c r="N171" i="74" s="1"/>
  <c r="Q171" i="74" s="1"/>
  <c r="C171" i="74" s="1"/>
  <c r="O171" i="74" a="1"/>
  <c r="O171" i="74" s="1"/>
  <c r="P171" i="74" a="1"/>
  <c r="P171" i="74" s="1"/>
  <c r="M172" i="74" a="1"/>
  <c r="M172" i="74" s="1"/>
  <c r="H168" i="74"/>
  <c r="J168" i="74" s="1"/>
  <c r="A173" i="74"/>
  <c r="F170" i="74"/>
  <c r="G170" i="74"/>
  <c r="E170" i="74"/>
  <c r="K170" i="74"/>
  <c r="L170" i="74"/>
  <c r="B170" i="74" l="1"/>
  <c r="I170" i="74"/>
  <c r="S170" i="74"/>
  <c r="R171" i="74"/>
  <c r="D171" i="74" s="1"/>
  <c r="N172" i="74" a="1"/>
  <c r="N172" i="74" s="1"/>
  <c r="Q172" i="74" s="1"/>
  <c r="C172" i="74" s="1"/>
  <c r="O172" i="74" a="1"/>
  <c r="O172" i="74" s="1"/>
  <c r="P172" i="74" a="1"/>
  <c r="P172" i="74" s="1"/>
  <c r="M173" i="74" a="1"/>
  <c r="M173" i="74" s="1"/>
  <c r="H169" i="74"/>
  <c r="J169" i="74" s="1"/>
  <c r="A174" i="74"/>
  <c r="E171" i="74"/>
  <c r="F171" i="74"/>
  <c r="G171" i="74"/>
  <c r="K171" i="74"/>
  <c r="L171" i="74"/>
  <c r="B171" i="74" l="1"/>
  <c r="I171" i="74"/>
  <c r="S171" i="74"/>
  <c r="R172" i="74"/>
  <c r="D172" i="74" s="1"/>
  <c r="H170" i="74"/>
  <c r="J170" i="74" s="1"/>
  <c r="N173" i="74" a="1"/>
  <c r="N173" i="74" s="1"/>
  <c r="Q173" i="74" s="1"/>
  <c r="C173" i="74" s="1"/>
  <c r="O173" i="74" a="1"/>
  <c r="O173" i="74" s="1"/>
  <c r="P173" i="74" a="1"/>
  <c r="P173" i="74" s="1"/>
  <c r="M174" i="74" a="1"/>
  <c r="M174" i="74" s="1"/>
  <c r="A175" i="74"/>
  <c r="G172" i="74"/>
  <c r="E172" i="74"/>
  <c r="F172" i="74"/>
  <c r="K172" i="74"/>
  <c r="L172" i="74"/>
  <c r="B172" i="74" l="1"/>
  <c r="I172" i="74"/>
  <c r="S172" i="74"/>
  <c r="R173" i="74"/>
  <c r="D173" i="74" s="1"/>
  <c r="N174" i="74" a="1"/>
  <c r="N174" i="74" s="1"/>
  <c r="Q174" i="74" s="1"/>
  <c r="C174" i="74" s="1"/>
  <c r="O174" i="74" a="1"/>
  <c r="O174" i="74" s="1"/>
  <c r="P174" i="74" a="1"/>
  <c r="P174" i="74" s="1"/>
  <c r="M175" i="74" a="1"/>
  <c r="M175" i="74" s="1"/>
  <c r="H171" i="74"/>
  <c r="J171" i="74" s="1"/>
  <c r="A176" i="74"/>
  <c r="F173" i="74"/>
  <c r="G173" i="74"/>
  <c r="E173" i="74"/>
  <c r="L173" i="74"/>
  <c r="K173" i="74"/>
  <c r="B173" i="74" l="1"/>
  <c r="I173" i="74"/>
  <c r="S173" i="74"/>
  <c r="R174" i="74"/>
  <c r="D174" i="74" s="1"/>
  <c r="N175" i="74" a="1"/>
  <c r="N175" i="74" s="1"/>
  <c r="Q175" i="74" s="1"/>
  <c r="C175" i="74" s="1"/>
  <c r="O175" i="74" a="1"/>
  <c r="O175" i="74" s="1"/>
  <c r="P175" i="74" a="1"/>
  <c r="P175" i="74" s="1"/>
  <c r="M176" i="74" a="1"/>
  <c r="M176" i="74" s="1"/>
  <c r="H172" i="74"/>
  <c r="J172" i="74" s="1"/>
  <c r="A177" i="74"/>
  <c r="E174" i="74"/>
  <c r="F174" i="74"/>
  <c r="G174" i="74"/>
  <c r="K174" i="74"/>
  <c r="L174" i="74"/>
  <c r="B174" i="74" l="1"/>
  <c r="I174" i="74"/>
  <c r="S174" i="74"/>
  <c r="R175" i="74"/>
  <c r="D175" i="74" s="1"/>
  <c r="H173" i="74"/>
  <c r="J173" i="74" s="1"/>
  <c r="N176" i="74" a="1"/>
  <c r="N176" i="74" s="1"/>
  <c r="Q176" i="74" s="1"/>
  <c r="C176" i="74" s="1"/>
  <c r="O176" i="74" a="1"/>
  <c r="O176" i="74" s="1"/>
  <c r="P176" i="74" a="1"/>
  <c r="P176" i="74" s="1"/>
  <c r="M177" i="74" a="1"/>
  <c r="M177" i="74" s="1"/>
  <c r="A178" i="74"/>
  <c r="G175" i="74"/>
  <c r="E175" i="74"/>
  <c r="F175" i="74"/>
  <c r="L175" i="74"/>
  <c r="K175" i="74"/>
  <c r="B175" i="74" l="1"/>
  <c r="I175" i="74"/>
  <c r="S175" i="74"/>
  <c r="R176" i="74"/>
  <c r="D176" i="74" s="1"/>
  <c r="N177" i="74" a="1"/>
  <c r="N177" i="74" s="1"/>
  <c r="Q177" i="74" s="1"/>
  <c r="C177" i="74" s="1"/>
  <c r="O177" i="74" a="1"/>
  <c r="O177" i="74" s="1"/>
  <c r="H174" i="74"/>
  <c r="J174" i="74" s="1"/>
  <c r="P177" i="74" a="1"/>
  <c r="P177" i="74" s="1"/>
  <c r="M178" i="74" a="1"/>
  <c r="M178" i="74" s="1"/>
  <c r="A179" i="74"/>
  <c r="E176" i="74"/>
  <c r="F176" i="74"/>
  <c r="G176" i="74"/>
  <c r="K176" i="74"/>
  <c r="L176" i="74"/>
  <c r="I176" i="74" l="1"/>
  <c r="B176" i="74"/>
  <c r="S176" i="74"/>
  <c r="R177" i="74"/>
  <c r="D177" i="74" s="1"/>
  <c r="N178" i="74" a="1"/>
  <c r="N178" i="74" s="1"/>
  <c r="Q178" i="74" s="1"/>
  <c r="C178" i="74" s="1"/>
  <c r="O178" i="74" a="1"/>
  <c r="O178" i="74" s="1"/>
  <c r="H175" i="74"/>
  <c r="J175" i="74" s="1"/>
  <c r="P178" i="74" a="1"/>
  <c r="P178" i="74" s="1"/>
  <c r="M179" i="74" a="1"/>
  <c r="M179" i="74" s="1"/>
  <c r="A180" i="74"/>
  <c r="G177" i="74"/>
  <c r="E177" i="74"/>
  <c r="F177" i="74"/>
  <c r="L177" i="74"/>
  <c r="K177" i="74"/>
  <c r="B177" i="74" l="1"/>
  <c r="I177" i="74"/>
  <c r="S177" i="74"/>
  <c r="R178" i="74"/>
  <c r="D178" i="74" s="1"/>
  <c r="H176" i="74"/>
  <c r="J176" i="74" s="1"/>
  <c r="N179" i="74" a="1"/>
  <c r="N179" i="74" s="1"/>
  <c r="Q179" i="74" s="1"/>
  <c r="C179" i="74" s="1"/>
  <c r="O179" i="74" a="1"/>
  <c r="O179" i="74" s="1"/>
  <c r="P179" i="74" a="1"/>
  <c r="P179" i="74" s="1"/>
  <c r="M180" i="74" a="1"/>
  <c r="M180" i="74" s="1"/>
  <c r="A181" i="74"/>
  <c r="E178" i="74"/>
  <c r="F178" i="74"/>
  <c r="G178" i="74"/>
  <c r="I178" i="74" s="1"/>
  <c r="K178" i="74"/>
  <c r="L178" i="74"/>
  <c r="B178" i="74" l="1"/>
  <c r="S178" i="74"/>
  <c r="R179" i="74"/>
  <c r="D179" i="74" s="1"/>
  <c r="N180" i="74" a="1"/>
  <c r="N180" i="74" s="1"/>
  <c r="Q180" i="74" s="1"/>
  <c r="C180" i="74" s="1"/>
  <c r="O180" i="74" a="1"/>
  <c r="O180" i="74" s="1"/>
  <c r="H177" i="74"/>
  <c r="J177" i="74" s="1"/>
  <c r="P180" i="74" a="1"/>
  <c r="P180" i="74" s="1"/>
  <c r="M181" i="74" a="1"/>
  <c r="M181" i="74" s="1"/>
  <c r="A182" i="74"/>
  <c r="E179" i="74"/>
  <c r="F179" i="74"/>
  <c r="G179" i="74"/>
  <c r="L179" i="74"/>
  <c r="K179" i="74"/>
  <c r="B179" i="74" l="1"/>
  <c r="I179" i="74"/>
  <c r="S179" i="74"/>
  <c r="R180" i="74"/>
  <c r="D180" i="74" s="1"/>
  <c r="H178" i="74"/>
  <c r="J178" i="74" s="1"/>
  <c r="N181" i="74" a="1"/>
  <c r="N181" i="74" s="1"/>
  <c r="Q181" i="74" s="1"/>
  <c r="C181" i="74" s="1"/>
  <c r="O181" i="74" a="1"/>
  <c r="O181" i="74" s="1"/>
  <c r="P181" i="74" a="1"/>
  <c r="P181" i="74" s="1"/>
  <c r="M182" i="74" a="1"/>
  <c r="M182" i="74" s="1"/>
  <c r="A183" i="74"/>
  <c r="E180" i="74"/>
  <c r="F180" i="74"/>
  <c r="G180" i="74"/>
  <c r="K180" i="74"/>
  <c r="L180" i="74"/>
  <c r="B180" i="74" l="1"/>
  <c r="I180" i="74"/>
  <c r="S180" i="74"/>
  <c r="R181" i="74"/>
  <c r="D181" i="74" s="1"/>
  <c r="N182" i="74" a="1"/>
  <c r="N182" i="74" s="1"/>
  <c r="Q182" i="74" s="1"/>
  <c r="C182" i="74" s="1"/>
  <c r="O182" i="74" a="1"/>
  <c r="O182" i="74" s="1"/>
  <c r="H179" i="74"/>
  <c r="J179" i="74" s="1"/>
  <c r="P182" i="74" a="1"/>
  <c r="P182" i="74" s="1"/>
  <c r="M183" i="74" a="1"/>
  <c r="M183" i="74" s="1"/>
  <c r="A184" i="74"/>
  <c r="E181" i="74"/>
  <c r="F181" i="74"/>
  <c r="G181" i="74"/>
  <c r="L181" i="74"/>
  <c r="K181" i="74"/>
  <c r="B181" i="74" l="1"/>
  <c r="I181" i="74"/>
  <c r="S181" i="74"/>
  <c r="R182" i="74"/>
  <c r="D182" i="74" s="1"/>
  <c r="N183" i="74" a="1"/>
  <c r="N183" i="74" s="1"/>
  <c r="Q183" i="74" s="1"/>
  <c r="C183" i="74" s="1"/>
  <c r="O183" i="74" a="1"/>
  <c r="O183" i="74" s="1"/>
  <c r="P183" i="74" a="1"/>
  <c r="P183" i="74" s="1"/>
  <c r="M184" i="74" a="1"/>
  <c r="M184" i="74" s="1"/>
  <c r="H180" i="74"/>
  <c r="J180" i="74" s="1"/>
  <c r="A185" i="74"/>
  <c r="F182" i="74"/>
  <c r="G182" i="74"/>
  <c r="E182" i="74"/>
  <c r="K182" i="74"/>
  <c r="L182" i="74"/>
  <c r="B182" i="74" l="1"/>
  <c r="I182" i="74"/>
  <c r="S182" i="74"/>
  <c r="R183" i="74"/>
  <c r="D183" i="74" s="1"/>
  <c r="H181" i="74"/>
  <c r="J181" i="74" s="1"/>
  <c r="N184" i="74" a="1"/>
  <c r="N184" i="74" s="1"/>
  <c r="Q184" i="74" s="1"/>
  <c r="C184" i="74" s="1"/>
  <c r="O184" i="74" a="1"/>
  <c r="O184" i="74" s="1"/>
  <c r="P184" i="74" a="1"/>
  <c r="P184" i="74" s="1"/>
  <c r="M185" i="74" a="1"/>
  <c r="M185" i="74" s="1"/>
  <c r="A186" i="74"/>
  <c r="E183" i="74"/>
  <c r="F183" i="74"/>
  <c r="G183" i="74"/>
  <c r="L183" i="74"/>
  <c r="K183" i="74"/>
  <c r="B183" i="74" l="1"/>
  <c r="I183" i="74"/>
  <c r="S183" i="74"/>
  <c r="R184" i="74"/>
  <c r="D184" i="74" s="1"/>
  <c r="N185" i="74" a="1"/>
  <c r="N185" i="74" s="1"/>
  <c r="Q185" i="74" s="1"/>
  <c r="C185" i="74" s="1"/>
  <c r="O185" i="74" a="1"/>
  <c r="O185" i="74" s="1"/>
  <c r="H182" i="74"/>
  <c r="J182" i="74" s="1"/>
  <c r="P185" i="74" a="1"/>
  <c r="P185" i="74" s="1"/>
  <c r="M186" i="74" a="1"/>
  <c r="M186" i="74" s="1"/>
  <c r="A187" i="74"/>
  <c r="G184" i="74"/>
  <c r="F184" i="74"/>
  <c r="E184" i="74"/>
  <c r="K184" i="74"/>
  <c r="L184" i="74"/>
  <c r="B184" i="74" l="1"/>
  <c r="I184" i="74"/>
  <c r="S184" i="74"/>
  <c r="R185" i="74"/>
  <c r="D185" i="74" s="1"/>
  <c r="H183" i="74"/>
  <c r="J183" i="74" s="1"/>
  <c r="N186" i="74" a="1"/>
  <c r="N186" i="74" s="1"/>
  <c r="Q186" i="74" s="1"/>
  <c r="C186" i="74" s="1"/>
  <c r="O186" i="74" a="1"/>
  <c r="O186" i="74" s="1"/>
  <c r="P186" i="74" a="1"/>
  <c r="P186" i="74" s="1"/>
  <c r="M187" i="74" a="1"/>
  <c r="M187" i="74" s="1"/>
  <c r="A188" i="74"/>
  <c r="F185" i="74"/>
  <c r="G185" i="74"/>
  <c r="E185" i="74"/>
  <c r="L185" i="74"/>
  <c r="K185" i="74"/>
  <c r="B185" i="74" l="1"/>
  <c r="I185" i="74"/>
  <c r="S185" i="74"/>
  <c r="R186" i="74"/>
  <c r="D186" i="74" s="1"/>
  <c r="N187" i="74" a="1"/>
  <c r="N187" i="74" s="1"/>
  <c r="Q187" i="74" s="1"/>
  <c r="C187" i="74" s="1"/>
  <c r="O187" i="74" a="1"/>
  <c r="O187" i="74" s="1"/>
  <c r="P187" i="74" a="1"/>
  <c r="P187" i="74" s="1"/>
  <c r="M188" i="74" a="1"/>
  <c r="M188" i="74" s="1"/>
  <c r="H184" i="74"/>
  <c r="J184" i="74" s="1"/>
  <c r="A189" i="74"/>
  <c r="E186" i="74"/>
  <c r="F186" i="74"/>
  <c r="G186" i="74"/>
  <c r="K186" i="74"/>
  <c r="L186" i="74"/>
  <c r="B186" i="74" l="1"/>
  <c r="I186" i="74"/>
  <c r="S186" i="74"/>
  <c r="R187" i="74"/>
  <c r="D187" i="74" s="1"/>
  <c r="N188" i="74" a="1"/>
  <c r="N188" i="74" s="1"/>
  <c r="Q188" i="74" s="1"/>
  <c r="C188" i="74" s="1"/>
  <c r="O188" i="74" a="1"/>
  <c r="O188" i="74" s="1"/>
  <c r="H185" i="74"/>
  <c r="J185" i="74" s="1"/>
  <c r="P188" i="74" a="1"/>
  <c r="P188" i="74" s="1"/>
  <c r="M189" i="74" a="1"/>
  <c r="M189" i="74" s="1"/>
  <c r="A190" i="74"/>
  <c r="F187" i="74"/>
  <c r="G187" i="74"/>
  <c r="E187" i="74"/>
  <c r="L187" i="74"/>
  <c r="K187" i="74"/>
  <c r="B187" i="74" l="1"/>
  <c r="I187" i="74"/>
  <c r="S187" i="74"/>
  <c r="R188" i="74"/>
  <c r="D188" i="74" s="1"/>
  <c r="N189" i="74" a="1"/>
  <c r="N189" i="74" s="1"/>
  <c r="Q189" i="74" s="1"/>
  <c r="C189" i="74" s="1"/>
  <c r="O189" i="74" a="1"/>
  <c r="O189" i="74" s="1"/>
  <c r="P189" i="74" a="1"/>
  <c r="P189" i="74" s="1"/>
  <c r="M190" i="74" a="1"/>
  <c r="M190" i="74" s="1"/>
  <c r="H186" i="74"/>
  <c r="J186" i="74" s="1"/>
  <c r="A191" i="74"/>
  <c r="E188" i="74"/>
  <c r="F188" i="74"/>
  <c r="G188" i="74"/>
  <c r="K188" i="74"/>
  <c r="L188" i="74"/>
  <c r="B188" i="74" l="1"/>
  <c r="I188" i="74"/>
  <c r="S188" i="74"/>
  <c r="R189" i="74"/>
  <c r="D189" i="74" s="1"/>
  <c r="N190" i="74" a="1"/>
  <c r="N190" i="74" s="1"/>
  <c r="Q190" i="74" s="1"/>
  <c r="C190" i="74" s="1"/>
  <c r="O190" i="74" a="1"/>
  <c r="O190" i="74" s="1"/>
  <c r="H187" i="74"/>
  <c r="J187" i="74" s="1"/>
  <c r="P190" i="74" a="1"/>
  <c r="P190" i="74" s="1"/>
  <c r="M191" i="74" a="1"/>
  <c r="M191" i="74" s="1"/>
  <c r="A192" i="74"/>
  <c r="F189" i="74"/>
  <c r="G189" i="74"/>
  <c r="E189" i="74"/>
  <c r="L189" i="74"/>
  <c r="K189" i="74"/>
  <c r="B189" i="74" l="1"/>
  <c r="I189" i="74"/>
  <c r="S189" i="74"/>
  <c r="R190" i="74"/>
  <c r="D190" i="74" s="1"/>
  <c r="H188" i="74"/>
  <c r="J188" i="74" s="1"/>
  <c r="N191" i="74" a="1"/>
  <c r="N191" i="74" s="1"/>
  <c r="Q191" i="74" s="1"/>
  <c r="C191" i="74" s="1"/>
  <c r="O191" i="74" a="1"/>
  <c r="O191" i="74" s="1"/>
  <c r="P191" i="74" a="1"/>
  <c r="P191" i="74" s="1"/>
  <c r="M192" i="74" a="1"/>
  <c r="M192" i="74" s="1"/>
  <c r="A193" i="74"/>
  <c r="E190" i="74"/>
  <c r="F190" i="74"/>
  <c r="G190" i="74"/>
  <c r="K190" i="74"/>
  <c r="L190" i="74"/>
  <c r="B190" i="74" l="1"/>
  <c r="I190" i="74"/>
  <c r="S190" i="74"/>
  <c r="R191" i="74"/>
  <c r="D191" i="74" s="1"/>
  <c r="N192" i="74" a="1"/>
  <c r="N192" i="74" s="1"/>
  <c r="Q192" i="74" s="1"/>
  <c r="C192" i="74" s="1"/>
  <c r="O192" i="74" a="1"/>
  <c r="O192" i="74" s="1"/>
  <c r="H189" i="74"/>
  <c r="J189" i="74" s="1"/>
  <c r="P192" i="74" a="1"/>
  <c r="P192" i="74" s="1"/>
  <c r="M193" i="74" a="1"/>
  <c r="M193" i="74" s="1"/>
  <c r="A194" i="74"/>
  <c r="F191" i="74"/>
  <c r="G191" i="74"/>
  <c r="E191" i="74"/>
  <c r="L191" i="74"/>
  <c r="K191" i="74"/>
  <c r="B191" i="74" l="1"/>
  <c r="I191" i="74"/>
  <c r="S191" i="74"/>
  <c r="R192" i="74"/>
  <c r="D192" i="74" s="1"/>
  <c r="N193" i="74" a="1"/>
  <c r="N193" i="74" s="1"/>
  <c r="Q193" i="74" s="1"/>
  <c r="C193" i="74" s="1"/>
  <c r="O193" i="74" a="1"/>
  <c r="O193" i="74" s="1"/>
  <c r="P193" i="74" a="1"/>
  <c r="P193" i="74" s="1"/>
  <c r="M194" i="74" a="1"/>
  <c r="M194" i="74" s="1"/>
  <c r="H190" i="74"/>
  <c r="J190" i="74" s="1"/>
  <c r="A195" i="74"/>
  <c r="G192" i="74"/>
  <c r="E192" i="74"/>
  <c r="F192" i="74"/>
  <c r="K192" i="74"/>
  <c r="L192" i="74"/>
  <c r="B192" i="74" l="1"/>
  <c r="I192" i="74"/>
  <c r="S192" i="74"/>
  <c r="R193" i="74"/>
  <c r="D193" i="74" s="1"/>
  <c r="H191" i="74"/>
  <c r="J191" i="74" s="1"/>
  <c r="N194" i="74" a="1"/>
  <c r="N194" i="74" s="1"/>
  <c r="Q194" i="74" s="1"/>
  <c r="C194" i="74" s="1"/>
  <c r="O194" i="74" a="1"/>
  <c r="O194" i="74" s="1"/>
  <c r="P194" i="74" a="1"/>
  <c r="P194" i="74" s="1"/>
  <c r="M195" i="74" a="1"/>
  <c r="M195" i="74" s="1"/>
  <c r="A196" i="74"/>
  <c r="E193" i="74"/>
  <c r="F193" i="74"/>
  <c r="G193" i="74"/>
  <c r="L193" i="74"/>
  <c r="K193" i="74"/>
  <c r="B193" i="74" l="1"/>
  <c r="I193" i="74"/>
  <c r="S193" i="74"/>
  <c r="R194" i="74"/>
  <c r="D194" i="74" s="1"/>
  <c r="N195" i="74" a="1"/>
  <c r="N195" i="74" s="1"/>
  <c r="Q195" i="74" s="1"/>
  <c r="C195" i="74" s="1"/>
  <c r="O195" i="74" a="1"/>
  <c r="O195" i="74" s="1"/>
  <c r="P195" i="74" a="1"/>
  <c r="P195" i="74" s="1"/>
  <c r="M196" i="74" a="1"/>
  <c r="M196" i="74" s="1"/>
  <c r="H192" i="74"/>
  <c r="J192" i="74" s="1"/>
  <c r="A197" i="74"/>
  <c r="E194" i="74"/>
  <c r="F194" i="74"/>
  <c r="G194" i="74"/>
  <c r="K194" i="74"/>
  <c r="L194" i="74"/>
  <c r="B194" i="74" l="1"/>
  <c r="I194" i="74"/>
  <c r="S194" i="74"/>
  <c r="R195" i="74"/>
  <c r="D195" i="74" s="1"/>
  <c r="N196" i="74" a="1"/>
  <c r="N196" i="74" s="1"/>
  <c r="Q196" i="74" s="1"/>
  <c r="C196" i="74" s="1"/>
  <c r="O196" i="74" a="1"/>
  <c r="O196" i="74" s="1"/>
  <c r="H193" i="74"/>
  <c r="J193" i="74" s="1"/>
  <c r="P196" i="74" a="1"/>
  <c r="P196" i="74" s="1"/>
  <c r="M197" i="74" a="1"/>
  <c r="M197" i="74" s="1"/>
  <c r="A198" i="74"/>
  <c r="F195" i="74"/>
  <c r="G195" i="74"/>
  <c r="E195" i="74"/>
  <c r="L195" i="74"/>
  <c r="K195" i="74"/>
  <c r="B195" i="74" l="1"/>
  <c r="I195" i="74"/>
  <c r="S195" i="74"/>
  <c r="R196" i="74"/>
  <c r="D196" i="74" s="1"/>
  <c r="H194" i="74"/>
  <c r="J194" i="74" s="1"/>
  <c r="N197" i="74" a="1"/>
  <c r="N197" i="74" s="1"/>
  <c r="Q197" i="74" s="1"/>
  <c r="C197" i="74" s="1"/>
  <c r="O197" i="74" a="1"/>
  <c r="O197" i="74" s="1"/>
  <c r="P197" i="74" a="1"/>
  <c r="P197" i="74" s="1"/>
  <c r="M198" i="74" a="1"/>
  <c r="M198" i="74" s="1"/>
  <c r="A199" i="74"/>
  <c r="G196" i="74"/>
  <c r="E196" i="74"/>
  <c r="F196" i="74"/>
  <c r="K196" i="74"/>
  <c r="L196" i="74"/>
  <c r="B196" i="74" l="1"/>
  <c r="I196" i="74"/>
  <c r="S196" i="74"/>
  <c r="R197" i="74"/>
  <c r="D197" i="74" s="1"/>
  <c r="N198" i="74" a="1"/>
  <c r="N198" i="74" s="1"/>
  <c r="Q198" i="74" s="1"/>
  <c r="C198" i="74" s="1"/>
  <c r="O198" i="74" a="1"/>
  <c r="O198" i="74" s="1"/>
  <c r="H195" i="74"/>
  <c r="J195" i="74" s="1"/>
  <c r="P198" i="74" a="1"/>
  <c r="P198" i="74" s="1"/>
  <c r="M199" i="74" a="1"/>
  <c r="M199" i="74" s="1"/>
  <c r="A200" i="74"/>
  <c r="E197" i="74"/>
  <c r="F197" i="74"/>
  <c r="G197" i="74"/>
  <c r="L197" i="74"/>
  <c r="K197" i="74"/>
  <c r="B197" i="74" l="1"/>
  <c r="I197" i="74"/>
  <c r="S197" i="74"/>
  <c r="R198" i="74"/>
  <c r="D198" i="74" s="1"/>
  <c r="N199" i="74" a="1"/>
  <c r="N199" i="74" s="1"/>
  <c r="Q199" i="74" s="1"/>
  <c r="C199" i="74" s="1"/>
  <c r="O199" i="74" a="1"/>
  <c r="O199" i="74" s="1"/>
  <c r="P199" i="74" a="1"/>
  <c r="P199" i="74" s="1"/>
  <c r="M200" i="74" a="1"/>
  <c r="M200" i="74" s="1"/>
  <c r="H196" i="74"/>
  <c r="J196" i="74" s="1"/>
  <c r="A201" i="74"/>
  <c r="E198" i="74"/>
  <c r="F198" i="74"/>
  <c r="G198" i="74"/>
  <c r="K198" i="74"/>
  <c r="L198" i="74"/>
  <c r="B198" i="74" l="1"/>
  <c r="I198" i="74"/>
  <c r="S198" i="74"/>
  <c r="R199" i="74"/>
  <c r="D199" i="74" s="1"/>
  <c r="N200" i="74" a="1"/>
  <c r="N200" i="74" s="1"/>
  <c r="Q200" i="74" s="1"/>
  <c r="C200" i="74" s="1"/>
  <c r="O200" i="74" a="1"/>
  <c r="O200" i="74" s="1"/>
  <c r="P200" i="74" a="1"/>
  <c r="P200" i="74" s="1"/>
  <c r="M201" i="74" a="1"/>
  <c r="M201" i="74" s="1"/>
  <c r="H197" i="74"/>
  <c r="J197" i="74" s="1"/>
  <c r="A202" i="74"/>
  <c r="F199" i="74"/>
  <c r="G199" i="74"/>
  <c r="E199" i="74"/>
  <c r="L199" i="74"/>
  <c r="K199" i="74"/>
  <c r="B199" i="74" l="1"/>
  <c r="I199" i="74"/>
  <c r="S199" i="74"/>
  <c r="R200" i="74"/>
  <c r="D200" i="74" s="1"/>
  <c r="N201" i="74" a="1"/>
  <c r="N201" i="74" s="1"/>
  <c r="Q201" i="74" s="1"/>
  <c r="C201" i="74" s="1"/>
  <c r="O201" i="74" a="1"/>
  <c r="O201" i="74" s="1"/>
  <c r="P201" i="74" a="1"/>
  <c r="P201" i="74" s="1"/>
  <c r="M202" i="74" a="1"/>
  <c r="M202" i="74" s="1"/>
  <c r="H198" i="74"/>
  <c r="J198" i="74" s="1"/>
  <c r="A203" i="74"/>
  <c r="E200" i="74"/>
  <c r="G200" i="74"/>
  <c r="F200" i="74"/>
  <c r="K200" i="74"/>
  <c r="L200" i="74"/>
  <c r="B200" i="74" l="1"/>
  <c r="I200" i="74"/>
  <c r="S200" i="74"/>
  <c r="R201" i="74"/>
  <c r="D201" i="74" s="1"/>
  <c r="N202" i="74" a="1"/>
  <c r="N202" i="74" s="1"/>
  <c r="Q202" i="74" s="1"/>
  <c r="C202" i="74" s="1"/>
  <c r="O202" i="74" a="1"/>
  <c r="O202" i="74" s="1"/>
  <c r="H199" i="74"/>
  <c r="J199" i="74" s="1"/>
  <c r="P202" i="74" a="1"/>
  <c r="P202" i="74" s="1"/>
  <c r="M203" i="74" a="1"/>
  <c r="M203" i="74" s="1"/>
  <c r="A204" i="74"/>
  <c r="F201" i="74"/>
  <c r="G201" i="74"/>
  <c r="E201" i="74"/>
  <c r="L201" i="74"/>
  <c r="K201" i="74"/>
  <c r="B201" i="74" l="1"/>
  <c r="I201" i="74"/>
  <c r="S201" i="74"/>
  <c r="R202" i="74"/>
  <c r="D202" i="74" s="1"/>
  <c r="N203" i="74" a="1"/>
  <c r="N203" i="74" s="1"/>
  <c r="Q203" i="74" s="1"/>
  <c r="C203" i="74" s="1"/>
  <c r="O203" i="74" a="1"/>
  <c r="O203" i="74" s="1"/>
  <c r="H200" i="74"/>
  <c r="J200" i="74" s="1"/>
  <c r="P203" i="74" a="1"/>
  <c r="P203" i="74" s="1"/>
  <c r="M204" i="74" a="1"/>
  <c r="M204" i="74" s="1"/>
  <c r="A205" i="74"/>
  <c r="E202" i="74"/>
  <c r="F202" i="74"/>
  <c r="G202" i="74"/>
  <c r="K202" i="74"/>
  <c r="L202" i="74"/>
  <c r="B202" i="74" l="1"/>
  <c r="I202" i="74"/>
  <c r="S202" i="74"/>
  <c r="R203" i="74"/>
  <c r="D203" i="74" s="1"/>
  <c r="N204" i="74" a="1"/>
  <c r="N204" i="74" s="1"/>
  <c r="Q204" i="74" s="1"/>
  <c r="C204" i="74" s="1"/>
  <c r="O204" i="74" a="1"/>
  <c r="O204" i="74" s="1"/>
  <c r="H201" i="74"/>
  <c r="J201" i="74" s="1"/>
  <c r="P204" i="74" a="1"/>
  <c r="P204" i="74" s="1"/>
  <c r="M205" i="74" a="1"/>
  <c r="M205" i="74" s="1"/>
  <c r="A206" i="74"/>
  <c r="F203" i="74"/>
  <c r="G203" i="74"/>
  <c r="E203" i="74"/>
  <c r="L203" i="74"/>
  <c r="K203" i="74"/>
  <c r="B203" i="74" l="1"/>
  <c r="I203" i="74"/>
  <c r="S203" i="74"/>
  <c r="R204" i="74"/>
  <c r="D204" i="74" s="1"/>
  <c r="N205" i="74" a="1"/>
  <c r="N205" i="74" s="1"/>
  <c r="Q205" i="74" s="1"/>
  <c r="C205" i="74" s="1"/>
  <c r="O205" i="74" a="1"/>
  <c r="O205" i="74" s="1"/>
  <c r="H202" i="74"/>
  <c r="J202" i="74" s="1"/>
  <c r="P205" i="74" a="1"/>
  <c r="P205" i="74" s="1"/>
  <c r="M206" i="74" a="1"/>
  <c r="M206" i="74" s="1"/>
  <c r="A207" i="74"/>
  <c r="E204" i="74"/>
  <c r="F204" i="74"/>
  <c r="G204" i="74"/>
  <c r="K204" i="74"/>
  <c r="L204" i="74"/>
  <c r="B204" i="74" l="1"/>
  <c r="I204" i="74"/>
  <c r="S204" i="74"/>
  <c r="R205" i="74"/>
  <c r="D205" i="74" s="1"/>
  <c r="H203" i="74"/>
  <c r="J203" i="74" s="1"/>
  <c r="N206" i="74" a="1"/>
  <c r="N206" i="74" s="1"/>
  <c r="Q206" i="74" s="1"/>
  <c r="C206" i="74" s="1"/>
  <c r="O206" i="74" a="1"/>
  <c r="O206" i="74" s="1"/>
  <c r="P206" i="74" a="1"/>
  <c r="P206" i="74" s="1"/>
  <c r="M207" i="74" a="1"/>
  <c r="M207" i="74" s="1"/>
  <c r="A208" i="74"/>
  <c r="F205" i="74"/>
  <c r="G205" i="74"/>
  <c r="E205" i="74"/>
  <c r="L205" i="74"/>
  <c r="K205" i="74"/>
  <c r="B205" i="74" l="1"/>
  <c r="I205" i="74"/>
  <c r="S205" i="74"/>
  <c r="R206" i="74"/>
  <c r="D206" i="74" s="1"/>
  <c r="N207" i="74" a="1"/>
  <c r="N207" i="74" s="1"/>
  <c r="Q207" i="74" s="1"/>
  <c r="C207" i="74" s="1"/>
  <c r="O207" i="74" a="1"/>
  <c r="O207" i="74" s="1"/>
  <c r="H204" i="74"/>
  <c r="J204" i="74" s="1"/>
  <c r="P207" i="74" a="1"/>
  <c r="P207" i="74" s="1"/>
  <c r="M208" i="74" a="1"/>
  <c r="M208" i="74" s="1"/>
  <c r="A209" i="74"/>
  <c r="E206" i="74"/>
  <c r="F206" i="74"/>
  <c r="G206" i="74"/>
  <c r="K206" i="74"/>
  <c r="L206" i="74"/>
  <c r="B206" i="74" l="1"/>
  <c r="I206" i="74"/>
  <c r="S206" i="74"/>
  <c r="R207" i="74"/>
  <c r="D207" i="74" s="1"/>
  <c r="H205" i="74"/>
  <c r="J205" i="74" s="1"/>
  <c r="N208" i="74" a="1"/>
  <c r="N208" i="74" s="1"/>
  <c r="Q208" i="74" s="1"/>
  <c r="C208" i="74" s="1"/>
  <c r="O208" i="74" a="1"/>
  <c r="O208" i="74" s="1"/>
  <c r="P208" i="74" a="1"/>
  <c r="P208" i="74" s="1"/>
  <c r="M209" i="74" a="1"/>
  <c r="M209" i="74" s="1"/>
  <c r="A210" i="74"/>
  <c r="F207" i="74"/>
  <c r="G207" i="74"/>
  <c r="E207" i="74"/>
  <c r="L207" i="74"/>
  <c r="K207" i="74"/>
  <c r="I207" i="74" l="1"/>
  <c r="B207" i="74"/>
  <c r="S207" i="74"/>
  <c r="R208" i="74"/>
  <c r="D208" i="74" s="1"/>
  <c r="N209" i="74" a="1"/>
  <c r="N209" i="74" s="1"/>
  <c r="Q209" i="74" s="1"/>
  <c r="C209" i="74" s="1"/>
  <c r="O209" i="74" a="1"/>
  <c r="O209" i="74" s="1"/>
  <c r="P209" i="74" a="1"/>
  <c r="P209" i="74" s="1"/>
  <c r="M210" i="74" a="1"/>
  <c r="M210" i="74" s="1"/>
  <c r="H206" i="74"/>
  <c r="J206" i="74" s="1"/>
  <c r="A211" i="74"/>
  <c r="G208" i="74"/>
  <c r="E208" i="74"/>
  <c r="F208" i="74"/>
  <c r="K208" i="74"/>
  <c r="L208" i="74"/>
  <c r="B208" i="74" l="1"/>
  <c r="I208" i="74"/>
  <c r="S208" i="74"/>
  <c r="R209" i="74"/>
  <c r="D209" i="74" s="1"/>
  <c r="H207" i="74"/>
  <c r="J207" i="74" s="1"/>
  <c r="N210" i="74" a="1"/>
  <c r="N210" i="74" s="1"/>
  <c r="Q210" i="74" s="1"/>
  <c r="C210" i="74" s="1"/>
  <c r="O210" i="74" a="1"/>
  <c r="O210" i="74" s="1"/>
  <c r="P210" i="74" a="1"/>
  <c r="P210" i="74" s="1"/>
  <c r="M211" i="74" a="1"/>
  <c r="M211" i="74" s="1"/>
  <c r="A212" i="74"/>
  <c r="E209" i="74"/>
  <c r="F209" i="74"/>
  <c r="G209" i="74"/>
  <c r="L209" i="74"/>
  <c r="K209" i="74"/>
  <c r="B209" i="74" l="1"/>
  <c r="I209" i="74"/>
  <c r="S209" i="74"/>
  <c r="R210" i="74"/>
  <c r="D210" i="74" s="1"/>
  <c r="N211" i="74" a="1"/>
  <c r="N211" i="74" s="1"/>
  <c r="Q211" i="74" s="1"/>
  <c r="C211" i="74" s="1"/>
  <c r="O211" i="74" a="1"/>
  <c r="O211" i="74" s="1"/>
  <c r="P211" i="74" a="1"/>
  <c r="P211" i="74" s="1"/>
  <c r="M212" i="74" a="1"/>
  <c r="M212" i="74" s="1"/>
  <c r="H208" i="74"/>
  <c r="J208" i="74" s="1"/>
  <c r="A213" i="74"/>
  <c r="E210" i="74"/>
  <c r="F210" i="74"/>
  <c r="G210" i="74"/>
  <c r="K210" i="74"/>
  <c r="L210" i="74"/>
  <c r="B210" i="74" l="1"/>
  <c r="I210" i="74"/>
  <c r="S210" i="74"/>
  <c r="R211" i="74"/>
  <c r="D211" i="74" s="1"/>
  <c r="N212" i="74" a="1"/>
  <c r="N212" i="74" s="1"/>
  <c r="Q212" i="74" s="1"/>
  <c r="C212" i="74" s="1"/>
  <c r="O212" i="74" a="1"/>
  <c r="O212" i="74" s="1"/>
  <c r="P212" i="74" a="1"/>
  <c r="P212" i="74" s="1"/>
  <c r="M213" i="74" a="1"/>
  <c r="M213" i="74" s="1"/>
  <c r="H209" i="74"/>
  <c r="J209" i="74" s="1"/>
  <c r="A214" i="74"/>
  <c r="F211" i="74"/>
  <c r="G211" i="74"/>
  <c r="E211" i="74"/>
  <c r="L211" i="74"/>
  <c r="K211" i="74"/>
  <c r="B211" i="74" l="1"/>
  <c r="I211" i="74"/>
  <c r="S211" i="74"/>
  <c r="R212" i="74"/>
  <c r="D212" i="74" s="1"/>
  <c r="N213" i="74" a="1"/>
  <c r="N213" i="74" s="1"/>
  <c r="Q213" i="74" s="1"/>
  <c r="C213" i="74" s="1"/>
  <c r="O213" i="74" a="1"/>
  <c r="O213" i="74" s="1"/>
  <c r="P213" i="74" a="1"/>
  <c r="P213" i="74" s="1"/>
  <c r="M214" i="74" a="1"/>
  <c r="M214" i="74" s="1"/>
  <c r="H210" i="74"/>
  <c r="J210" i="74" s="1"/>
  <c r="A215" i="74"/>
  <c r="G212" i="74"/>
  <c r="E212" i="74"/>
  <c r="F212" i="74"/>
  <c r="K212" i="74"/>
  <c r="L212" i="74"/>
  <c r="B212" i="74" l="1"/>
  <c r="I212" i="74"/>
  <c r="S212" i="74"/>
  <c r="R213" i="74"/>
  <c r="D213" i="74" s="1"/>
  <c r="N214" i="74" a="1"/>
  <c r="N214" i="74" s="1"/>
  <c r="Q214" i="74" s="1"/>
  <c r="C214" i="74" s="1"/>
  <c r="O214" i="74" a="1"/>
  <c r="O214" i="74" s="1"/>
  <c r="P214" i="74" a="1"/>
  <c r="P214" i="74" s="1"/>
  <c r="H211" i="74"/>
  <c r="J211" i="74" s="1"/>
  <c r="M215" i="74" a="1"/>
  <c r="M215" i="74" s="1"/>
  <c r="A216" i="74"/>
  <c r="E213" i="74"/>
  <c r="F213" i="74"/>
  <c r="G213" i="74"/>
  <c r="L213" i="74"/>
  <c r="K213" i="74"/>
  <c r="B213" i="74" l="1"/>
  <c r="I213" i="74"/>
  <c r="S213" i="74"/>
  <c r="R214" i="74"/>
  <c r="D214" i="74" s="1"/>
  <c r="N215" i="74" a="1"/>
  <c r="N215" i="74" s="1"/>
  <c r="Q215" i="74" s="1"/>
  <c r="C215" i="74" s="1"/>
  <c r="O215" i="74" a="1"/>
  <c r="O215" i="74" s="1"/>
  <c r="H212" i="74"/>
  <c r="J212" i="74" s="1"/>
  <c r="P215" i="74" a="1"/>
  <c r="P215" i="74" s="1"/>
  <c r="M216" i="74" a="1"/>
  <c r="M216" i="74" s="1"/>
  <c r="A217" i="74"/>
  <c r="E214" i="74"/>
  <c r="F214" i="74"/>
  <c r="G214" i="74"/>
  <c r="K214" i="74"/>
  <c r="L214" i="74"/>
  <c r="B214" i="74" l="1"/>
  <c r="I214" i="74"/>
  <c r="S214" i="74"/>
  <c r="R215" i="74"/>
  <c r="D215" i="74" s="1"/>
  <c r="N216" i="74" a="1"/>
  <c r="N216" i="74" s="1"/>
  <c r="Q216" i="74" s="1"/>
  <c r="C216" i="74" s="1"/>
  <c r="O216" i="74" a="1"/>
  <c r="O216" i="74" s="1"/>
  <c r="H213" i="74"/>
  <c r="J213" i="74" s="1"/>
  <c r="P216" i="74" a="1"/>
  <c r="P216" i="74" s="1"/>
  <c r="M217" i="74" a="1"/>
  <c r="M217" i="74" s="1"/>
  <c r="A218" i="74"/>
  <c r="F215" i="74"/>
  <c r="G215" i="74"/>
  <c r="E215" i="74"/>
  <c r="L215" i="74"/>
  <c r="K215" i="74"/>
  <c r="B215" i="74" l="1"/>
  <c r="I215" i="74"/>
  <c r="S215" i="74"/>
  <c r="R216" i="74"/>
  <c r="D216" i="74" s="1"/>
  <c r="N217" i="74" a="1"/>
  <c r="N217" i="74" s="1"/>
  <c r="Q217" i="74" s="1"/>
  <c r="C217" i="74" s="1"/>
  <c r="O217" i="74" a="1"/>
  <c r="O217" i="74" s="1"/>
  <c r="H214" i="74"/>
  <c r="J214" i="74" s="1"/>
  <c r="P217" i="74" a="1"/>
  <c r="P217" i="74" s="1"/>
  <c r="M218" i="74" a="1"/>
  <c r="M218" i="74" s="1"/>
  <c r="A219" i="74"/>
  <c r="E216" i="74"/>
  <c r="G216" i="74"/>
  <c r="F216" i="74"/>
  <c r="K216" i="74"/>
  <c r="L216" i="74"/>
  <c r="B216" i="74" l="1"/>
  <c r="I216" i="74"/>
  <c r="S216" i="74"/>
  <c r="R217" i="74"/>
  <c r="D217" i="74" s="1"/>
  <c r="H215" i="74"/>
  <c r="J215" i="74" s="1"/>
  <c r="N218" i="74" a="1"/>
  <c r="N218" i="74" s="1"/>
  <c r="Q218" i="74" s="1"/>
  <c r="C218" i="74" s="1"/>
  <c r="O218" i="74" a="1"/>
  <c r="O218" i="74" s="1"/>
  <c r="P218" i="74" a="1"/>
  <c r="P218" i="74" s="1"/>
  <c r="M219" i="74" a="1"/>
  <c r="M219" i="74" s="1"/>
  <c r="A220" i="74"/>
  <c r="F217" i="74"/>
  <c r="G217" i="74"/>
  <c r="E217" i="74"/>
  <c r="L217" i="74"/>
  <c r="K217" i="74"/>
  <c r="B217" i="74" l="1"/>
  <c r="I217" i="74"/>
  <c r="S217" i="74"/>
  <c r="R218" i="74"/>
  <c r="D218" i="74" s="1"/>
  <c r="N219" i="74" a="1"/>
  <c r="N219" i="74" s="1"/>
  <c r="Q219" i="74" s="1"/>
  <c r="C219" i="74" s="1"/>
  <c r="O219" i="74" a="1"/>
  <c r="O219" i="74" s="1"/>
  <c r="H216" i="74"/>
  <c r="J216" i="74" s="1"/>
  <c r="P219" i="74" a="1"/>
  <c r="P219" i="74" s="1"/>
  <c r="M220" i="74" a="1"/>
  <c r="M220" i="74" s="1"/>
  <c r="A221" i="74"/>
  <c r="E218" i="74"/>
  <c r="F218" i="74"/>
  <c r="G218" i="74"/>
  <c r="K218" i="74"/>
  <c r="L218" i="74"/>
  <c r="B218" i="74" l="1"/>
  <c r="I218" i="74"/>
  <c r="S218" i="74"/>
  <c r="R219" i="74"/>
  <c r="D219" i="74" s="1"/>
  <c r="H217" i="74"/>
  <c r="J217" i="74" s="1"/>
  <c r="N220" i="74" a="1"/>
  <c r="N220" i="74" s="1"/>
  <c r="Q220" i="74" s="1"/>
  <c r="C220" i="74" s="1"/>
  <c r="O220" i="74" a="1"/>
  <c r="O220" i="74" s="1"/>
  <c r="P220" i="74" a="1"/>
  <c r="P220" i="74" s="1"/>
  <c r="M221" i="74" a="1"/>
  <c r="M221" i="74" s="1"/>
  <c r="A222" i="74"/>
  <c r="G219" i="74"/>
  <c r="E219" i="74"/>
  <c r="F219" i="74"/>
  <c r="L219" i="74"/>
  <c r="K219" i="74"/>
  <c r="B219" i="74" l="1"/>
  <c r="I219" i="74"/>
  <c r="S219" i="74"/>
  <c r="R220" i="74"/>
  <c r="D220" i="74" s="1"/>
  <c r="N221" i="74" a="1"/>
  <c r="N221" i="74" s="1"/>
  <c r="Q221" i="74" s="1"/>
  <c r="C221" i="74" s="1"/>
  <c r="O221" i="74" a="1"/>
  <c r="O221" i="74" s="1"/>
  <c r="P221" i="74" a="1"/>
  <c r="P221" i="74" s="1"/>
  <c r="M222" i="74" a="1"/>
  <c r="M222" i="74" s="1"/>
  <c r="H218" i="74"/>
  <c r="J218" i="74" s="1"/>
  <c r="A223" i="74"/>
  <c r="E220" i="74"/>
  <c r="G220" i="74"/>
  <c r="F220" i="74"/>
  <c r="K220" i="74"/>
  <c r="L220" i="74"/>
  <c r="B220" i="74" l="1"/>
  <c r="I220" i="74"/>
  <c r="S220" i="74"/>
  <c r="R221" i="74"/>
  <c r="D221" i="74" s="1"/>
  <c r="N222" i="74" a="1"/>
  <c r="N222" i="74" s="1"/>
  <c r="Q222" i="74" s="1"/>
  <c r="C222" i="74" s="1"/>
  <c r="O222" i="74" a="1"/>
  <c r="O222" i="74" s="1"/>
  <c r="P222" i="74" a="1"/>
  <c r="P222" i="74" s="1"/>
  <c r="M223" i="74" a="1"/>
  <c r="M223" i="74" s="1"/>
  <c r="H219" i="74"/>
  <c r="J219" i="74" s="1"/>
  <c r="A224" i="74"/>
  <c r="G221" i="74"/>
  <c r="E221" i="74"/>
  <c r="F221" i="74"/>
  <c r="L221" i="74"/>
  <c r="K221" i="74"/>
  <c r="B221" i="74" l="1"/>
  <c r="I221" i="74"/>
  <c r="S221" i="74"/>
  <c r="R222" i="74"/>
  <c r="D222" i="74" s="1"/>
  <c r="H220" i="74"/>
  <c r="J220" i="74" s="1"/>
  <c r="N223" i="74" a="1"/>
  <c r="N223" i="74" s="1"/>
  <c r="Q223" i="74" s="1"/>
  <c r="C223" i="74" s="1"/>
  <c r="O223" i="74" a="1"/>
  <c r="O223" i="74" s="1"/>
  <c r="P223" i="74" a="1"/>
  <c r="P223" i="74" s="1"/>
  <c r="M224" i="74" a="1"/>
  <c r="M224" i="74" s="1"/>
  <c r="A225" i="74"/>
  <c r="E222" i="74"/>
  <c r="G222" i="74"/>
  <c r="F222" i="74"/>
  <c r="K222" i="74"/>
  <c r="L222" i="74"/>
  <c r="B222" i="74" l="1"/>
  <c r="I222" i="74"/>
  <c r="S222" i="74"/>
  <c r="R223" i="74"/>
  <c r="D223" i="74" s="1"/>
  <c r="N224" i="74" a="1"/>
  <c r="N224" i="74" s="1"/>
  <c r="Q224" i="74" s="1"/>
  <c r="C224" i="74" s="1"/>
  <c r="O224" i="74" a="1"/>
  <c r="O224" i="74" s="1"/>
  <c r="P224" i="74" a="1"/>
  <c r="P224" i="74" s="1"/>
  <c r="M225" i="74" a="1"/>
  <c r="M225" i="74" s="1"/>
  <c r="H221" i="74"/>
  <c r="J221" i="74" s="1"/>
  <c r="A226" i="74"/>
  <c r="G223" i="74"/>
  <c r="F223" i="74"/>
  <c r="E223" i="74"/>
  <c r="L223" i="74"/>
  <c r="K223" i="74"/>
  <c r="B223" i="74" l="1"/>
  <c r="I223" i="74"/>
  <c r="S223" i="74"/>
  <c r="R224" i="74"/>
  <c r="D224" i="74" s="1"/>
  <c r="N225" i="74" a="1"/>
  <c r="N225" i="74" s="1"/>
  <c r="Q225" i="74" s="1"/>
  <c r="C225" i="74" s="1"/>
  <c r="O225" i="74" a="1"/>
  <c r="O225" i="74" s="1"/>
  <c r="P225" i="74" a="1"/>
  <c r="P225" i="74" s="1"/>
  <c r="M226" i="74" a="1"/>
  <c r="M226" i="74" s="1"/>
  <c r="H222" i="74"/>
  <c r="J222" i="74" s="1"/>
  <c r="A227" i="74"/>
  <c r="E224" i="74"/>
  <c r="F224" i="74"/>
  <c r="G224" i="74"/>
  <c r="K224" i="74"/>
  <c r="L224" i="74"/>
  <c r="B224" i="74" l="1"/>
  <c r="I224" i="74"/>
  <c r="S224" i="74"/>
  <c r="R225" i="74"/>
  <c r="D225" i="74" s="1"/>
  <c r="H223" i="74"/>
  <c r="J223" i="74" s="1"/>
  <c r="N226" i="74" a="1"/>
  <c r="N226" i="74" s="1"/>
  <c r="Q226" i="74" s="1"/>
  <c r="C226" i="74" s="1"/>
  <c r="O226" i="74" a="1"/>
  <c r="O226" i="74" s="1"/>
  <c r="P226" i="74" a="1"/>
  <c r="P226" i="74" s="1"/>
  <c r="M227" i="74" a="1"/>
  <c r="M227" i="74" s="1"/>
  <c r="A228" i="74"/>
  <c r="E225" i="74"/>
  <c r="F225" i="74"/>
  <c r="G225" i="74"/>
  <c r="L225" i="74"/>
  <c r="K225" i="74"/>
  <c r="B225" i="74" l="1"/>
  <c r="I225" i="74"/>
  <c r="S225" i="74"/>
  <c r="R226" i="74"/>
  <c r="D226" i="74" s="1"/>
  <c r="N227" i="74" a="1"/>
  <c r="N227" i="74" s="1"/>
  <c r="Q227" i="74" s="1"/>
  <c r="C227" i="74" s="1"/>
  <c r="O227" i="74" a="1"/>
  <c r="O227" i="74" s="1"/>
  <c r="P227" i="74" a="1"/>
  <c r="P227" i="74" s="1"/>
  <c r="M228" i="74" a="1"/>
  <c r="M228" i="74" s="1"/>
  <c r="H224" i="74"/>
  <c r="J224" i="74" s="1"/>
  <c r="A229" i="74"/>
  <c r="G226" i="74"/>
  <c r="E226" i="74"/>
  <c r="F226" i="74"/>
  <c r="K226" i="74"/>
  <c r="L226" i="74"/>
  <c r="B226" i="74" l="1"/>
  <c r="I226" i="74"/>
  <c r="S226" i="74"/>
  <c r="R227" i="74"/>
  <c r="D227" i="74" s="1"/>
  <c r="N228" i="74" a="1"/>
  <c r="N228" i="74" s="1"/>
  <c r="Q228" i="74" s="1"/>
  <c r="C228" i="74" s="1"/>
  <c r="O228" i="74" a="1"/>
  <c r="O228" i="74" s="1"/>
  <c r="P228" i="74" a="1"/>
  <c r="P228" i="74" s="1"/>
  <c r="H225" i="74"/>
  <c r="J225" i="74" s="1"/>
  <c r="M229" i="74" a="1"/>
  <c r="M229" i="74" s="1"/>
  <c r="A230" i="74"/>
  <c r="E227" i="74"/>
  <c r="F227" i="74"/>
  <c r="G227" i="74"/>
  <c r="L227" i="74"/>
  <c r="K227" i="74"/>
  <c r="B227" i="74" l="1"/>
  <c r="I227" i="74"/>
  <c r="S227" i="74"/>
  <c r="R228" i="74"/>
  <c r="D228" i="74" s="1"/>
  <c r="H226" i="74"/>
  <c r="J226" i="74" s="1"/>
  <c r="N229" i="74" a="1"/>
  <c r="N229" i="74" s="1"/>
  <c r="Q229" i="74" s="1"/>
  <c r="C229" i="74" s="1"/>
  <c r="O229" i="74" a="1"/>
  <c r="O229" i="74" s="1"/>
  <c r="P229" i="74" a="1"/>
  <c r="P229" i="74" s="1"/>
  <c r="M230" i="74" a="1"/>
  <c r="M230" i="74" s="1"/>
  <c r="A231" i="74"/>
  <c r="G228" i="74"/>
  <c r="E228" i="74"/>
  <c r="F228" i="74"/>
  <c r="K228" i="74"/>
  <c r="L228" i="74"/>
  <c r="B228" i="74" l="1"/>
  <c r="I228" i="74"/>
  <c r="S228" i="74"/>
  <c r="R229" i="74"/>
  <c r="D229" i="74" s="1"/>
  <c r="N230" i="74" a="1"/>
  <c r="N230" i="74" s="1"/>
  <c r="Q230" i="74" s="1"/>
  <c r="C230" i="74" s="1"/>
  <c r="O230" i="74" a="1"/>
  <c r="O230" i="74" s="1"/>
  <c r="H227" i="74"/>
  <c r="J227" i="74" s="1"/>
  <c r="P230" i="74" a="1"/>
  <c r="P230" i="74" s="1"/>
  <c r="M231" i="74" a="1"/>
  <c r="M231" i="74" s="1"/>
  <c r="A232" i="74"/>
  <c r="E229" i="74"/>
  <c r="F229" i="74"/>
  <c r="G229" i="74"/>
  <c r="L229" i="74"/>
  <c r="K229" i="74"/>
  <c r="B229" i="74" l="1"/>
  <c r="I229" i="74"/>
  <c r="S229" i="74"/>
  <c r="R230" i="74"/>
  <c r="D230" i="74" s="1"/>
  <c r="N231" i="74" a="1"/>
  <c r="N231" i="74" s="1"/>
  <c r="Q231" i="74" s="1"/>
  <c r="C231" i="74" s="1"/>
  <c r="O231" i="74" a="1"/>
  <c r="O231" i="74" s="1"/>
  <c r="P231" i="74" a="1"/>
  <c r="P231" i="74" s="1"/>
  <c r="M232" i="74" a="1"/>
  <c r="M232" i="74" s="1"/>
  <c r="H228" i="74"/>
  <c r="J228" i="74" s="1"/>
  <c r="A233" i="74"/>
  <c r="E230" i="74"/>
  <c r="F230" i="74"/>
  <c r="G230" i="74"/>
  <c r="K230" i="74"/>
  <c r="L230" i="74"/>
  <c r="B230" i="74" l="1"/>
  <c r="I230" i="74"/>
  <c r="S230" i="74"/>
  <c r="R231" i="74"/>
  <c r="D231" i="74" s="1"/>
  <c r="N232" i="74" a="1"/>
  <c r="N232" i="74" s="1"/>
  <c r="Q232" i="74" s="1"/>
  <c r="C232" i="74" s="1"/>
  <c r="O232" i="74" a="1"/>
  <c r="O232" i="74" s="1"/>
  <c r="P232" i="74" a="1"/>
  <c r="P232" i="74" s="1"/>
  <c r="M233" i="74" a="1"/>
  <c r="M233" i="74" s="1"/>
  <c r="H229" i="74"/>
  <c r="J229" i="74" s="1"/>
  <c r="A234" i="74"/>
  <c r="F231" i="74"/>
  <c r="G231" i="74"/>
  <c r="E231" i="74"/>
  <c r="L231" i="74"/>
  <c r="K231" i="74"/>
  <c r="B231" i="74" l="1"/>
  <c r="I231" i="74"/>
  <c r="S231" i="74"/>
  <c r="R232" i="74"/>
  <c r="D232" i="74" s="1"/>
  <c r="N233" i="74" a="1"/>
  <c r="N233" i="74" s="1"/>
  <c r="Q233" i="74" s="1"/>
  <c r="C233" i="74" s="1"/>
  <c r="O233" i="74" a="1"/>
  <c r="O233" i="74" s="1"/>
  <c r="P233" i="74" a="1"/>
  <c r="P233" i="74" s="1"/>
  <c r="M234" i="74" a="1"/>
  <c r="M234" i="74" s="1"/>
  <c r="H230" i="74"/>
  <c r="J230" i="74" s="1"/>
  <c r="A235" i="74"/>
  <c r="E232" i="74"/>
  <c r="G232" i="74"/>
  <c r="F232" i="74"/>
  <c r="K232" i="74"/>
  <c r="L232" i="74"/>
  <c r="B232" i="74" l="1"/>
  <c r="I232" i="74"/>
  <c r="S232" i="74"/>
  <c r="R233" i="74"/>
  <c r="D233" i="74" s="1"/>
  <c r="H231" i="74"/>
  <c r="J231" i="74" s="1"/>
  <c r="N234" i="74" a="1"/>
  <c r="N234" i="74" s="1"/>
  <c r="Q234" i="74" s="1"/>
  <c r="C234" i="74" s="1"/>
  <c r="O234" i="74" a="1"/>
  <c r="O234" i="74" s="1"/>
  <c r="P234" i="74" a="1"/>
  <c r="P234" i="74" s="1"/>
  <c r="M235" i="74" a="1"/>
  <c r="M235" i="74" s="1"/>
  <c r="A236" i="74"/>
  <c r="F233" i="74"/>
  <c r="G233" i="74"/>
  <c r="E233" i="74"/>
  <c r="L233" i="74"/>
  <c r="K233" i="74"/>
  <c r="B233" i="74" l="1"/>
  <c r="H233" i="74" s="1"/>
  <c r="J233" i="74" s="1"/>
  <c r="I233" i="74"/>
  <c r="S233" i="74"/>
  <c r="R234" i="74"/>
  <c r="D234" i="74" s="1"/>
  <c r="N235" i="74" a="1"/>
  <c r="N235" i="74" s="1"/>
  <c r="Q235" i="74" s="1"/>
  <c r="C235" i="74" s="1"/>
  <c r="O235" i="74" a="1"/>
  <c r="O235" i="74" s="1"/>
  <c r="H232" i="74"/>
  <c r="J232" i="74" s="1"/>
  <c r="P235" i="74" a="1"/>
  <c r="P235" i="74" s="1"/>
  <c r="M236" i="74" a="1"/>
  <c r="M236" i="74" s="1"/>
  <c r="A237" i="74"/>
  <c r="E234" i="74"/>
  <c r="F234" i="74"/>
  <c r="G234" i="74"/>
  <c r="K234" i="74"/>
  <c r="L234" i="74"/>
  <c r="B234" i="74" l="1"/>
  <c r="I234" i="74"/>
  <c r="S234" i="74"/>
  <c r="R235" i="74"/>
  <c r="D235" i="74" s="1"/>
  <c r="N236" i="74" a="1"/>
  <c r="N236" i="74" s="1"/>
  <c r="Q236" i="74" s="1"/>
  <c r="C236" i="74" s="1"/>
  <c r="O236" i="74" a="1"/>
  <c r="O236" i="74" s="1"/>
  <c r="P236" i="74" a="1"/>
  <c r="P236" i="74" s="1"/>
  <c r="M237" i="74" a="1"/>
  <c r="M237" i="74" s="1"/>
  <c r="A238" i="74"/>
  <c r="G235" i="74"/>
  <c r="F235" i="74"/>
  <c r="E235" i="74"/>
  <c r="L235" i="74"/>
  <c r="K235" i="74"/>
  <c r="B235" i="74" l="1"/>
  <c r="I235" i="74"/>
  <c r="S235" i="74"/>
  <c r="R236" i="74"/>
  <c r="D236" i="74" s="1"/>
  <c r="N237" i="74" a="1"/>
  <c r="N237" i="74" s="1"/>
  <c r="Q237" i="74" s="1"/>
  <c r="C237" i="74" s="1"/>
  <c r="O237" i="74" a="1"/>
  <c r="O237" i="74" s="1"/>
  <c r="P237" i="74" a="1"/>
  <c r="P237" i="74" s="1"/>
  <c r="M238" i="74" a="1"/>
  <c r="M238" i="74" s="1"/>
  <c r="H234" i="74"/>
  <c r="J234" i="74" s="1"/>
  <c r="A239" i="74"/>
  <c r="E236" i="74"/>
  <c r="F236" i="74"/>
  <c r="G236" i="74"/>
  <c r="K236" i="74"/>
  <c r="L236" i="74"/>
  <c r="B236" i="74" l="1"/>
  <c r="I236" i="74"/>
  <c r="S236" i="74"/>
  <c r="R237" i="74"/>
  <c r="D237" i="74" s="1"/>
  <c r="N238" i="74" a="1"/>
  <c r="N238" i="74" s="1"/>
  <c r="Q238" i="74" s="1"/>
  <c r="C238" i="74" s="1"/>
  <c r="O238" i="74" a="1"/>
  <c r="O238" i="74" s="1"/>
  <c r="P238" i="74" a="1"/>
  <c r="P238" i="74" s="1"/>
  <c r="H235" i="74"/>
  <c r="J235" i="74" s="1"/>
  <c r="M239" i="74" a="1"/>
  <c r="M239" i="74" s="1"/>
  <c r="A240" i="74"/>
  <c r="G237" i="74"/>
  <c r="E237" i="74"/>
  <c r="F237" i="74"/>
  <c r="L237" i="74"/>
  <c r="K237" i="74"/>
  <c r="I237" i="74" l="1"/>
  <c r="B237" i="74"/>
  <c r="S237" i="74"/>
  <c r="R238" i="74"/>
  <c r="D238" i="74" s="1"/>
  <c r="N239" i="74" a="1"/>
  <c r="N239" i="74" s="1"/>
  <c r="Q239" i="74" s="1"/>
  <c r="C239" i="74" s="1"/>
  <c r="O239" i="74" a="1"/>
  <c r="O239" i="74" s="1"/>
  <c r="H236" i="74"/>
  <c r="J236" i="74" s="1"/>
  <c r="P239" i="74" a="1"/>
  <c r="P239" i="74" s="1"/>
  <c r="M240" i="74" a="1"/>
  <c r="M240" i="74" s="1"/>
  <c r="A241" i="74"/>
  <c r="F238" i="74"/>
  <c r="G238" i="74"/>
  <c r="E238" i="74"/>
  <c r="K238" i="74"/>
  <c r="L238" i="74"/>
  <c r="B238" i="74" l="1"/>
  <c r="I238" i="74"/>
  <c r="S238" i="74"/>
  <c r="R239" i="74"/>
  <c r="D239" i="74" s="1"/>
  <c r="N240" i="74" a="1"/>
  <c r="N240" i="74" s="1"/>
  <c r="Q240" i="74" s="1"/>
  <c r="C240" i="74" s="1"/>
  <c r="O240" i="74" a="1"/>
  <c r="O240" i="74" s="1"/>
  <c r="H237" i="74"/>
  <c r="J237" i="74" s="1"/>
  <c r="P240" i="74" a="1"/>
  <c r="P240" i="74" s="1"/>
  <c r="M241" i="74" a="1"/>
  <c r="M241" i="74" s="1"/>
  <c r="A242" i="74"/>
  <c r="E239" i="74"/>
  <c r="F239" i="74"/>
  <c r="G239" i="74"/>
  <c r="I239" i="74" s="1"/>
  <c r="L239" i="74"/>
  <c r="K239" i="74"/>
  <c r="B239" i="74" l="1"/>
  <c r="S239" i="74"/>
  <c r="R240" i="74"/>
  <c r="D240" i="74" s="1"/>
  <c r="H238" i="74"/>
  <c r="J238" i="74" s="1"/>
  <c r="N241" i="74" a="1"/>
  <c r="N241" i="74" s="1"/>
  <c r="Q241" i="74" s="1"/>
  <c r="C241" i="74" s="1"/>
  <c r="O241" i="74" a="1"/>
  <c r="O241" i="74" s="1"/>
  <c r="P241" i="74" a="1"/>
  <c r="P241" i="74" s="1"/>
  <c r="M242" i="74" a="1"/>
  <c r="M242" i="74" s="1"/>
  <c r="A243" i="74"/>
  <c r="F240" i="74"/>
  <c r="G240" i="74"/>
  <c r="E240" i="74"/>
  <c r="K240" i="74"/>
  <c r="L240" i="74"/>
  <c r="B240" i="74" l="1"/>
  <c r="I240" i="74"/>
  <c r="S240" i="74"/>
  <c r="R241" i="74"/>
  <c r="D241" i="74" s="1"/>
  <c r="N242" i="74" a="1"/>
  <c r="N242" i="74" s="1"/>
  <c r="Q242" i="74" s="1"/>
  <c r="C242" i="74" s="1"/>
  <c r="O242" i="74" a="1"/>
  <c r="O242" i="74" s="1"/>
  <c r="H239" i="74"/>
  <c r="J239" i="74" s="1"/>
  <c r="P242" i="74" a="1"/>
  <c r="P242" i="74" s="1"/>
  <c r="M243" i="74" a="1"/>
  <c r="M243" i="74" s="1"/>
  <c r="A244" i="74"/>
  <c r="E241" i="74"/>
  <c r="F241" i="74"/>
  <c r="G241" i="74"/>
  <c r="I241" i="74" s="1"/>
  <c r="L241" i="74"/>
  <c r="K241" i="74"/>
  <c r="B241" i="74" l="1"/>
  <c r="S241" i="74"/>
  <c r="R242" i="74"/>
  <c r="D242" i="74" s="1"/>
  <c r="N243" i="74" a="1"/>
  <c r="N243" i="74" s="1"/>
  <c r="Q243" i="74" s="1"/>
  <c r="C243" i="74" s="1"/>
  <c r="O243" i="74" a="1"/>
  <c r="O243" i="74" s="1"/>
  <c r="H240" i="74"/>
  <c r="J240" i="74" s="1"/>
  <c r="P243" i="74" a="1"/>
  <c r="P243" i="74" s="1"/>
  <c r="M244" i="74" a="1"/>
  <c r="M244" i="74" s="1"/>
  <c r="A245" i="74"/>
  <c r="G242" i="74"/>
  <c r="E242" i="74"/>
  <c r="F242" i="74"/>
  <c r="K242" i="74"/>
  <c r="L242" i="74"/>
  <c r="B242" i="74" l="1"/>
  <c r="I242" i="74"/>
  <c r="S242" i="74"/>
  <c r="R243" i="74"/>
  <c r="D243" i="74" s="1"/>
  <c r="N244" i="74" a="1"/>
  <c r="N244" i="74" s="1"/>
  <c r="Q244" i="74" s="1"/>
  <c r="C244" i="74" s="1"/>
  <c r="O244" i="74" a="1"/>
  <c r="O244" i="74" s="1"/>
  <c r="P244" i="74" a="1"/>
  <c r="P244" i="74" s="1"/>
  <c r="M245" i="74" a="1"/>
  <c r="M245" i="74" s="1"/>
  <c r="H241" i="74"/>
  <c r="J241" i="74" s="1"/>
  <c r="A246" i="74"/>
  <c r="F243" i="74"/>
  <c r="G243" i="74"/>
  <c r="I243" i="74" s="1"/>
  <c r="E243" i="74"/>
  <c r="K243" i="74"/>
  <c r="L243" i="74"/>
  <c r="B243" i="74" l="1"/>
  <c r="H243" i="74" s="1"/>
  <c r="J243" i="74" s="1"/>
  <c r="S243" i="74"/>
  <c r="R244" i="74"/>
  <c r="D244" i="74" s="1"/>
  <c r="N245" i="74" a="1"/>
  <c r="N245" i="74" s="1"/>
  <c r="Q245" i="74" s="1"/>
  <c r="C245" i="74" s="1"/>
  <c r="O245" i="74" a="1"/>
  <c r="O245" i="74" s="1"/>
  <c r="P245" i="74" a="1"/>
  <c r="P245" i="74" s="1"/>
  <c r="M246" i="74" a="1"/>
  <c r="M246" i="74" s="1"/>
  <c r="H242" i="74"/>
  <c r="J242" i="74" s="1"/>
  <c r="A247" i="74"/>
  <c r="E244" i="74"/>
  <c r="F244" i="74"/>
  <c r="G244" i="74"/>
  <c r="K244" i="74"/>
  <c r="L244" i="74"/>
  <c r="B244" i="74" l="1"/>
  <c r="I244" i="74"/>
  <c r="S244" i="74"/>
  <c r="R245" i="74"/>
  <c r="D245" i="74" s="1"/>
  <c r="N246" i="74" a="1"/>
  <c r="N246" i="74" s="1"/>
  <c r="Q246" i="74" s="1"/>
  <c r="C246" i="74" s="1"/>
  <c r="O246" i="74" a="1"/>
  <c r="O246" i="74" s="1"/>
  <c r="P246" i="74" a="1"/>
  <c r="P246" i="74" s="1"/>
  <c r="M247" i="74" a="1"/>
  <c r="M247" i="74" s="1"/>
  <c r="A248" i="74"/>
  <c r="G245" i="74"/>
  <c r="E245" i="74"/>
  <c r="F245" i="74"/>
  <c r="L245" i="74"/>
  <c r="K245" i="74"/>
  <c r="B245" i="74" l="1"/>
  <c r="I245" i="74"/>
  <c r="S245" i="74"/>
  <c r="R246" i="74"/>
  <c r="D246" i="74" s="1"/>
  <c r="N247" i="74" a="1"/>
  <c r="N247" i="74" s="1"/>
  <c r="Q247" i="74" s="1"/>
  <c r="C247" i="74" s="1"/>
  <c r="O247" i="74" a="1"/>
  <c r="O247" i="74" s="1"/>
  <c r="P247" i="74" a="1"/>
  <c r="P247" i="74" s="1"/>
  <c r="M248" i="74" a="1"/>
  <c r="M248" i="74" s="1"/>
  <c r="H244" i="74"/>
  <c r="J244" i="74" s="1"/>
  <c r="A249" i="74"/>
  <c r="E246" i="74"/>
  <c r="F246" i="74"/>
  <c r="G246" i="74"/>
  <c r="K246" i="74"/>
  <c r="L246" i="74"/>
  <c r="B246" i="74" l="1"/>
  <c r="I246" i="74"/>
  <c r="S246" i="74"/>
  <c r="R247" i="74"/>
  <c r="D247" i="74" s="1"/>
  <c r="N248" i="74" a="1"/>
  <c r="N248" i="74" s="1"/>
  <c r="Q248" i="74" s="1"/>
  <c r="C248" i="74" s="1"/>
  <c r="O248" i="74" a="1"/>
  <c r="O248" i="74" s="1"/>
  <c r="P248" i="74" a="1"/>
  <c r="P248" i="74" s="1"/>
  <c r="H245" i="74"/>
  <c r="J245" i="74" s="1"/>
  <c r="M249" i="74" a="1"/>
  <c r="M249" i="74" s="1"/>
  <c r="A250" i="74"/>
  <c r="E247" i="74"/>
  <c r="F247" i="74"/>
  <c r="G247" i="74"/>
  <c r="L247" i="74"/>
  <c r="K247" i="74"/>
  <c r="B247" i="74" l="1"/>
  <c r="I247" i="74"/>
  <c r="S247" i="74"/>
  <c r="R248" i="74"/>
  <c r="D248" i="74" s="1"/>
  <c r="N249" i="74" a="1"/>
  <c r="N249" i="74" s="1"/>
  <c r="Q249" i="74" s="1"/>
  <c r="C249" i="74" s="1"/>
  <c r="O249" i="74" a="1"/>
  <c r="O249" i="74" s="1"/>
  <c r="P249" i="74" a="1"/>
  <c r="P249" i="74" s="1"/>
  <c r="M250" i="74" a="1"/>
  <c r="M250" i="74" s="1"/>
  <c r="H246" i="74"/>
  <c r="J246" i="74" s="1"/>
  <c r="A251" i="74"/>
  <c r="F248" i="74"/>
  <c r="G248" i="74"/>
  <c r="E248" i="74"/>
  <c r="K248" i="74"/>
  <c r="L248" i="74"/>
  <c r="B248" i="74" l="1"/>
  <c r="I248" i="74"/>
  <c r="S248" i="74"/>
  <c r="R249" i="74"/>
  <c r="D249" i="74" s="1"/>
  <c r="N250" i="74" a="1"/>
  <c r="N250" i="74" s="1"/>
  <c r="Q250" i="74" s="1"/>
  <c r="C250" i="74" s="1"/>
  <c r="O250" i="74" a="1"/>
  <c r="O250" i="74" s="1"/>
  <c r="P250" i="74" a="1"/>
  <c r="P250" i="74" s="1"/>
  <c r="M251" i="74" a="1"/>
  <c r="M251" i="74" s="1"/>
  <c r="H247" i="74"/>
  <c r="J247" i="74" s="1"/>
  <c r="A252" i="74"/>
  <c r="E249" i="74"/>
  <c r="F249" i="74"/>
  <c r="G249" i="74"/>
  <c r="L249" i="74"/>
  <c r="K249" i="74"/>
  <c r="B249" i="74" l="1"/>
  <c r="I249" i="74"/>
  <c r="S249" i="74"/>
  <c r="R250" i="74"/>
  <c r="D250" i="74" s="1"/>
  <c r="N251" i="74" a="1"/>
  <c r="N251" i="74" s="1"/>
  <c r="Q251" i="74" s="1"/>
  <c r="C251" i="74" s="1"/>
  <c r="O251" i="74" a="1"/>
  <c r="O251" i="74" s="1"/>
  <c r="P251" i="74" a="1"/>
  <c r="P251" i="74" s="1"/>
  <c r="H248" i="74"/>
  <c r="J248" i="74" s="1"/>
  <c r="M252" i="74" a="1"/>
  <c r="M252" i="74" s="1"/>
  <c r="A253" i="74"/>
  <c r="G250" i="74"/>
  <c r="E250" i="74"/>
  <c r="F250" i="74"/>
  <c r="K250" i="74"/>
  <c r="L250" i="74"/>
  <c r="B250" i="74" l="1"/>
  <c r="I250" i="74"/>
  <c r="S250" i="74"/>
  <c r="R251" i="74"/>
  <c r="D251" i="74" s="1"/>
  <c r="N252" i="74" a="1"/>
  <c r="N252" i="74" s="1"/>
  <c r="Q252" i="74" s="1"/>
  <c r="C252" i="74" s="1"/>
  <c r="O252" i="74" a="1"/>
  <c r="O252" i="74" s="1"/>
  <c r="P252" i="74" a="1"/>
  <c r="P252" i="74" s="1"/>
  <c r="M253" i="74" a="1"/>
  <c r="M253" i="74" s="1"/>
  <c r="H249" i="74"/>
  <c r="J249" i="74" s="1"/>
  <c r="A254" i="74"/>
  <c r="F251" i="74"/>
  <c r="G251" i="74"/>
  <c r="E251" i="74"/>
  <c r="K251" i="74"/>
  <c r="L251" i="74"/>
  <c r="B251" i="74" l="1"/>
  <c r="I251" i="74"/>
  <c r="S251" i="74"/>
  <c r="R252" i="74"/>
  <c r="D252" i="74" s="1"/>
  <c r="N253" i="74" a="1"/>
  <c r="N253" i="74" s="1"/>
  <c r="Q253" i="74" s="1"/>
  <c r="C253" i="74" s="1"/>
  <c r="O253" i="74" a="1"/>
  <c r="O253" i="74" s="1"/>
  <c r="P253" i="74" a="1"/>
  <c r="P253" i="74" s="1"/>
  <c r="M254" i="74" a="1"/>
  <c r="M254" i="74" s="1"/>
  <c r="H250" i="74"/>
  <c r="J250" i="74" s="1"/>
  <c r="A255" i="74"/>
  <c r="E252" i="74"/>
  <c r="G252" i="74"/>
  <c r="F252" i="74"/>
  <c r="K252" i="74"/>
  <c r="L252" i="74"/>
  <c r="B252" i="74" l="1"/>
  <c r="I252" i="74"/>
  <c r="S252" i="74"/>
  <c r="R253" i="74"/>
  <c r="D253" i="74" s="1"/>
  <c r="H251" i="74"/>
  <c r="J251" i="74" s="1"/>
  <c r="N254" i="74" a="1"/>
  <c r="N254" i="74" s="1"/>
  <c r="Q254" i="74" s="1"/>
  <c r="C254" i="74" s="1"/>
  <c r="O254" i="74" a="1"/>
  <c r="O254" i="74" s="1"/>
  <c r="P254" i="74" a="1"/>
  <c r="P254" i="74" s="1"/>
  <c r="M255" i="74" a="1"/>
  <c r="M255" i="74" s="1"/>
  <c r="A256" i="74"/>
  <c r="G253" i="74"/>
  <c r="E253" i="74"/>
  <c r="F253" i="74"/>
  <c r="L253" i="74"/>
  <c r="K253" i="74"/>
  <c r="B253" i="74" l="1"/>
  <c r="I253" i="74"/>
  <c r="S253" i="74"/>
  <c r="R254" i="74"/>
  <c r="D254" i="74" s="1"/>
  <c r="N255" i="74" a="1"/>
  <c r="N255" i="74" s="1"/>
  <c r="Q255" i="74" s="1"/>
  <c r="C255" i="74" s="1"/>
  <c r="O255" i="74" a="1"/>
  <c r="O255" i="74" s="1"/>
  <c r="P255" i="74" a="1"/>
  <c r="P255" i="74" s="1"/>
  <c r="M256" i="74" a="1"/>
  <c r="M256" i="74" s="1"/>
  <c r="H252" i="74"/>
  <c r="J252" i="74" s="1"/>
  <c r="A257" i="74"/>
  <c r="E254" i="74"/>
  <c r="F254" i="74"/>
  <c r="G254" i="74"/>
  <c r="K254" i="74"/>
  <c r="L254" i="74"/>
  <c r="B254" i="74" l="1"/>
  <c r="I254" i="74"/>
  <c r="S254" i="74"/>
  <c r="R255" i="74"/>
  <c r="D255" i="74" s="1"/>
  <c r="N256" i="74" a="1"/>
  <c r="N256" i="74" s="1"/>
  <c r="Q256" i="74" s="1"/>
  <c r="C256" i="74" s="1"/>
  <c r="O256" i="74" a="1"/>
  <c r="O256" i="74" s="1"/>
  <c r="P256" i="74" a="1"/>
  <c r="P256" i="74" s="1"/>
  <c r="M257" i="74" a="1"/>
  <c r="M257" i="74" s="1"/>
  <c r="H253" i="74"/>
  <c r="J253" i="74" s="1"/>
  <c r="A258" i="74"/>
  <c r="E255" i="74"/>
  <c r="G255" i="74"/>
  <c r="F255" i="74"/>
  <c r="L255" i="74"/>
  <c r="K255" i="74"/>
  <c r="B255" i="74" l="1"/>
  <c r="I255" i="74"/>
  <c r="S255" i="74"/>
  <c r="R256" i="74"/>
  <c r="D256" i="74" s="1"/>
  <c r="N257" i="74" a="1"/>
  <c r="N257" i="74" s="1"/>
  <c r="Q257" i="74" s="1"/>
  <c r="C257" i="74" s="1"/>
  <c r="O257" i="74" a="1"/>
  <c r="O257" i="74" s="1"/>
  <c r="P257" i="74" a="1"/>
  <c r="P257" i="74" s="1"/>
  <c r="H254" i="74"/>
  <c r="J254" i="74" s="1"/>
  <c r="M258" i="74" a="1"/>
  <c r="M258" i="74" s="1"/>
  <c r="A259" i="74"/>
  <c r="F256" i="74"/>
  <c r="G256" i="74"/>
  <c r="E256" i="74"/>
  <c r="K256" i="74"/>
  <c r="L256" i="74"/>
  <c r="B256" i="74" l="1"/>
  <c r="I256" i="74"/>
  <c r="S256" i="74"/>
  <c r="R257" i="74"/>
  <c r="D257" i="74" s="1"/>
  <c r="N258" i="74" a="1"/>
  <c r="N258" i="74" s="1"/>
  <c r="Q258" i="74" s="1"/>
  <c r="C258" i="74" s="1"/>
  <c r="O258" i="74" a="1"/>
  <c r="O258" i="74" s="1"/>
  <c r="H255" i="74"/>
  <c r="J255" i="74" s="1"/>
  <c r="P258" i="74" a="1"/>
  <c r="P258" i="74" s="1"/>
  <c r="M259" i="74" a="1"/>
  <c r="M259" i="74" s="1"/>
  <c r="A260" i="74"/>
  <c r="E257" i="74"/>
  <c r="F257" i="74"/>
  <c r="G257" i="74"/>
  <c r="L257" i="74"/>
  <c r="K257" i="74"/>
  <c r="B257" i="74" l="1"/>
  <c r="I257" i="74"/>
  <c r="S257" i="74"/>
  <c r="R258" i="74"/>
  <c r="D258" i="74" s="1"/>
  <c r="H256" i="74"/>
  <c r="J256" i="74" s="1"/>
  <c r="N259" i="74" a="1"/>
  <c r="N259" i="74" s="1"/>
  <c r="Q259" i="74" s="1"/>
  <c r="C259" i="74" s="1"/>
  <c r="O259" i="74" a="1"/>
  <c r="O259" i="74" s="1"/>
  <c r="P259" i="74" a="1"/>
  <c r="P259" i="74" s="1"/>
  <c r="M260" i="74" a="1"/>
  <c r="M260" i="74" s="1"/>
  <c r="A261" i="74"/>
  <c r="G258" i="74"/>
  <c r="F258" i="74"/>
  <c r="E258" i="74"/>
  <c r="K258" i="74"/>
  <c r="L258" i="74"/>
  <c r="B258" i="74" l="1"/>
  <c r="I258" i="74"/>
  <c r="S258" i="74"/>
  <c r="R259" i="74"/>
  <c r="D259" i="74" s="1"/>
  <c r="N260" i="74" a="1"/>
  <c r="N260" i="74" s="1"/>
  <c r="Q260" i="74" s="1"/>
  <c r="C260" i="74" s="1"/>
  <c r="O260" i="74" a="1"/>
  <c r="O260" i="74" s="1"/>
  <c r="H257" i="74"/>
  <c r="J257" i="74" s="1"/>
  <c r="P260" i="74" a="1"/>
  <c r="P260" i="74" s="1"/>
  <c r="M261" i="74" a="1"/>
  <c r="M261" i="74" s="1"/>
  <c r="A262" i="74"/>
  <c r="F259" i="74"/>
  <c r="G259" i="74"/>
  <c r="E259" i="74"/>
  <c r="K259" i="74"/>
  <c r="L259" i="74"/>
  <c r="B259" i="74" l="1"/>
  <c r="I259" i="74"/>
  <c r="S259" i="74"/>
  <c r="R260" i="74"/>
  <c r="D260" i="74" s="1"/>
  <c r="N261" i="74" a="1"/>
  <c r="N261" i="74" s="1"/>
  <c r="Q261" i="74" s="1"/>
  <c r="C261" i="74" s="1"/>
  <c r="O261" i="74" a="1"/>
  <c r="O261" i="74" s="1"/>
  <c r="H258" i="74"/>
  <c r="J258" i="74" s="1"/>
  <c r="P261" i="74" a="1"/>
  <c r="P261" i="74" s="1"/>
  <c r="M262" i="74" a="1"/>
  <c r="M262" i="74" s="1"/>
  <c r="A263" i="74"/>
  <c r="E260" i="74"/>
  <c r="F260" i="74"/>
  <c r="G260" i="74"/>
  <c r="K260" i="74"/>
  <c r="L260" i="74"/>
  <c r="B260" i="74" l="1"/>
  <c r="I260" i="74"/>
  <c r="S260" i="74"/>
  <c r="R261" i="74"/>
  <c r="D261" i="74" s="1"/>
  <c r="N262" i="74" a="1"/>
  <c r="N262" i="74" s="1"/>
  <c r="Q262" i="74" s="1"/>
  <c r="C262" i="74" s="1"/>
  <c r="O262" i="74" a="1"/>
  <c r="O262" i="74" s="1"/>
  <c r="H259" i="74"/>
  <c r="J259" i="74" s="1"/>
  <c r="P262" i="74" a="1"/>
  <c r="P262" i="74" s="1"/>
  <c r="M263" i="74" a="1"/>
  <c r="M263" i="74" s="1"/>
  <c r="A264" i="74"/>
  <c r="G261" i="74"/>
  <c r="F261" i="74"/>
  <c r="E261" i="74"/>
  <c r="L261" i="74"/>
  <c r="K261" i="74"/>
  <c r="B261" i="74" l="1"/>
  <c r="I261" i="74"/>
  <c r="S261" i="74"/>
  <c r="R262" i="74"/>
  <c r="D262" i="74" s="1"/>
  <c r="N263" i="74" a="1"/>
  <c r="N263" i="74" s="1"/>
  <c r="Q263" i="74" s="1"/>
  <c r="C263" i="74" s="1"/>
  <c r="O263" i="74" a="1"/>
  <c r="O263" i="74" s="1"/>
  <c r="P263" i="74" a="1"/>
  <c r="P263" i="74" s="1"/>
  <c r="M264" i="74" a="1"/>
  <c r="M264" i="74" s="1"/>
  <c r="H260" i="74"/>
  <c r="J260" i="74" s="1"/>
  <c r="A265" i="74"/>
  <c r="E262" i="74"/>
  <c r="F262" i="74"/>
  <c r="G262" i="74"/>
  <c r="K262" i="74"/>
  <c r="L262" i="74"/>
  <c r="B262" i="74" l="1"/>
  <c r="I262" i="74"/>
  <c r="S262" i="74"/>
  <c r="R263" i="74"/>
  <c r="D263" i="74" s="1"/>
  <c r="N264" i="74" a="1"/>
  <c r="N264" i="74" s="1"/>
  <c r="Q264" i="74" s="1"/>
  <c r="C264" i="74" s="1"/>
  <c r="O264" i="74" a="1"/>
  <c r="O264" i="74" s="1"/>
  <c r="P264" i="74" a="1"/>
  <c r="P264" i="74" s="1"/>
  <c r="M265" i="74" a="1"/>
  <c r="M265" i="74" s="1"/>
  <c r="H261" i="74"/>
  <c r="J261" i="74" s="1"/>
  <c r="A266" i="74"/>
  <c r="E263" i="74"/>
  <c r="F263" i="74"/>
  <c r="G263" i="74"/>
  <c r="L263" i="74"/>
  <c r="K263" i="74"/>
  <c r="B263" i="74" l="1"/>
  <c r="I263" i="74"/>
  <c r="S263" i="74"/>
  <c r="R264" i="74"/>
  <c r="D264" i="74" s="1"/>
  <c r="N265" i="74" a="1"/>
  <c r="N265" i="74" s="1"/>
  <c r="Q265" i="74" s="1"/>
  <c r="C265" i="74" s="1"/>
  <c r="O265" i="74" a="1"/>
  <c r="O265" i="74" s="1"/>
  <c r="P265" i="74" a="1"/>
  <c r="P265" i="74" s="1"/>
  <c r="M266" i="74" a="1"/>
  <c r="M266" i="74" s="1"/>
  <c r="H262" i="74"/>
  <c r="J262" i="74" s="1"/>
  <c r="A267" i="74"/>
  <c r="F264" i="74"/>
  <c r="G264" i="74"/>
  <c r="E264" i="74"/>
  <c r="K264" i="74"/>
  <c r="L264" i="74"/>
  <c r="B264" i="74" l="1"/>
  <c r="I264" i="74"/>
  <c r="S264" i="74"/>
  <c r="R265" i="74"/>
  <c r="D265" i="74" s="1"/>
  <c r="N266" i="74" a="1"/>
  <c r="N266" i="74" s="1"/>
  <c r="Q266" i="74" s="1"/>
  <c r="C266" i="74" s="1"/>
  <c r="O266" i="74" a="1"/>
  <c r="O266" i="74" s="1"/>
  <c r="P266" i="74" a="1"/>
  <c r="P266" i="74" s="1"/>
  <c r="M267" i="74" a="1"/>
  <c r="M267" i="74" s="1"/>
  <c r="H263" i="74"/>
  <c r="J263" i="74" s="1"/>
  <c r="A268" i="74"/>
  <c r="E265" i="74"/>
  <c r="F265" i="74"/>
  <c r="G265" i="74"/>
  <c r="L265" i="74"/>
  <c r="K265" i="74"/>
  <c r="B265" i="74" l="1"/>
  <c r="I265" i="74"/>
  <c r="S265" i="74"/>
  <c r="R266" i="74"/>
  <c r="D266" i="74" s="1"/>
  <c r="N267" i="74" a="1"/>
  <c r="N267" i="74" s="1"/>
  <c r="Q267" i="74" s="1"/>
  <c r="C267" i="74" s="1"/>
  <c r="O267" i="74" a="1"/>
  <c r="O267" i="74" s="1"/>
  <c r="P267" i="74" a="1"/>
  <c r="P267" i="74" s="1"/>
  <c r="H264" i="74"/>
  <c r="J264" i="74" s="1"/>
  <c r="M268" i="74" a="1"/>
  <c r="M268" i="74" s="1"/>
  <c r="A269" i="74"/>
  <c r="G266" i="74"/>
  <c r="E266" i="74"/>
  <c r="F266" i="74"/>
  <c r="K266" i="74"/>
  <c r="L266" i="74"/>
  <c r="B266" i="74" l="1"/>
  <c r="I266" i="74"/>
  <c r="S266" i="74"/>
  <c r="R267" i="74"/>
  <c r="D267" i="74" s="1"/>
  <c r="N268" i="74" a="1"/>
  <c r="N268" i="74" s="1"/>
  <c r="Q268" i="74" s="1"/>
  <c r="C268" i="74" s="1"/>
  <c r="O268" i="74" a="1"/>
  <c r="O268" i="74" s="1"/>
  <c r="P268" i="74" a="1"/>
  <c r="P268" i="74" s="1"/>
  <c r="M269" i="74" a="1"/>
  <c r="M269" i="74" s="1"/>
  <c r="H265" i="74"/>
  <c r="J265" i="74" s="1"/>
  <c r="A270" i="74"/>
  <c r="E267" i="74"/>
  <c r="F267" i="74"/>
  <c r="G267" i="74"/>
  <c r="K267" i="74"/>
  <c r="L267" i="74"/>
  <c r="B267" i="74" l="1"/>
  <c r="I267" i="74"/>
  <c r="S267" i="74"/>
  <c r="R268" i="74"/>
  <c r="D268" i="74" s="1"/>
  <c r="N269" i="74" a="1"/>
  <c r="N269" i="74" s="1"/>
  <c r="Q269" i="74" s="1"/>
  <c r="C269" i="74" s="1"/>
  <c r="O269" i="74" a="1"/>
  <c r="O269" i="74" s="1"/>
  <c r="P269" i="74" a="1"/>
  <c r="P269" i="74" s="1"/>
  <c r="M270" i="74" a="1"/>
  <c r="M270" i="74" s="1"/>
  <c r="H266" i="74"/>
  <c r="J266" i="74" s="1"/>
  <c r="A271" i="74"/>
  <c r="G268" i="74"/>
  <c r="E268" i="74"/>
  <c r="F268" i="74"/>
  <c r="K268" i="74"/>
  <c r="L268" i="74"/>
  <c r="I268" i="74" l="1"/>
  <c r="B268" i="74"/>
  <c r="S268" i="74"/>
  <c r="R269" i="74"/>
  <c r="D269" i="74" s="1"/>
  <c r="N270" i="74" a="1"/>
  <c r="N270" i="74" s="1"/>
  <c r="Q270" i="74" s="1"/>
  <c r="C270" i="74" s="1"/>
  <c r="O270" i="74" a="1"/>
  <c r="O270" i="74" s="1"/>
  <c r="H267" i="74"/>
  <c r="J267" i="74" s="1"/>
  <c r="P270" i="74" a="1"/>
  <c r="P270" i="74" s="1"/>
  <c r="M271" i="74" a="1"/>
  <c r="M271" i="74" s="1"/>
  <c r="A272" i="74"/>
  <c r="F269" i="74"/>
  <c r="G269" i="74"/>
  <c r="E269" i="74"/>
  <c r="L269" i="74"/>
  <c r="K269" i="74"/>
  <c r="B269" i="74" l="1"/>
  <c r="I269" i="74"/>
  <c r="S269" i="74"/>
  <c r="R270" i="74"/>
  <c r="D270" i="74" s="1"/>
  <c r="H268" i="74"/>
  <c r="J268" i="74" s="1"/>
  <c r="N271" i="74" a="1"/>
  <c r="N271" i="74" s="1"/>
  <c r="Q271" i="74" s="1"/>
  <c r="C271" i="74" s="1"/>
  <c r="O271" i="74" a="1"/>
  <c r="O271" i="74" s="1"/>
  <c r="P271" i="74" a="1"/>
  <c r="P271" i="74" s="1"/>
  <c r="M272" i="74" a="1"/>
  <c r="M272" i="74" s="1"/>
  <c r="A273" i="74"/>
  <c r="E270" i="74"/>
  <c r="F270" i="74"/>
  <c r="G270" i="74"/>
  <c r="I270" i="74" s="1"/>
  <c r="K270" i="74"/>
  <c r="L270" i="74"/>
  <c r="B270" i="74" l="1"/>
  <c r="S270" i="74"/>
  <c r="R271" i="74"/>
  <c r="D271" i="74" s="1"/>
  <c r="N272" i="74" a="1"/>
  <c r="N272" i="74" s="1"/>
  <c r="Q272" i="74" s="1"/>
  <c r="C272" i="74" s="1"/>
  <c r="O272" i="74" a="1"/>
  <c r="O272" i="74" s="1"/>
  <c r="P272" i="74" a="1"/>
  <c r="P272" i="74" s="1"/>
  <c r="M273" i="74" a="1"/>
  <c r="M273" i="74" s="1"/>
  <c r="H269" i="74"/>
  <c r="J269" i="74" s="1"/>
  <c r="A274" i="74"/>
  <c r="F271" i="74"/>
  <c r="G271" i="74"/>
  <c r="E271" i="74"/>
  <c r="L271" i="74"/>
  <c r="K271" i="74"/>
  <c r="B271" i="74" l="1"/>
  <c r="I271" i="74"/>
  <c r="S271" i="74"/>
  <c r="R272" i="74"/>
  <c r="D272" i="74" s="1"/>
  <c r="N273" i="74" a="1"/>
  <c r="N273" i="74" s="1"/>
  <c r="Q273" i="74" s="1"/>
  <c r="C273" i="74" s="1"/>
  <c r="O273" i="74" a="1"/>
  <c r="O273" i="74" s="1"/>
  <c r="H270" i="74"/>
  <c r="J270" i="74" s="1"/>
  <c r="P273" i="74" a="1"/>
  <c r="P273" i="74" s="1"/>
  <c r="M274" i="74" a="1"/>
  <c r="M274" i="74" s="1"/>
  <c r="A275" i="74"/>
  <c r="E272" i="74"/>
  <c r="G272" i="74"/>
  <c r="I272" i="74" s="1"/>
  <c r="F272" i="74"/>
  <c r="K272" i="74"/>
  <c r="L272" i="74"/>
  <c r="B272" i="74" l="1"/>
  <c r="S272" i="74"/>
  <c r="R273" i="74"/>
  <c r="D273" i="74" s="1"/>
  <c r="N274" i="74" a="1"/>
  <c r="N274" i="74" s="1"/>
  <c r="Q274" i="74" s="1"/>
  <c r="C274" i="74" s="1"/>
  <c r="O274" i="74" a="1"/>
  <c r="O274" i="74" s="1"/>
  <c r="H271" i="74"/>
  <c r="J271" i="74" s="1"/>
  <c r="P274" i="74" a="1"/>
  <c r="P274" i="74" s="1"/>
  <c r="M275" i="74" a="1"/>
  <c r="M275" i="74" s="1"/>
  <c r="A276" i="74"/>
  <c r="G273" i="74"/>
  <c r="E273" i="74"/>
  <c r="F273" i="74"/>
  <c r="L273" i="74"/>
  <c r="K273" i="74"/>
  <c r="B273" i="74" l="1"/>
  <c r="I273" i="74"/>
  <c r="S273" i="74"/>
  <c r="R274" i="74"/>
  <c r="D274" i="74" s="1"/>
  <c r="N275" i="74" a="1"/>
  <c r="N275" i="74" s="1"/>
  <c r="Q275" i="74" s="1"/>
  <c r="C275" i="74" s="1"/>
  <c r="O275" i="74" a="1"/>
  <c r="O275" i="74" s="1"/>
  <c r="H272" i="74"/>
  <c r="J272" i="74" s="1"/>
  <c r="P275" i="74" a="1"/>
  <c r="P275" i="74" s="1"/>
  <c r="M276" i="74" a="1"/>
  <c r="M276" i="74" s="1"/>
  <c r="A277" i="74"/>
  <c r="E274" i="74"/>
  <c r="F274" i="74"/>
  <c r="G274" i="74"/>
  <c r="I274" i="74" s="1"/>
  <c r="K274" i="74"/>
  <c r="L274" i="74"/>
  <c r="B274" i="74" l="1"/>
  <c r="S274" i="74"/>
  <c r="R275" i="74"/>
  <c r="D275" i="74" s="1"/>
  <c r="N276" i="74" a="1"/>
  <c r="N276" i="74" s="1"/>
  <c r="Q276" i="74" s="1"/>
  <c r="C276" i="74" s="1"/>
  <c r="O276" i="74" a="1"/>
  <c r="O276" i="74" s="1"/>
  <c r="P276" i="74" a="1"/>
  <c r="P276" i="74" s="1"/>
  <c r="M277" i="74" a="1"/>
  <c r="M277" i="74" s="1"/>
  <c r="H273" i="74"/>
  <c r="J273" i="74" s="1"/>
  <c r="A278" i="74"/>
  <c r="G275" i="74"/>
  <c r="F275" i="74"/>
  <c r="E275" i="74"/>
  <c r="K275" i="74"/>
  <c r="L275" i="74"/>
  <c r="B275" i="74" l="1"/>
  <c r="I275" i="74"/>
  <c r="S275" i="74"/>
  <c r="R276" i="74"/>
  <c r="D276" i="74" s="1"/>
  <c r="N277" i="74" a="1"/>
  <c r="N277" i="74" s="1"/>
  <c r="Q277" i="74" s="1"/>
  <c r="C277" i="74" s="1"/>
  <c r="O277" i="74" a="1"/>
  <c r="O277" i="74" s="1"/>
  <c r="H274" i="74"/>
  <c r="J274" i="74" s="1"/>
  <c r="P277" i="74" a="1"/>
  <c r="P277" i="74" s="1"/>
  <c r="M278" i="74" a="1"/>
  <c r="M278" i="74" s="1"/>
  <c r="A279" i="74"/>
  <c r="E276" i="74"/>
  <c r="F276" i="74"/>
  <c r="G276" i="74"/>
  <c r="K276" i="74"/>
  <c r="L276" i="74"/>
  <c r="B276" i="74" l="1"/>
  <c r="I276" i="74"/>
  <c r="S276" i="74"/>
  <c r="R277" i="74"/>
  <c r="D277" i="74" s="1"/>
  <c r="N278" i="74" a="1"/>
  <c r="N278" i="74" s="1"/>
  <c r="Q278" i="74" s="1"/>
  <c r="C278" i="74" s="1"/>
  <c r="O278" i="74" a="1"/>
  <c r="O278" i="74" s="1"/>
  <c r="H275" i="74"/>
  <c r="J275" i="74" s="1"/>
  <c r="P278" i="74" a="1"/>
  <c r="P278" i="74" s="1"/>
  <c r="M279" i="74" a="1"/>
  <c r="M279" i="74" s="1"/>
  <c r="A280" i="74"/>
  <c r="E277" i="74"/>
  <c r="F277" i="74"/>
  <c r="G277" i="74"/>
  <c r="L277" i="74"/>
  <c r="K277" i="74"/>
  <c r="B277" i="74" l="1"/>
  <c r="I277" i="74"/>
  <c r="S277" i="74"/>
  <c r="R278" i="74"/>
  <c r="D278" i="74" s="1"/>
  <c r="N279" i="74" a="1"/>
  <c r="N279" i="74" s="1"/>
  <c r="Q279" i="74" s="1"/>
  <c r="C279" i="74" s="1"/>
  <c r="O279" i="74" a="1"/>
  <c r="O279" i="74" s="1"/>
  <c r="P279" i="74" a="1"/>
  <c r="P279" i="74" s="1"/>
  <c r="M280" i="74" a="1"/>
  <c r="M280" i="74" s="1"/>
  <c r="H276" i="74"/>
  <c r="J276" i="74" s="1"/>
  <c r="A281" i="74"/>
  <c r="F278" i="74"/>
  <c r="G278" i="74"/>
  <c r="E278" i="74"/>
  <c r="K278" i="74"/>
  <c r="L278" i="74"/>
  <c r="B278" i="74" l="1"/>
  <c r="I278" i="74"/>
  <c r="S278" i="74"/>
  <c r="R279" i="74"/>
  <c r="D279" i="74" s="1"/>
  <c r="N280" i="74" a="1"/>
  <c r="N280" i="74" s="1"/>
  <c r="Q280" i="74" s="1"/>
  <c r="C280" i="74" s="1"/>
  <c r="O280" i="74" a="1"/>
  <c r="O280" i="74" s="1"/>
  <c r="P280" i="74" a="1"/>
  <c r="P280" i="74" s="1"/>
  <c r="H277" i="74"/>
  <c r="J277" i="74" s="1"/>
  <c r="M281" i="74" a="1"/>
  <c r="M281" i="74" s="1"/>
  <c r="A282" i="74"/>
  <c r="E279" i="74"/>
  <c r="F279" i="74"/>
  <c r="G279" i="74"/>
  <c r="L279" i="74"/>
  <c r="K279" i="74"/>
  <c r="B279" i="74" l="1"/>
  <c r="I279" i="74"/>
  <c r="S279" i="74"/>
  <c r="R280" i="74"/>
  <c r="D280" i="74" s="1"/>
  <c r="H278" i="74"/>
  <c r="J278" i="74" s="1"/>
  <c r="N281" i="74" a="1"/>
  <c r="N281" i="74" s="1"/>
  <c r="Q281" i="74" s="1"/>
  <c r="C281" i="74" s="1"/>
  <c r="O281" i="74" a="1"/>
  <c r="O281" i="74" s="1"/>
  <c r="P281" i="74" a="1"/>
  <c r="P281" i="74" s="1"/>
  <c r="M282" i="74" a="1"/>
  <c r="M282" i="74" s="1"/>
  <c r="A283" i="74"/>
  <c r="F280" i="74"/>
  <c r="G280" i="74"/>
  <c r="E280" i="74"/>
  <c r="K280" i="74"/>
  <c r="L280" i="74"/>
  <c r="B280" i="74" l="1"/>
  <c r="I280" i="74"/>
  <c r="S280" i="74"/>
  <c r="R281" i="74"/>
  <c r="D281" i="74" s="1"/>
  <c r="N282" i="74" a="1"/>
  <c r="N282" i="74" s="1"/>
  <c r="Q282" i="74" s="1"/>
  <c r="C282" i="74" s="1"/>
  <c r="O282" i="74" a="1"/>
  <c r="O282" i="74" s="1"/>
  <c r="P282" i="74" a="1"/>
  <c r="P282" i="74" s="1"/>
  <c r="M283" i="74" a="1"/>
  <c r="M283" i="74" s="1"/>
  <c r="H279" i="74"/>
  <c r="J279" i="74" s="1"/>
  <c r="A284" i="74"/>
  <c r="E281" i="74"/>
  <c r="F281" i="74"/>
  <c r="G281" i="74"/>
  <c r="L281" i="74"/>
  <c r="K281" i="74"/>
  <c r="B281" i="74" l="1"/>
  <c r="I281" i="74"/>
  <c r="S281" i="74"/>
  <c r="R282" i="74"/>
  <c r="D282" i="74" s="1"/>
  <c r="N283" i="74" a="1"/>
  <c r="N283" i="74" s="1"/>
  <c r="Q283" i="74" s="1"/>
  <c r="C283" i="74" s="1"/>
  <c r="O283" i="74" a="1"/>
  <c r="O283" i="74" s="1"/>
  <c r="H280" i="74"/>
  <c r="J280" i="74" s="1"/>
  <c r="P283" i="74" a="1"/>
  <c r="P283" i="74" s="1"/>
  <c r="M284" i="74" a="1"/>
  <c r="M284" i="74" s="1"/>
  <c r="A285" i="74"/>
  <c r="G282" i="74"/>
  <c r="E282" i="74"/>
  <c r="F282" i="74"/>
  <c r="K282" i="74"/>
  <c r="L282" i="74"/>
  <c r="B282" i="74" l="1"/>
  <c r="I282" i="74"/>
  <c r="S282" i="74"/>
  <c r="R283" i="74"/>
  <c r="D283" i="74" s="1"/>
  <c r="N284" i="74" a="1"/>
  <c r="N284" i="74" s="1"/>
  <c r="Q284" i="74" s="1"/>
  <c r="C284" i="74" s="1"/>
  <c r="O284" i="74" a="1"/>
  <c r="O284" i="74" s="1"/>
  <c r="H281" i="74"/>
  <c r="J281" i="74" s="1"/>
  <c r="P284" i="74" a="1"/>
  <c r="P284" i="74" s="1"/>
  <c r="M285" i="74" a="1"/>
  <c r="M285" i="74" s="1"/>
  <c r="A286" i="74"/>
  <c r="E283" i="74"/>
  <c r="F283" i="74"/>
  <c r="G283" i="74"/>
  <c r="K283" i="74"/>
  <c r="L283" i="74"/>
  <c r="B283" i="74" l="1"/>
  <c r="I283" i="74"/>
  <c r="S283" i="74"/>
  <c r="R284" i="74"/>
  <c r="D284" i="74" s="1"/>
  <c r="N285" i="74" a="1"/>
  <c r="N285" i="74" s="1"/>
  <c r="Q285" i="74" s="1"/>
  <c r="C285" i="74" s="1"/>
  <c r="O285" i="74" a="1"/>
  <c r="O285" i="74" s="1"/>
  <c r="H282" i="74"/>
  <c r="J282" i="74" s="1"/>
  <c r="P285" i="74" a="1"/>
  <c r="P285" i="74" s="1"/>
  <c r="M286" i="74" a="1"/>
  <c r="M286" i="74" s="1"/>
  <c r="A287" i="74"/>
  <c r="G284" i="74"/>
  <c r="E284" i="74"/>
  <c r="F284" i="74"/>
  <c r="K284" i="74"/>
  <c r="L284" i="74"/>
  <c r="B284" i="74" l="1"/>
  <c r="I284" i="74"/>
  <c r="S284" i="74"/>
  <c r="R285" i="74"/>
  <c r="D285" i="74" s="1"/>
  <c r="N286" i="74" a="1"/>
  <c r="N286" i="74" s="1"/>
  <c r="Q286" i="74" s="1"/>
  <c r="C286" i="74" s="1"/>
  <c r="O286" i="74" a="1"/>
  <c r="O286" i="74" s="1"/>
  <c r="P286" i="74" a="1"/>
  <c r="P286" i="74" s="1"/>
  <c r="M287" i="74" a="1"/>
  <c r="M287" i="74" s="1"/>
  <c r="H283" i="74"/>
  <c r="J283" i="74" s="1"/>
  <c r="A288" i="74"/>
  <c r="F285" i="74"/>
  <c r="G285" i="74"/>
  <c r="E285" i="74"/>
  <c r="L285" i="74"/>
  <c r="K285" i="74"/>
  <c r="B285" i="74" l="1"/>
  <c r="I285" i="74"/>
  <c r="S285" i="74"/>
  <c r="R286" i="74"/>
  <c r="D286" i="74" s="1"/>
  <c r="N287" i="74" a="1"/>
  <c r="N287" i="74" s="1"/>
  <c r="Q287" i="74" s="1"/>
  <c r="C287" i="74" s="1"/>
  <c r="O287" i="74" a="1"/>
  <c r="O287" i="74" s="1"/>
  <c r="P287" i="74" a="1"/>
  <c r="P287" i="74" s="1"/>
  <c r="M288" i="74" a="1"/>
  <c r="M288" i="74" s="1"/>
  <c r="H284" i="74"/>
  <c r="J284" i="74" s="1"/>
  <c r="A289" i="74"/>
  <c r="E286" i="74"/>
  <c r="G286" i="74"/>
  <c r="F286" i="74"/>
  <c r="K286" i="74"/>
  <c r="L286" i="74"/>
  <c r="B286" i="74" l="1"/>
  <c r="I286" i="74"/>
  <c r="S286" i="74"/>
  <c r="R287" i="74"/>
  <c r="D287" i="74" s="1"/>
  <c r="H285" i="74"/>
  <c r="J285" i="74" s="1"/>
  <c r="N288" i="74" a="1"/>
  <c r="N288" i="74" s="1"/>
  <c r="Q288" i="74" s="1"/>
  <c r="C288" i="74" s="1"/>
  <c r="O288" i="74" a="1"/>
  <c r="O288" i="74" s="1"/>
  <c r="P288" i="74" a="1"/>
  <c r="P288" i="74" s="1"/>
  <c r="M289" i="74" a="1"/>
  <c r="M289" i="74" s="1"/>
  <c r="A290" i="74"/>
  <c r="F287" i="74"/>
  <c r="G287" i="74"/>
  <c r="E287" i="74"/>
  <c r="L287" i="74"/>
  <c r="K287" i="74"/>
  <c r="B287" i="74" l="1"/>
  <c r="I287" i="74"/>
  <c r="S287" i="74"/>
  <c r="R288" i="74"/>
  <c r="D288" i="74" s="1"/>
  <c r="N289" i="74" a="1"/>
  <c r="N289" i="74" s="1"/>
  <c r="Q289" i="74" s="1"/>
  <c r="C289" i="74" s="1"/>
  <c r="O289" i="74" a="1"/>
  <c r="O289" i="74" s="1"/>
  <c r="H286" i="74"/>
  <c r="J286" i="74" s="1"/>
  <c r="P289" i="74" a="1"/>
  <c r="P289" i="74" s="1"/>
  <c r="M290" i="74" a="1"/>
  <c r="M290" i="74" s="1"/>
  <c r="A291" i="74"/>
  <c r="E288" i="74"/>
  <c r="F288" i="74"/>
  <c r="G288" i="74"/>
  <c r="K288" i="74"/>
  <c r="L288" i="74"/>
  <c r="B288" i="74" l="1"/>
  <c r="I288" i="74"/>
  <c r="S288" i="74"/>
  <c r="R289" i="74"/>
  <c r="D289" i="74" s="1"/>
  <c r="N290" i="74" a="1"/>
  <c r="N290" i="74" s="1"/>
  <c r="Q290" i="74" s="1"/>
  <c r="C290" i="74" s="1"/>
  <c r="O290" i="74" a="1"/>
  <c r="O290" i="74" s="1"/>
  <c r="H287" i="74"/>
  <c r="J287" i="74" s="1"/>
  <c r="P290" i="74" a="1"/>
  <c r="P290" i="74" s="1"/>
  <c r="M291" i="74" a="1"/>
  <c r="M291" i="74" s="1"/>
  <c r="A292" i="74"/>
  <c r="G289" i="74"/>
  <c r="F289" i="74"/>
  <c r="E289" i="74"/>
  <c r="L289" i="74"/>
  <c r="K289" i="74"/>
  <c r="B289" i="74" l="1"/>
  <c r="I289" i="74"/>
  <c r="S289" i="74"/>
  <c r="R290" i="74"/>
  <c r="D290" i="74" s="1"/>
  <c r="N291" i="74" a="1"/>
  <c r="N291" i="74" s="1"/>
  <c r="Q291" i="74" s="1"/>
  <c r="C291" i="74" s="1"/>
  <c r="O291" i="74" a="1"/>
  <c r="O291" i="74" s="1"/>
  <c r="P291" i="74" a="1"/>
  <c r="P291" i="74" s="1"/>
  <c r="M292" i="74" a="1"/>
  <c r="M292" i="74" s="1"/>
  <c r="H288" i="74"/>
  <c r="J288" i="74" s="1"/>
  <c r="A293" i="74"/>
  <c r="E290" i="74"/>
  <c r="F290" i="74"/>
  <c r="G290" i="74"/>
  <c r="K290" i="74"/>
  <c r="L290" i="74"/>
  <c r="B290" i="74" l="1"/>
  <c r="I290" i="74"/>
  <c r="S290" i="74"/>
  <c r="R291" i="74"/>
  <c r="D291" i="74" s="1"/>
  <c r="N292" i="74" a="1"/>
  <c r="N292" i="74" s="1"/>
  <c r="Q292" i="74" s="1"/>
  <c r="C292" i="74" s="1"/>
  <c r="O292" i="74" a="1"/>
  <c r="O292" i="74" s="1"/>
  <c r="P292" i="74" a="1"/>
  <c r="P292" i="74" s="1"/>
  <c r="H289" i="74"/>
  <c r="J289" i="74" s="1"/>
  <c r="M293" i="74" a="1"/>
  <c r="M293" i="74" s="1"/>
  <c r="A294" i="74"/>
  <c r="G291" i="74"/>
  <c r="E291" i="74"/>
  <c r="F291" i="74"/>
  <c r="K291" i="74"/>
  <c r="L291" i="74"/>
  <c r="B291" i="74" l="1"/>
  <c r="I291" i="74"/>
  <c r="S291" i="74"/>
  <c r="R292" i="74"/>
  <c r="D292" i="74" s="1"/>
  <c r="N293" i="74" a="1"/>
  <c r="N293" i="74" s="1"/>
  <c r="Q293" i="74" s="1"/>
  <c r="C293" i="74" s="1"/>
  <c r="O293" i="74" a="1"/>
  <c r="O293" i="74" s="1"/>
  <c r="P293" i="74" a="1"/>
  <c r="P293" i="74" s="1"/>
  <c r="M294" i="74" a="1"/>
  <c r="M294" i="74" s="1"/>
  <c r="H290" i="74"/>
  <c r="J290" i="74" s="1"/>
  <c r="A295" i="74"/>
  <c r="E292" i="74"/>
  <c r="F292" i="74"/>
  <c r="G292" i="74"/>
  <c r="K292" i="74"/>
  <c r="L292" i="74"/>
  <c r="B292" i="74" l="1"/>
  <c r="I292" i="74"/>
  <c r="S292" i="74"/>
  <c r="R293" i="74"/>
  <c r="D293" i="74" s="1"/>
  <c r="H291" i="74"/>
  <c r="J291" i="74" s="1"/>
  <c r="N294" i="74" a="1"/>
  <c r="N294" i="74" s="1"/>
  <c r="Q294" i="74" s="1"/>
  <c r="C294" i="74" s="1"/>
  <c r="O294" i="74" a="1"/>
  <c r="O294" i="74" s="1"/>
  <c r="P294" i="74" a="1"/>
  <c r="P294" i="74" s="1"/>
  <c r="M295" i="74" a="1"/>
  <c r="M295" i="74" s="1"/>
  <c r="A296" i="74"/>
  <c r="E293" i="74"/>
  <c r="F293" i="74"/>
  <c r="G293" i="74"/>
  <c r="L293" i="74"/>
  <c r="K293" i="74"/>
  <c r="B293" i="74" l="1"/>
  <c r="I293" i="74"/>
  <c r="S293" i="74"/>
  <c r="R294" i="74"/>
  <c r="D294" i="74" s="1"/>
  <c r="N295" i="74" a="1"/>
  <c r="N295" i="74" s="1"/>
  <c r="Q295" i="74" s="1"/>
  <c r="C295" i="74" s="1"/>
  <c r="O295" i="74" a="1"/>
  <c r="O295" i="74" s="1"/>
  <c r="P295" i="74" a="1"/>
  <c r="P295" i="74" s="1"/>
  <c r="M296" i="74" a="1"/>
  <c r="M296" i="74" s="1"/>
  <c r="H292" i="74"/>
  <c r="J292" i="74" s="1"/>
  <c r="A297" i="74"/>
  <c r="F294" i="74"/>
  <c r="G294" i="74"/>
  <c r="E294" i="74"/>
  <c r="K294" i="74"/>
  <c r="L294" i="74"/>
  <c r="B294" i="74" l="1"/>
  <c r="I294" i="74"/>
  <c r="S294" i="74"/>
  <c r="R295" i="74"/>
  <c r="D295" i="74" s="1"/>
  <c r="N296" i="74" a="1"/>
  <c r="N296" i="74" s="1"/>
  <c r="Q296" i="74" s="1"/>
  <c r="C296" i="74" s="1"/>
  <c r="O296" i="74" a="1"/>
  <c r="O296" i="74" s="1"/>
  <c r="P296" i="74" a="1"/>
  <c r="P296" i="74" s="1"/>
  <c r="H293" i="74"/>
  <c r="J293" i="74" s="1"/>
  <c r="M297" i="74" a="1"/>
  <c r="M297" i="74" s="1"/>
  <c r="A298" i="74"/>
  <c r="E295" i="74"/>
  <c r="F295" i="74"/>
  <c r="G295" i="74"/>
  <c r="L295" i="74"/>
  <c r="K295" i="74"/>
  <c r="B295" i="74" l="1"/>
  <c r="I295" i="74"/>
  <c r="S295" i="74"/>
  <c r="R296" i="74"/>
  <c r="D296" i="74" s="1"/>
  <c r="H294" i="74"/>
  <c r="J294" i="74" s="1"/>
  <c r="N297" i="74" a="1"/>
  <c r="N297" i="74" s="1"/>
  <c r="Q297" i="74" s="1"/>
  <c r="C297" i="74" s="1"/>
  <c r="O297" i="74" a="1"/>
  <c r="O297" i="74" s="1"/>
  <c r="P297" i="74" a="1"/>
  <c r="P297" i="74" s="1"/>
  <c r="M298" i="74" a="1"/>
  <c r="M298" i="74" s="1"/>
  <c r="A299" i="74"/>
  <c r="F296" i="74"/>
  <c r="G296" i="74"/>
  <c r="E296" i="74"/>
  <c r="K296" i="74"/>
  <c r="L296" i="74"/>
  <c r="B296" i="74" l="1"/>
  <c r="I296" i="74"/>
  <c r="S296" i="74"/>
  <c r="R297" i="74"/>
  <c r="D297" i="74" s="1"/>
  <c r="N298" i="74" a="1"/>
  <c r="N298" i="74" s="1"/>
  <c r="Q298" i="74" s="1"/>
  <c r="C298" i="74" s="1"/>
  <c r="O298" i="74" a="1"/>
  <c r="O298" i="74" s="1"/>
  <c r="P298" i="74" a="1"/>
  <c r="P298" i="74" s="1"/>
  <c r="M299" i="74" a="1"/>
  <c r="M299" i="74" s="1"/>
  <c r="H295" i="74"/>
  <c r="J295" i="74" s="1"/>
  <c r="A300" i="74"/>
  <c r="E297" i="74"/>
  <c r="F297" i="74"/>
  <c r="G297" i="74"/>
  <c r="L297" i="74"/>
  <c r="K297" i="74"/>
  <c r="B297" i="74" l="1"/>
  <c r="I297" i="74"/>
  <c r="S297" i="74"/>
  <c r="R298" i="74"/>
  <c r="D298" i="74" s="1"/>
  <c r="N299" i="74" a="1"/>
  <c r="N299" i="74" s="1"/>
  <c r="Q299" i="74" s="1"/>
  <c r="C299" i="74" s="1"/>
  <c r="O299" i="74" a="1"/>
  <c r="O299" i="74" s="1"/>
  <c r="H296" i="74"/>
  <c r="J296" i="74" s="1"/>
  <c r="P299" i="74" a="1"/>
  <c r="P299" i="74" s="1"/>
  <c r="M300" i="74" a="1"/>
  <c r="M300" i="74" s="1"/>
  <c r="A301" i="74"/>
  <c r="G298" i="74"/>
  <c r="E298" i="74"/>
  <c r="F298" i="74"/>
  <c r="K298" i="74"/>
  <c r="L298" i="74"/>
  <c r="I298" i="74" l="1"/>
  <c r="B298" i="74"/>
  <c r="S298" i="74"/>
  <c r="R299" i="74"/>
  <c r="D299" i="74" s="1"/>
  <c r="N300" i="74" a="1"/>
  <c r="N300" i="74" s="1"/>
  <c r="Q300" i="74" s="1"/>
  <c r="C300" i="74" s="1"/>
  <c r="O300" i="74" a="1"/>
  <c r="O300" i="74" s="1"/>
  <c r="P300" i="74" a="1"/>
  <c r="P300" i="74" s="1"/>
  <c r="M301" i="74" a="1"/>
  <c r="M301" i="74" s="1"/>
  <c r="H297" i="74"/>
  <c r="J297" i="74" s="1"/>
  <c r="A302" i="74"/>
  <c r="E299" i="74"/>
  <c r="F299" i="74"/>
  <c r="G299" i="74"/>
  <c r="K299" i="74"/>
  <c r="L299" i="74"/>
  <c r="B299" i="74" l="1"/>
  <c r="I299" i="74"/>
  <c r="S299" i="74"/>
  <c r="R300" i="74"/>
  <c r="D300" i="74" s="1"/>
  <c r="N301" i="74" a="1"/>
  <c r="N301" i="74" s="1"/>
  <c r="Q301" i="74" s="1"/>
  <c r="C301" i="74" s="1"/>
  <c r="O301" i="74" a="1"/>
  <c r="O301" i="74" s="1"/>
  <c r="P301" i="74" a="1"/>
  <c r="P301" i="74" s="1"/>
  <c r="M302" i="74" a="1"/>
  <c r="M302" i="74" s="1"/>
  <c r="H298" i="74"/>
  <c r="J298" i="74" s="1"/>
  <c r="A303" i="74"/>
  <c r="G300" i="74"/>
  <c r="I300" i="74" s="1"/>
  <c r="F300" i="74"/>
  <c r="E300" i="74"/>
  <c r="K300" i="74"/>
  <c r="L300" i="74"/>
  <c r="B300" i="74" l="1"/>
  <c r="S300" i="74"/>
  <c r="R301" i="74"/>
  <c r="D301" i="74" s="1"/>
  <c r="N302" i="74" a="1"/>
  <c r="N302" i="74" s="1"/>
  <c r="Q302" i="74" s="1"/>
  <c r="C302" i="74" s="1"/>
  <c r="O302" i="74" a="1"/>
  <c r="O302" i="74" s="1"/>
  <c r="P302" i="74" a="1"/>
  <c r="P302" i="74" s="1"/>
  <c r="H299" i="74"/>
  <c r="J299" i="74" s="1"/>
  <c r="M303" i="74" a="1"/>
  <c r="M303" i="74" s="1"/>
  <c r="A304" i="74"/>
  <c r="F301" i="74"/>
  <c r="G301" i="74"/>
  <c r="E301" i="74"/>
  <c r="L301" i="74"/>
  <c r="K301" i="74"/>
  <c r="B301" i="74" l="1"/>
  <c r="I301" i="74"/>
  <c r="S301" i="74"/>
  <c r="R302" i="74"/>
  <c r="D302" i="74" s="1"/>
  <c r="H300" i="74"/>
  <c r="J300" i="74" s="1"/>
  <c r="N303" i="74" a="1"/>
  <c r="N303" i="74" s="1"/>
  <c r="Q303" i="74" s="1"/>
  <c r="C303" i="74" s="1"/>
  <c r="O303" i="74" a="1"/>
  <c r="O303" i="74" s="1"/>
  <c r="P303" i="74" a="1"/>
  <c r="P303" i="74" s="1"/>
  <c r="M304" i="74" a="1"/>
  <c r="M304" i="74" s="1"/>
  <c r="A305" i="74"/>
  <c r="E302" i="74"/>
  <c r="F302" i="74"/>
  <c r="G302" i="74"/>
  <c r="K302" i="74"/>
  <c r="L302" i="74"/>
  <c r="I302" i="74" l="1"/>
  <c r="B302" i="74"/>
  <c r="S302" i="74"/>
  <c r="R303" i="74"/>
  <c r="D303" i="74" s="1"/>
  <c r="N304" i="74" a="1"/>
  <c r="N304" i="74" s="1"/>
  <c r="Q304" i="74" s="1"/>
  <c r="C304" i="74" s="1"/>
  <c r="O304" i="74" a="1"/>
  <c r="O304" i="74" s="1"/>
  <c r="H301" i="74"/>
  <c r="J301" i="74" s="1"/>
  <c r="P304" i="74" a="1"/>
  <c r="P304" i="74" s="1"/>
  <c r="M305" i="74" a="1"/>
  <c r="M305" i="74" s="1"/>
  <c r="A306" i="74"/>
  <c r="F303" i="74"/>
  <c r="G303" i="74"/>
  <c r="E303" i="74"/>
  <c r="L303" i="74"/>
  <c r="K303" i="74"/>
  <c r="B303" i="74" l="1"/>
  <c r="I303" i="74"/>
  <c r="S303" i="74"/>
  <c r="R304" i="74"/>
  <c r="D304" i="74" s="1"/>
  <c r="H302" i="74"/>
  <c r="J302" i="74" s="1"/>
  <c r="N305" i="74" a="1"/>
  <c r="N305" i="74" s="1"/>
  <c r="Q305" i="74" s="1"/>
  <c r="C305" i="74" s="1"/>
  <c r="O305" i="74" a="1"/>
  <c r="O305" i="74" s="1"/>
  <c r="P305" i="74" a="1"/>
  <c r="P305" i="74" s="1"/>
  <c r="M306" i="74" a="1"/>
  <c r="M306" i="74" s="1"/>
  <c r="A307" i="74"/>
  <c r="E304" i="74"/>
  <c r="F304" i="74"/>
  <c r="G304" i="74"/>
  <c r="I304" i="74" s="1"/>
  <c r="K304" i="74"/>
  <c r="L304" i="74"/>
  <c r="B304" i="74" l="1"/>
  <c r="S304" i="74"/>
  <c r="R305" i="74"/>
  <c r="D305" i="74" s="1"/>
  <c r="N306" i="74" a="1"/>
  <c r="N306" i="74" s="1"/>
  <c r="Q306" i="74" s="1"/>
  <c r="C306" i="74" s="1"/>
  <c r="O306" i="74" a="1"/>
  <c r="O306" i="74" s="1"/>
  <c r="H303" i="74"/>
  <c r="J303" i="74" s="1"/>
  <c r="P306" i="74" a="1"/>
  <c r="P306" i="74" s="1"/>
  <c r="M307" i="74" a="1"/>
  <c r="M307" i="74" s="1"/>
  <c r="A308" i="74"/>
  <c r="G305" i="74"/>
  <c r="E305" i="74"/>
  <c r="F305" i="74"/>
  <c r="L305" i="74"/>
  <c r="K305" i="74"/>
  <c r="B305" i="74" l="1"/>
  <c r="I305" i="74"/>
  <c r="S305" i="74"/>
  <c r="R306" i="74"/>
  <c r="D306" i="74" s="1"/>
  <c r="N307" i="74" a="1"/>
  <c r="N307" i="74" s="1"/>
  <c r="Q307" i="74" s="1"/>
  <c r="C307" i="74" s="1"/>
  <c r="O307" i="74" a="1"/>
  <c r="O307" i="74" s="1"/>
  <c r="H304" i="74"/>
  <c r="J304" i="74" s="1"/>
  <c r="P307" i="74" a="1"/>
  <c r="P307" i="74" s="1"/>
  <c r="M308" i="74" a="1"/>
  <c r="M308" i="74" s="1"/>
  <c r="A309" i="74"/>
  <c r="E306" i="74"/>
  <c r="F306" i="74"/>
  <c r="G306" i="74"/>
  <c r="I306" i="74" s="1"/>
  <c r="K306" i="74"/>
  <c r="L306" i="74"/>
  <c r="B306" i="74" l="1"/>
  <c r="S306" i="74"/>
  <c r="R307" i="74"/>
  <c r="D307" i="74" s="1"/>
  <c r="H305" i="74"/>
  <c r="J305" i="74" s="1"/>
  <c r="N308" i="74" a="1"/>
  <c r="N308" i="74" s="1"/>
  <c r="Q308" i="74" s="1"/>
  <c r="C308" i="74" s="1"/>
  <c r="O308" i="74" a="1"/>
  <c r="O308" i="74" s="1"/>
  <c r="P308" i="74" a="1"/>
  <c r="P308" i="74" s="1"/>
  <c r="M309" i="74" a="1"/>
  <c r="M309" i="74" s="1"/>
  <c r="A310" i="74"/>
  <c r="G307" i="74"/>
  <c r="E307" i="74"/>
  <c r="F307" i="74"/>
  <c r="K307" i="74"/>
  <c r="L307" i="74"/>
  <c r="B307" i="74" l="1"/>
  <c r="I307" i="74"/>
  <c r="S307" i="74"/>
  <c r="R308" i="74"/>
  <c r="D308" i="74" s="1"/>
  <c r="N309" i="74" a="1"/>
  <c r="N309" i="74" s="1"/>
  <c r="Q309" i="74" s="1"/>
  <c r="C309" i="74" s="1"/>
  <c r="O309" i="74" a="1"/>
  <c r="O309" i="74" s="1"/>
  <c r="H306" i="74"/>
  <c r="J306" i="74" s="1"/>
  <c r="P309" i="74" a="1"/>
  <c r="P309" i="74" s="1"/>
  <c r="M310" i="74" a="1"/>
  <c r="M310" i="74" s="1"/>
  <c r="A311" i="74"/>
  <c r="E308" i="74"/>
  <c r="F308" i="74"/>
  <c r="G308" i="74"/>
  <c r="K308" i="74"/>
  <c r="L308" i="74"/>
  <c r="B308" i="74" l="1"/>
  <c r="I308" i="74"/>
  <c r="S308" i="74"/>
  <c r="R309" i="74"/>
  <c r="D309" i="74" s="1"/>
  <c r="N310" i="74" a="1"/>
  <c r="N310" i="74" s="1"/>
  <c r="Q310" i="74" s="1"/>
  <c r="C310" i="74" s="1"/>
  <c r="O310" i="74" a="1"/>
  <c r="O310" i="74" s="1"/>
  <c r="P310" i="74" a="1"/>
  <c r="P310" i="74" s="1"/>
  <c r="M311" i="74" a="1"/>
  <c r="M311" i="74" s="1"/>
  <c r="H307" i="74"/>
  <c r="J307" i="74" s="1"/>
  <c r="A312" i="74"/>
  <c r="E309" i="74"/>
  <c r="F309" i="74"/>
  <c r="G309" i="74"/>
  <c r="L309" i="74"/>
  <c r="K309" i="74"/>
  <c r="B309" i="74" l="1"/>
  <c r="I309" i="74"/>
  <c r="S309" i="74"/>
  <c r="R310" i="74"/>
  <c r="D310" i="74" s="1"/>
  <c r="N311" i="74" a="1"/>
  <c r="N311" i="74" s="1"/>
  <c r="Q311" i="74" s="1"/>
  <c r="C311" i="74" s="1"/>
  <c r="O311" i="74" a="1"/>
  <c r="O311" i="74" s="1"/>
  <c r="P311" i="74" a="1"/>
  <c r="P311" i="74" s="1"/>
  <c r="M312" i="74" a="1"/>
  <c r="M312" i="74" s="1"/>
  <c r="H308" i="74"/>
  <c r="J308" i="74" s="1"/>
  <c r="A313" i="74"/>
  <c r="F310" i="74"/>
  <c r="G310" i="74"/>
  <c r="E310" i="74"/>
  <c r="K310" i="74"/>
  <c r="L310" i="74"/>
  <c r="B310" i="74" l="1"/>
  <c r="I310" i="74"/>
  <c r="S310" i="74"/>
  <c r="R311" i="74"/>
  <c r="D311" i="74" s="1"/>
  <c r="N312" i="74" a="1"/>
  <c r="N312" i="74" s="1"/>
  <c r="Q312" i="74" s="1"/>
  <c r="C312" i="74" s="1"/>
  <c r="O312" i="74" a="1"/>
  <c r="O312" i="74" s="1"/>
  <c r="P312" i="74" a="1"/>
  <c r="P312" i="74" s="1"/>
  <c r="M313" i="74" a="1"/>
  <c r="M313" i="74" s="1"/>
  <c r="H309" i="74"/>
  <c r="J309" i="74" s="1"/>
  <c r="A314" i="74"/>
  <c r="E311" i="74"/>
  <c r="G311" i="74"/>
  <c r="F311" i="74"/>
  <c r="L311" i="74"/>
  <c r="K311" i="74"/>
  <c r="B311" i="74" l="1"/>
  <c r="I311" i="74"/>
  <c r="S311" i="74"/>
  <c r="R312" i="74"/>
  <c r="D312" i="74" s="1"/>
  <c r="N313" i="74" a="1"/>
  <c r="N313" i="74" s="1"/>
  <c r="Q313" i="74" s="1"/>
  <c r="C313" i="74" s="1"/>
  <c r="O313" i="74" a="1"/>
  <c r="O313" i="74" s="1"/>
  <c r="H310" i="74"/>
  <c r="J310" i="74" s="1"/>
  <c r="P313" i="74" a="1"/>
  <c r="P313" i="74" s="1"/>
  <c r="M314" i="74" a="1"/>
  <c r="M314" i="74" s="1"/>
  <c r="A315" i="74"/>
  <c r="F312" i="74"/>
  <c r="G312" i="74"/>
  <c r="E312" i="74"/>
  <c r="K312" i="74"/>
  <c r="L312" i="74"/>
  <c r="B312" i="74" l="1"/>
  <c r="I312" i="74"/>
  <c r="S312" i="74"/>
  <c r="R313" i="74"/>
  <c r="D313" i="74" s="1"/>
  <c r="H311" i="74"/>
  <c r="J311" i="74" s="1"/>
  <c r="N314" i="74" a="1"/>
  <c r="N314" i="74" s="1"/>
  <c r="Q314" i="74" s="1"/>
  <c r="C314" i="74" s="1"/>
  <c r="O314" i="74" a="1"/>
  <c r="O314" i="74" s="1"/>
  <c r="P314" i="74" a="1"/>
  <c r="P314" i="74" s="1"/>
  <c r="M315" i="74" a="1"/>
  <c r="M315" i="74" s="1"/>
  <c r="A316" i="74"/>
  <c r="E313" i="74"/>
  <c r="F313" i="74"/>
  <c r="G313" i="74"/>
  <c r="L313" i="74"/>
  <c r="K313" i="74"/>
  <c r="B313" i="74" l="1"/>
  <c r="I313" i="74"/>
  <c r="S313" i="74"/>
  <c r="R314" i="74"/>
  <c r="D314" i="74" s="1"/>
  <c r="N315" i="74" a="1"/>
  <c r="N315" i="74" s="1"/>
  <c r="Q315" i="74" s="1"/>
  <c r="C315" i="74" s="1"/>
  <c r="O315" i="74" a="1"/>
  <c r="O315" i="74" s="1"/>
  <c r="P315" i="74" a="1"/>
  <c r="P315" i="74" s="1"/>
  <c r="M316" i="74" a="1"/>
  <c r="M316" i="74" s="1"/>
  <c r="H312" i="74"/>
  <c r="J312" i="74" s="1"/>
  <c r="A317" i="74"/>
  <c r="G314" i="74"/>
  <c r="F314" i="74"/>
  <c r="E314" i="74"/>
  <c r="K314" i="74"/>
  <c r="L314" i="74"/>
  <c r="B314" i="74" l="1"/>
  <c r="I314" i="74"/>
  <c r="S314" i="74"/>
  <c r="R315" i="74"/>
  <c r="D315" i="74" s="1"/>
  <c r="N316" i="74" a="1"/>
  <c r="N316" i="74" s="1"/>
  <c r="Q316" i="74" s="1"/>
  <c r="C316" i="74" s="1"/>
  <c r="O316" i="74" a="1"/>
  <c r="O316" i="74" s="1"/>
  <c r="P316" i="74" a="1"/>
  <c r="P316" i="74" s="1"/>
  <c r="M317" i="74" a="1"/>
  <c r="M317" i="74" s="1"/>
  <c r="H313" i="74"/>
  <c r="J313" i="74" s="1"/>
  <c r="A318" i="74"/>
  <c r="E315" i="74"/>
  <c r="F315" i="74"/>
  <c r="G315" i="74"/>
  <c r="K315" i="74"/>
  <c r="L315" i="74"/>
  <c r="B315" i="74" l="1"/>
  <c r="I315" i="74"/>
  <c r="S315" i="74"/>
  <c r="R316" i="74"/>
  <c r="D316" i="74" s="1"/>
  <c r="N317" i="74" a="1"/>
  <c r="N317" i="74" s="1"/>
  <c r="Q317" i="74" s="1"/>
  <c r="C317" i="74" s="1"/>
  <c r="O317" i="74" a="1"/>
  <c r="O317" i="74" s="1"/>
  <c r="P317" i="74" a="1"/>
  <c r="P317" i="74" s="1"/>
  <c r="M318" i="74" a="1"/>
  <c r="M318" i="74" s="1"/>
  <c r="H314" i="74"/>
  <c r="J314" i="74" s="1"/>
  <c r="A319" i="74"/>
  <c r="G316" i="74"/>
  <c r="E316" i="74"/>
  <c r="F316" i="74"/>
  <c r="K316" i="74"/>
  <c r="L316" i="74"/>
  <c r="B316" i="74" l="1"/>
  <c r="I316" i="74"/>
  <c r="S316" i="74"/>
  <c r="R317" i="74"/>
  <c r="D317" i="74" s="1"/>
  <c r="H315" i="74"/>
  <c r="J315" i="74" s="1"/>
  <c r="N318" i="74" a="1"/>
  <c r="N318" i="74" s="1"/>
  <c r="Q318" i="74" s="1"/>
  <c r="C318" i="74" s="1"/>
  <c r="O318" i="74" a="1"/>
  <c r="O318" i="74" s="1"/>
  <c r="P318" i="74" a="1"/>
  <c r="P318" i="74" s="1"/>
  <c r="M319" i="74" a="1"/>
  <c r="M319" i="74" s="1"/>
  <c r="A320" i="74"/>
  <c r="F317" i="74"/>
  <c r="G317" i="74"/>
  <c r="E317" i="74"/>
  <c r="L317" i="74"/>
  <c r="K317" i="74"/>
  <c r="B317" i="74" l="1"/>
  <c r="I317" i="74"/>
  <c r="S317" i="74"/>
  <c r="R318" i="74"/>
  <c r="D318" i="74" s="1"/>
  <c r="N319" i="74" a="1"/>
  <c r="N319" i="74" s="1"/>
  <c r="Q319" i="74" s="1"/>
  <c r="C319" i="74" s="1"/>
  <c r="O319" i="74" a="1"/>
  <c r="O319" i="74" s="1"/>
  <c r="P319" i="74" a="1"/>
  <c r="P319" i="74" s="1"/>
  <c r="M320" i="74" a="1"/>
  <c r="M320" i="74" s="1"/>
  <c r="H316" i="74"/>
  <c r="J316" i="74" s="1"/>
  <c r="A321" i="74"/>
  <c r="E318" i="74"/>
  <c r="F318" i="74"/>
  <c r="G318" i="74"/>
  <c r="K318" i="74"/>
  <c r="L318" i="74"/>
  <c r="B318" i="74" l="1"/>
  <c r="I318" i="74"/>
  <c r="S318" i="74"/>
  <c r="R319" i="74"/>
  <c r="D319" i="74" s="1"/>
  <c r="N320" i="74" a="1"/>
  <c r="N320" i="74" s="1"/>
  <c r="Q320" i="74" s="1"/>
  <c r="C320" i="74" s="1"/>
  <c r="O320" i="74" a="1"/>
  <c r="O320" i="74" s="1"/>
  <c r="H317" i="74"/>
  <c r="J317" i="74" s="1"/>
  <c r="P320" i="74" a="1"/>
  <c r="P320" i="74" s="1"/>
  <c r="M321" i="74" a="1"/>
  <c r="M321" i="74" s="1"/>
  <c r="A322" i="74"/>
  <c r="F319" i="74"/>
  <c r="G319" i="74"/>
  <c r="E319" i="74"/>
  <c r="L319" i="74"/>
  <c r="K319" i="74"/>
  <c r="B319" i="74" l="1"/>
  <c r="I319" i="74"/>
  <c r="S319" i="74"/>
  <c r="R320" i="74"/>
  <c r="D320" i="74" s="1"/>
  <c r="N321" i="74" a="1"/>
  <c r="N321" i="74" s="1"/>
  <c r="Q321" i="74" s="1"/>
  <c r="C321" i="74" s="1"/>
  <c r="O321" i="74" a="1"/>
  <c r="O321" i="74" s="1"/>
  <c r="H318" i="74"/>
  <c r="J318" i="74" s="1"/>
  <c r="P321" i="74" a="1"/>
  <c r="P321" i="74" s="1"/>
  <c r="M322" i="74" a="1"/>
  <c r="M322" i="74" s="1"/>
  <c r="A323" i="74"/>
  <c r="E320" i="74"/>
  <c r="F320" i="74"/>
  <c r="G320" i="74"/>
  <c r="K320" i="74"/>
  <c r="L320" i="74"/>
  <c r="B320" i="74" l="1"/>
  <c r="I320" i="74"/>
  <c r="S320" i="74"/>
  <c r="R321" i="74"/>
  <c r="D321" i="74" s="1"/>
  <c r="N322" i="74" a="1"/>
  <c r="N322" i="74" s="1"/>
  <c r="Q322" i="74" s="1"/>
  <c r="C322" i="74" s="1"/>
  <c r="O322" i="74" a="1"/>
  <c r="O322" i="74" s="1"/>
  <c r="H319" i="74"/>
  <c r="J319" i="74" s="1"/>
  <c r="P322" i="74" a="1"/>
  <c r="P322" i="74" s="1"/>
  <c r="M323" i="74" a="1"/>
  <c r="M323" i="74" s="1"/>
  <c r="A324" i="74"/>
  <c r="G321" i="74"/>
  <c r="E321" i="74"/>
  <c r="F321" i="74"/>
  <c r="L321" i="74"/>
  <c r="K321" i="74"/>
  <c r="B321" i="74" l="1"/>
  <c r="I321" i="74"/>
  <c r="S321" i="74"/>
  <c r="R322" i="74"/>
  <c r="D322" i="74" s="1"/>
  <c r="N323" i="74" a="1"/>
  <c r="N323" i="74" s="1"/>
  <c r="Q323" i="74" s="1"/>
  <c r="C323" i="74" s="1"/>
  <c r="O323" i="74" a="1"/>
  <c r="O323" i="74" s="1"/>
  <c r="P323" i="74" a="1"/>
  <c r="P323" i="74" s="1"/>
  <c r="M324" i="74" a="1"/>
  <c r="M324" i="74" s="1"/>
  <c r="H320" i="74"/>
  <c r="J320" i="74" s="1"/>
  <c r="A325" i="74"/>
  <c r="E322" i="74"/>
  <c r="F322" i="74"/>
  <c r="G322" i="74"/>
  <c r="K322" i="74"/>
  <c r="L322" i="74"/>
  <c r="B322" i="74" l="1"/>
  <c r="I322" i="74"/>
  <c r="S322" i="74"/>
  <c r="R323" i="74"/>
  <c r="D323" i="74" s="1"/>
  <c r="H321" i="74"/>
  <c r="J321" i="74" s="1"/>
  <c r="N324" i="74" a="1"/>
  <c r="N324" i="74" s="1"/>
  <c r="Q324" i="74" s="1"/>
  <c r="C324" i="74" s="1"/>
  <c r="O324" i="74" a="1"/>
  <c r="O324" i="74" s="1"/>
  <c r="P324" i="74" a="1"/>
  <c r="P324" i="74" s="1"/>
  <c r="M325" i="74" a="1"/>
  <c r="M325" i="74" s="1"/>
  <c r="A326" i="74"/>
  <c r="G323" i="74"/>
  <c r="E323" i="74"/>
  <c r="F323" i="74"/>
  <c r="K323" i="74"/>
  <c r="L323" i="74"/>
  <c r="B323" i="74" l="1"/>
  <c r="I323" i="74"/>
  <c r="S323" i="74"/>
  <c r="R324" i="74"/>
  <c r="D324" i="74" s="1"/>
  <c r="N325" i="74" a="1"/>
  <c r="N325" i="74" s="1"/>
  <c r="Q325" i="74" s="1"/>
  <c r="C325" i="74" s="1"/>
  <c r="O325" i="74" a="1"/>
  <c r="O325" i="74" s="1"/>
  <c r="H322" i="74"/>
  <c r="J322" i="74" s="1"/>
  <c r="P325" i="74" a="1"/>
  <c r="P325" i="74" s="1"/>
  <c r="M326" i="74" a="1"/>
  <c r="M326" i="74" s="1"/>
  <c r="A327" i="74"/>
  <c r="E324" i="74"/>
  <c r="F324" i="74"/>
  <c r="G324" i="74"/>
  <c r="K324" i="74"/>
  <c r="L324" i="74"/>
  <c r="B324" i="74" l="1"/>
  <c r="I324" i="74"/>
  <c r="S324" i="74"/>
  <c r="R325" i="74"/>
  <c r="D325" i="74" s="1"/>
  <c r="N326" i="74" a="1"/>
  <c r="N326" i="74" s="1"/>
  <c r="Q326" i="74" s="1"/>
  <c r="C326" i="74" s="1"/>
  <c r="O326" i="74" a="1"/>
  <c r="O326" i="74" s="1"/>
  <c r="P326" i="74" a="1"/>
  <c r="P326" i="74" s="1"/>
  <c r="M327" i="74" a="1"/>
  <c r="M327" i="74" s="1"/>
  <c r="H323" i="74"/>
  <c r="J323" i="74" s="1"/>
  <c r="A328" i="74"/>
  <c r="E325" i="74"/>
  <c r="G325" i="74"/>
  <c r="F325" i="74"/>
  <c r="L325" i="74"/>
  <c r="K325" i="74"/>
  <c r="B325" i="74" l="1"/>
  <c r="I325" i="74"/>
  <c r="S325" i="74"/>
  <c r="R326" i="74"/>
  <c r="D326" i="74" s="1"/>
  <c r="N327" i="74" a="1"/>
  <c r="N327" i="74" s="1"/>
  <c r="Q327" i="74" s="1"/>
  <c r="C327" i="74" s="1"/>
  <c r="O327" i="74" a="1"/>
  <c r="O327" i="74" s="1"/>
  <c r="P327" i="74" a="1"/>
  <c r="P327" i="74" s="1"/>
  <c r="M328" i="74" a="1"/>
  <c r="M328" i="74" s="1"/>
  <c r="H324" i="74"/>
  <c r="J324" i="74" s="1"/>
  <c r="A329" i="74"/>
  <c r="F326" i="74"/>
  <c r="G326" i="74"/>
  <c r="E326" i="74"/>
  <c r="L326" i="74"/>
  <c r="K326" i="74"/>
  <c r="B326" i="74" l="1"/>
  <c r="I326" i="74"/>
  <c r="S326" i="74"/>
  <c r="R327" i="74"/>
  <c r="D327" i="74" s="1"/>
  <c r="N328" i="74" a="1"/>
  <c r="N328" i="74" s="1"/>
  <c r="Q328" i="74" s="1"/>
  <c r="C328" i="74" s="1"/>
  <c r="O328" i="74" a="1"/>
  <c r="O328" i="74" s="1"/>
  <c r="P328" i="74" a="1"/>
  <c r="P328" i="74" s="1"/>
  <c r="H325" i="74"/>
  <c r="J325" i="74" s="1"/>
  <c r="M329" i="74" a="1"/>
  <c r="M329" i="74" s="1"/>
  <c r="A330" i="74"/>
  <c r="E327" i="74"/>
  <c r="F327" i="74"/>
  <c r="G327" i="74"/>
  <c r="L327" i="74"/>
  <c r="K327" i="74"/>
  <c r="B327" i="74" l="1"/>
  <c r="I327" i="74"/>
  <c r="S327" i="74"/>
  <c r="R328" i="74"/>
  <c r="D328" i="74" s="1"/>
  <c r="H326" i="74"/>
  <c r="J326" i="74" s="1"/>
  <c r="N329" i="74" a="1"/>
  <c r="N329" i="74" s="1"/>
  <c r="Q329" i="74" s="1"/>
  <c r="C329" i="74" s="1"/>
  <c r="O329" i="74" a="1"/>
  <c r="O329" i="74" s="1"/>
  <c r="P329" i="74" a="1"/>
  <c r="P329" i="74" s="1"/>
  <c r="M330" i="74" a="1"/>
  <c r="M330" i="74" s="1"/>
  <c r="A331" i="74"/>
  <c r="F328" i="74"/>
  <c r="G328" i="74"/>
  <c r="E328" i="74"/>
  <c r="L328" i="74"/>
  <c r="K328" i="74"/>
  <c r="B328" i="74" l="1"/>
  <c r="I328" i="74"/>
  <c r="S328" i="74"/>
  <c r="R329" i="74"/>
  <c r="D329" i="74" s="1"/>
  <c r="N330" i="74" a="1"/>
  <c r="N330" i="74" s="1"/>
  <c r="Q330" i="74" s="1"/>
  <c r="C330" i="74" s="1"/>
  <c r="O330" i="74" a="1"/>
  <c r="O330" i="74" s="1"/>
  <c r="P330" i="74" a="1"/>
  <c r="P330" i="74" s="1"/>
  <c r="M331" i="74" a="1"/>
  <c r="M331" i="74" s="1"/>
  <c r="H327" i="74"/>
  <c r="J327" i="74" s="1"/>
  <c r="A332" i="74"/>
  <c r="E329" i="74"/>
  <c r="F329" i="74"/>
  <c r="G329" i="74"/>
  <c r="L329" i="74"/>
  <c r="K329" i="74"/>
  <c r="I329" i="74" l="1"/>
  <c r="B329" i="74"/>
  <c r="S329" i="74"/>
  <c r="R330" i="74"/>
  <c r="D330" i="74" s="1"/>
  <c r="N331" i="74" a="1"/>
  <c r="N331" i="74" s="1"/>
  <c r="Q331" i="74" s="1"/>
  <c r="C331" i="74" s="1"/>
  <c r="O331" i="74" a="1"/>
  <c r="O331" i="74" s="1"/>
  <c r="P331" i="74" a="1"/>
  <c r="P331" i="74" s="1"/>
  <c r="H328" i="74"/>
  <c r="J328" i="74" s="1"/>
  <c r="M332" i="74" a="1"/>
  <c r="M332" i="74" s="1"/>
  <c r="A333" i="74"/>
  <c r="G330" i="74"/>
  <c r="E330" i="74"/>
  <c r="F330" i="74"/>
  <c r="L330" i="74"/>
  <c r="K330" i="74"/>
  <c r="B330" i="74" l="1"/>
  <c r="I330" i="74"/>
  <c r="S330" i="74"/>
  <c r="R331" i="74"/>
  <c r="D331" i="74" s="1"/>
  <c r="H329" i="74"/>
  <c r="J329" i="74" s="1"/>
  <c r="N332" i="74" a="1"/>
  <c r="N332" i="74" s="1"/>
  <c r="Q332" i="74" s="1"/>
  <c r="C332" i="74" s="1"/>
  <c r="O332" i="74" a="1"/>
  <c r="O332" i="74" s="1"/>
  <c r="P332" i="74" a="1"/>
  <c r="P332" i="74" s="1"/>
  <c r="M333" i="74" a="1"/>
  <c r="M333" i="74" s="1"/>
  <c r="A334" i="74"/>
  <c r="E331" i="74"/>
  <c r="F331" i="74"/>
  <c r="G331" i="74"/>
  <c r="L331" i="74"/>
  <c r="K331" i="74"/>
  <c r="B331" i="74" l="1"/>
  <c r="I331" i="74"/>
  <c r="S331" i="74"/>
  <c r="R332" i="74"/>
  <c r="D332" i="74" s="1"/>
  <c r="N333" i="74" a="1"/>
  <c r="N333" i="74" s="1"/>
  <c r="Q333" i="74" s="1"/>
  <c r="C333" i="74" s="1"/>
  <c r="O333" i="74" a="1"/>
  <c r="O333" i="74" s="1"/>
  <c r="H330" i="74"/>
  <c r="J330" i="74" s="1"/>
  <c r="P333" i="74" a="1"/>
  <c r="P333" i="74" s="1"/>
  <c r="M334" i="74" a="1"/>
  <c r="M334" i="74" s="1"/>
  <c r="A335" i="74"/>
  <c r="G332" i="74"/>
  <c r="E332" i="74"/>
  <c r="F332" i="74"/>
  <c r="L332" i="74"/>
  <c r="K332" i="74"/>
  <c r="B332" i="74" l="1"/>
  <c r="I332" i="74"/>
  <c r="S332" i="74"/>
  <c r="R333" i="74"/>
  <c r="D333" i="74" s="1"/>
  <c r="H331" i="74"/>
  <c r="J331" i="74" s="1"/>
  <c r="N334" i="74" a="1"/>
  <c r="N334" i="74" s="1"/>
  <c r="Q334" i="74" s="1"/>
  <c r="C334" i="74" s="1"/>
  <c r="O334" i="74" a="1"/>
  <c r="O334" i="74" s="1"/>
  <c r="P334" i="74" a="1"/>
  <c r="P334" i="74" s="1"/>
  <c r="M335" i="74" a="1"/>
  <c r="M335" i="74" s="1"/>
  <c r="A336" i="74"/>
  <c r="F333" i="74"/>
  <c r="G333" i="74"/>
  <c r="E333" i="74"/>
  <c r="L333" i="74"/>
  <c r="K333" i="74"/>
  <c r="B333" i="74" l="1"/>
  <c r="I333" i="74"/>
  <c r="S333" i="74"/>
  <c r="R334" i="74"/>
  <c r="D334" i="74" s="1"/>
  <c r="N335" i="74" a="1"/>
  <c r="N335" i="74" s="1"/>
  <c r="Q335" i="74" s="1"/>
  <c r="C335" i="74" s="1"/>
  <c r="O335" i="74" a="1"/>
  <c r="O335" i="74" s="1"/>
  <c r="H332" i="74"/>
  <c r="J332" i="74" s="1"/>
  <c r="P335" i="74" a="1"/>
  <c r="P335" i="74" s="1"/>
  <c r="M336" i="74" a="1"/>
  <c r="M336" i="74" s="1"/>
  <c r="A337" i="74"/>
  <c r="E334" i="74"/>
  <c r="F334" i="74"/>
  <c r="G334" i="74"/>
  <c r="L334" i="74"/>
  <c r="K334" i="74"/>
  <c r="B334" i="74" l="1"/>
  <c r="I334" i="74"/>
  <c r="S334" i="74"/>
  <c r="R335" i="74"/>
  <c r="D335" i="74" s="1"/>
  <c r="N336" i="74" a="1"/>
  <c r="N336" i="74" s="1"/>
  <c r="Q336" i="74" s="1"/>
  <c r="C336" i="74" s="1"/>
  <c r="O336" i="74" a="1"/>
  <c r="O336" i="74" s="1"/>
  <c r="H333" i="74"/>
  <c r="J333" i="74" s="1"/>
  <c r="P336" i="74" a="1"/>
  <c r="P336" i="74" s="1"/>
  <c r="M337" i="74" a="1"/>
  <c r="M337" i="74" s="1"/>
  <c r="A338" i="74"/>
  <c r="F335" i="74"/>
  <c r="G335" i="74"/>
  <c r="E335" i="74"/>
  <c r="L335" i="74"/>
  <c r="K335" i="74"/>
  <c r="B335" i="74" l="1"/>
  <c r="I335" i="74"/>
  <c r="S335" i="74"/>
  <c r="R336" i="74"/>
  <c r="D336" i="74" s="1"/>
  <c r="N337" i="74" a="1"/>
  <c r="N337" i="74" s="1"/>
  <c r="Q337" i="74" s="1"/>
  <c r="C337" i="74" s="1"/>
  <c r="O337" i="74" a="1"/>
  <c r="O337" i="74" s="1"/>
  <c r="H334" i="74"/>
  <c r="J334" i="74" s="1"/>
  <c r="P337" i="74" a="1"/>
  <c r="P337" i="74" s="1"/>
  <c r="M338" i="74" a="1"/>
  <c r="M338" i="74" s="1"/>
  <c r="A339" i="74"/>
  <c r="E336" i="74"/>
  <c r="G336" i="74"/>
  <c r="F336" i="74"/>
  <c r="L336" i="74"/>
  <c r="K336" i="74"/>
  <c r="B336" i="74" l="1"/>
  <c r="I336" i="74"/>
  <c r="S336" i="74"/>
  <c r="R337" i="74"/>
  <c r="D337" i="74" s="1"/>
  <c r="N338" i="74" a="1"/>
  <c r="N338" i="74" s="1"/>
  <c r="Q338" i="74" s="1"/>
  <c r="C338" i="74" s="1"/>
  <c r="O338" i="74" a="1"/>
  <c r="O338" i="74" s="1"/>
  <c r="H335" i="74"/>
  <c r="J335" i="74" s="1"/>
  <c r="P338" i="74" a="1"/>
  <c r="P338" i="74" s="1"/>
  <c r="M339" i="74" a="1"/>
  <c r="M339" i="74" s="1"/>
  <c r="A340" i="74"/>
  <c r="G337" i="74"/>
  <c r="E337" i="74"/>
  <c r="F337" i="74"/>
  <c r="L337" i="74"/>
  <c r="K337" i="74"/>
  <c r="B337" i="74" l="1"/>
  <c r="I337" i="74"/>
  <c r="S337" i="74"/>
  <c r="R338" i="74"/>
  <c r="D338" i="74" s="1"/>
  <c r="N339" i="74" a="1"/>
  <c r="N339" i="74" s="1"/>
  <c r="Q339" i="74" s="1"/>
  <c r="C339" i="74" s="1"/>
  <c r="O339" i="74" a="1"/>
  <c r="O339" i="74" s="1"/>
  <c r="H336" i="74"/>
  <c r="J336" i="74" s="1"/>
  <c r="P339" i="74" a="1"/>
  <c r="P339" i="74" s="1"/>
  <c r="M340" i="74" a="1"/>
  <c r="M340" i="74" s="1"/>
  <c r="A341" i="74"/>
  <c r="E338" i="74"/>
  <c r="F338" i="74"/>
  <c r="G338" i="74"/>
  <c r="L338" i="74"/>
  <c r="K338" i="74"/>
  <c r="B338" i="74" l="1"/>
  <c r="I338" i="74"/>
  <c r="S338" i="74"/>
  <c r="R339" i="74"/>
  <c r="D339" i="74" s="1"/>
  <c r="N340" i="74" a="1"/>
  <c r="N340" i="74" s="1"/>
  <c r="Q340" i="74" s="1"/>
  <c r="C340" i="74" s="1"/>
  <c r="O340" i="74" a="1"/>
  <c r="O340" i="74" s="1"/>
  <c r="P340" i="74" a="1"/>
  <c r="P340" i="74" s="1"/>
  <c r="M341" i="74" a="1"/>
  <c r="M341" i="74" s="1"/>
  <c r="H337" i="74"/>
  <c r="J337" i="74" s="1"/>
  <c r="A342" i="74"/>
  <c r="G339" i="74"/>
  <c r="F339" i="74"/>
  <c r="E339" i="74"/>
  <c r="L339" i="74"/>
  <c r="K339" i="74"/>
  <c r="B339" i="74" l="1"/>
  <c r="I339" i="74"/>
  <c r="S339" i="74"/>
  <c r="R340" i="74"/>
  <c r="D340" i="74" s="1"/>
  <c r="N341" i="74" a="1"/>
  <c r="N341" i="74" s="1"/>
  <c r="Q341" i="74" s="1"/>
  <c r="C341" i="74" s="1"/>
  <c r="O341" i="74" a="1"/>
  <c r="O341" i="74" s="1"/>
  <c r="P341" i="74" a="1"/>
  <c r="P341" i="74" s="1"/>
  <c r="M342" i="74" a="1"/>
  <c r="M342" i="74" s="1"/>
  <c r="H338" i="74"/>
  <c r="J338" i="74" s="1"/>
  <c r="A343" i="74"/>
  <c r="E340" i="74"/>
  <c r="F340" i="74"/>
  <c r="G340" i="74"/>
  <c r="L340" i="74"/>
  <c r="K340" i="74"/>
  <c r="B340" i="74" l="1"/>
  <c r="I340" i="74"/>
  <c r="S340" i="74"/>
  <c r="R341" i="74"/>
  <c r="D341" i="74" s="1"/>
  <c r="H339" i="74"/>
  <c r="J339" i="74" s="1"/>
  <c r="N342" i="74" a="1"/>
  <c r="N342" i="74" s="1"/>
  <c r="Q342" i="74" s="1"/>
  <c r="C342" i="74" s="1"/>
  <c r="O342" i="74" a="1"/>
  <c r="O342" i="74" s="1"/>
  <c r="P342" i="74" a="1"/>
  <c r="P342" i="74" s="1"/>
  <c r="M343" i="74" a="1"/>
  <c r="M343" i="74" s="1"/>
  <c r="A344" i="74"/>
  <c r="E341" i="74"/>
  <c r="F341" i="74"/>
  <c r="G341" i="74"/>
  <c r="L341" i="74"/>
  <c r="K341" i="74"/>
  <c r="B341" i="74" l="1"/>
  <c r="I341" i="74"/>
  <c r="S341" i="74"/>
  <c r="R342" i="74"/>
  <c r="D342" i="74" s="1"/>
  <c r="N343" i="74" a="1"/>
  <c r="N343" i="74" s="1"/>
  <c r="Q343" i="74" s="1"/>
  <c r="C343" i="74" s="1"/>
  <c r="O343" i="74" a="1"/>
  <c r="O343" i="74" s="1"/>
  <c r="P343" i="74" a="1"/>
  <c r="P343" i="74" s="1"/>
  <c r="M344" i="74" a="1"/>
  <c r="M344" i="74" s="1"/>
  <c r="H340" i="74"/>
  <c r="J340" i="74" s="1"/>
  <c r="A345" i="74"/>
  <c r="F342" i="74"/>
  <c r="G342" i="74"/>
  <c r="E342" i="74"/>
  <c r="L342" i="74"/>
  <c r="K342" i="74"/>
  <c r="B342" i="74" l="1"/>
  <c r="I342" i="74"/>
  <c r="S342" i="74"/>
  <c r="R343" i="74"/>
  <c r="D343" i="74" s="1"/>
  <c r="N344" i="74" a="1"/>
  <c r="N344" i="74" s="1"/>
  <c r="Q344" i="74" s="1"/>
  <c r="C344" i="74" s="1"/>
  <c r="O344" i="74" a="1"/>
  <c r="O344" i="74" s="1"/>
  <c r="H341" i="74"/>
  <c r="J341" i="74" s="1"/>
  <c r="P344" i="74" a="1"/>
  <c r="P344" i="74" s="1"/>
  <c r="M345" i="74" a="1"/>
  <c r="M345" i="74" s="1"/>
  <c r="A346" i="74"/>
  <c r="E343" i="74"/>
  <c r="F343" i="74"/>
  <c r="G343" i="74"/>
  <c r="L343" i="74"/>
  <c r="K343" i="74"/>
  <c r="B343" i="74" l="1"/>
  <c r="I343" i="74"/>
  <c r="S343" i="74"/>
  <c r="R344" i="74"/>
  <c r="D344" i="74" s="1"/>
  <c r="N345" i="74" a="1"/>
  <c r="N345" i="74" s="1"/>
  <c r="Q345" i="74" s="1"/>
  <c r="C345" i="74" s="1"/>
  <c r="O345" i="74" a="1"/>
  <c r="O345" i="74" s="1"/>
  <c r="H342" i="74"/>
  <c r="J342" i="74" s="1"/>
  <c r="P345" i="74" a="1"/>
  <c r="P345" i="74" s="1"/>
  <c r="M346" i="74" a="1"/>
  <c r="M346" i="74" s="1"/>
  <c r="A347" i="74"/>
  <c r="F344" i="74"/>
  <c r="G344" i="74"/>
  <c r="E344" i="74"/>
  <c r="L344" i="74"/>
  <c r="K344" i="74"/>
  <c r="B344" i="74" l="1"/>
  <c r="I344" i="74"/>
  <c r="S344" i="74"/>
  <c r="R345" i="74"/>
  <c r="D345" i="74" s="1"/>
  <c r="N346" i="74" a="1"/>
  <c r="N346" i="74" s="1"/>
  <c r="Q346" i="74" s="1"/>
  <c r="C346" i="74" s="1"/>
  <c r="O346" i="74" a="1"/>
  <c r="O346" i="74" s="1"/>
  <c r="P346" i="74" a="1"/>
  <c r="P346" i="74" s="1"/>
  <c r="M347" i="74" a="1"/>
  <c r="M347" i="74" s="1"/>
  <c r="H343" i="74"/>
  <c r="J343" i="74" s="1"/>
  <c r="A348" i="74"/>
  <c r="E345" i="74"/>
  <c r="F345" i="74"/>
  <c r="G345" i="74"/>
  <c r="L345" i="74"/>
  <c r="K345" i="74"/>
  <c r="B345" i="74" l="1"/>
  <c r="I345" i="74"/>
  <c r="S345" i="74"/>
  <c r="R346" i="74"/>
  <c r="D346" i="74" s="1"/>
  <c r="N347" i="74" a="1"/>
  <c r="N347" i="74" s="1"/>
  <c r="Q347" i="74" s="1"/>
  <c r="C347" i="74" s="1"/>
  <c r="O347" i="74" a="1"/>
  <c r="O347" i="74" s="1"/>
  <c r="P347" i="74" a="1"/>
  <c r="P347" i="74" s="1"/>
  <c r="M348" i="74" a="1"/>
  <c r="M348" i="74" s="1"/>
  <c r="H344" i="74"/>
  <c r="J344" i="74" s="1"/>
  <c r="A349" i="74"/>
  <c r="G346" i="74"/>
  <c r="E346" i="74"/>
  <c r="F346" i="74"/>
  <c r="L346" i="74"/>
  <c r="K346" i="74"/>
  <c r="B346" i="74" l="1"/>
  <c r="I346" i="74"/>
  <c r="S346" i="74"/>
  <c r="R347" i="74"/>
  <c r="D347" i="74" s="1"/>
  <c r="H345" i="74"/>
  <c r="J345" i="74" s="1"/>
  <c r="N348" i="74" a="1"/>
  <c r="N348" i="74" s="1"/>
  <c r="Q348" i="74" s="1"/>
  <c r="C348" i="74" s="1"/>
  <c r="O348" i="74" a="1"/>
  <c r="O348" i="74" s="1"/>
  <c r="P348" i="74" a="1"/>
  <c r="P348" i="74" s="1"/>
  <c r="M349" i="74" a="1"/>
  <c r="M349" i="74" s="1"/>
  <c r="A350" i="74"/>
  <c r="E347" i="74"/>
  <c r="F347" i="74"/>
  <c r="G347" i="74"/>
  <c r="L347" i="74"/>
  <c r="K347" i="74"/>
  <c r="B347" i="74" l="1"/>
  <c r="I347" i="74"/>
  <c r="S347" i="74"/>
  <c r="R348" i="74"/>
  <c r="D348" i="74" s="1"/>
  <c r="N349" i="74" a="1"/>
  <c r="N349" i="74" s="1"/>
  <c r="Q349" i="74" s="1"/>
  <c r="C349" i="74" s="1"/>
  <c r="O349" i="74" a="1"/>
  <c r="O349" i="74" s="1"/>
  <c r="P349" i="74" a="1"/>
  <c r="P349" i="74" s="1"/>
  <c r="M350" i="74" a="1"/>
  <c r="M350" i="74" s="1"/>
  <c r="H346" i="74"/>
  <c r="J346" i="74" s="1"/>
  <c r="A351" i="74"/>
  <c r="G348" i="74"/>
  <c r="E348" i="74"/>
  <c r="F348" i="74"/>
  <c r="L348" i="74"/>
  <c r="K348" i="74"/>
  <c r="B348" i="74" l="1"/>
  <c r="I348" i="74"/>
  <c r="S348" i="74"/>
  <c r="R349" i="74"/>
  <c r="D349" i="74" s="1"/>
  <c r="N350" i="74" a="1"/>
  <c r="N350" i="74" s="1"/>
  <c r="Q350" i="74" s="1"/>
  <c r="C350" i="74" s="1"/>
  <c r="O350" i="74" a="1"/>
  <c r="O350" i="74" s="1"/>
  <c r="P350" i="74" a="1"/>
  <c r="P350" i="74" s="1"/>
  <c r="M351" i="74" a="1"/>
  <c r="M351" i="74" s="1"/>
  <c r="H347" i="74"/>
  <c r="J347" i="74" s="1"/>
  <c r="A352" i="74"/>
  <c r="F349" i="74"/>
  <c r="G349" i="74"/>
  <c r="E349" i="74"/>
  <c r="L349" i="74"/>
  <c r="K349" i="74"/>
  <c r="B349" i="74" l="1"/>
  <c r="I349" i="74"/>
  <c r="S349" i="74"/>
  <c r="R350" i="74"/>
  <c r="D350" i="74" s="1"/>
  <c r="N351" i="74" a="1"/>
  <c r="N351" i="74" s="1"/>
  <c r="Q351" i="74" s="1"/>
  <c r="C351" i="74" s="1"/>
  <c r="O351" i="74" a="1"/>
  <c r="O351" i="74" s="1"/>
  <c r="P351" i="74" a="1"/>
  <c r="P351" i="74" s="1"/>
  <c r="M352" i="74" a="1"/>
  <c r="M352" i="74" s="1"/>
  <c r="H348" i="74"/>
  <c r="J348" i="74" s="1"/>
  <c r="A353" i="74"/>
  <c r="E350" i="74"/>
  <c r="G350" i="74"/>
  <c r="F350" i="74"/>
  <c r="L350" i="74"/>
  <c r="K350" i="74"/>
  <c r="B350" i="74" l="1"/>
  <c r="I350" i="74"/>
  <c r="S350" i="74"/>
  <c r="R351" i="74"/>
  <c r="D351" i="74" s="1"/>
  <c r="N352" i="74" a="1"/>
  <c r="N352" i="74" s="1"/>
  <c r="Q352" i="74" s="1"/>
  <c r="C352" i="74" s="1"/>
  <c r="O352" i="74" a="1"/>
  <c r="O352" i="74" s="1"/>
  <c r="P352" i="74" a="1"/>
  <c r="P352" i="74" s="1"/>
  <c r="M353" i="74" a="1"/>
  <c r="M353" i="74" s="1"/>
  <c r="H349" i="74"/>
  <c r="J349" i="74" s="1"/>
  <c r="A354" i="74"/>
  <c r="F351" i="74"/>
  <c r="G351" i="74"/>
  <c r="E351" i="74"/>
  <c r="L351" i="74"/>
  <c r="K351" i="74"/>
  <c r="B351" i="74" l="1"/>
  <c r="I351" i="74"/>
  <c r="S351" i="74"/>
  <c r="R352" i="74"/>
  <c r="D352" i="74" s="1"/>
  <c r="N353" i="74" a="1"/>
  <c r="N353" i="74" s="1"/>
  <c r="Q353" i="74" s="1"/>
  <c r="C353" i="74" s="1"/>
  <c r="O353" i="74" a="1"/>
  <c r="O353" i="74" s="1"/>
  <c r="P353" i="74" a="1"/>
  <c r="P353" i="74" s="1"/>
  <c r="H350" i="74"/>
  <c r="J350" i="74" s="1"/>
  <c r="M354" i="74" a="1"/>
  <c r="M354" i="74" s="1"/>
  <c r="A355" i="74"/>
  <c r="E352" i="74"/>
  <c r="F352" i="74"/>
  <c r="G352" i="74"/>
  <c r="L352" i="74"/>
  <c r="K352" i="74"/>
  <c r="B352" i="74" l="1"/>
  <c r="I352" i="74"/>
  <c r="S352" i="74"/>
  <c r="R353" i="74"/>
  <c r="D353" i="74" s="1"/>
  <c r="H351" i="74"/>
  <c r="J351" i="74" s="1"/>
  <c r="N354" i="74" a="1"/>
  <c r="N354" i="74" s="1"/>
  <c r="Q354" i="74" s="1"/>
  <c r="C354" i="74" s="1"/>
  <c r="O354" i="74" a="1"/>
  <c r="O354" i="74" s="1"/>
  <c r="P354" i="74" a="1"/>
  <c r="P354" i="74" s="1"/>
  <c r="M355" i="74" a="1"/>
  <c r="M355" i="74" s="1"/>
  <c r="A356" i="74"/>
  <c r="G353" i="74"/>
  <c r="F353" i="74"/>
  <c r="E353" i="74"/>
  <c r="L353" i="74"/>
  <c r="K353" i="74"/>
  <c r="B353" i="74" l="1"/>
  <c r="I353" i="74"/>
  <c r="S353" i="74"/>
  <c r="R354" i="74"/>
  <c r="D354" i="74" s="1"/>
  <c r="N355" i="74" a="1"/>
  <c r="N355" i="74" s="1"/>
  <c r="Q355" i="74" s="1"/>
  <c r="C355" i="74" s="1"/>
  <c r="O355" i="74" a="1"/>
  <c r="O355" i="74" s="1"/>
  <c r="H352" i="74"/>
  <c r="J352" i="74" s="1"/>
  <c r="P355" i="74" a="1"/>
  <c r="P355" i="74" s="1"/>
  <c r="M356" i="74" a="1"/>
  <c r="M356" i="74" s="1"/>
  <c r="A357" i="74"/>
  <c r="E354" i="74"/>
  <c r="F354" i="74"/>
  <c r="G354" i="74"/>
  <c r="L354" i="74"/>
  <c r="K354" i="74"/>
  <c r="B354" i="74" l="1"/>
  <c r="I354" i="74"/>
  <c r="S354" i="74"/>
  <c r="R355" i="74"/>
  <c r="D355" i="74" s="1"/>
  <c r="H353" i="74"/>
  <c r="J353" i="74" s="1"/>
  <c r="N356" i="74" a="1"/>
  <c r="N356" i="74" s="1"/>
  <c r="Q356" i="74" s="1"/>
  <c r="C356" i="74" s="1"/>
  <c r="O356" i="74" a="1"/>
  <c r="O356" i="74" s="1"/>
  <c r="P356" i="74" a="1"/>
  <c r="P356" i="74" s="1"/>
  <c r="M357" i="74" a="1"/>
  <c r="M357" i="74" s="1"/>
  <c r="A358" i="74"/>
  <c r="G355" i="74"/>
  <c r="E355" i="74"/>
  <c r="F355" i="74"/>
  <c r="L355" i="74"/>
  <c r="K355" i="74"/>
  <c r="B355" i="74" l="1"/>
  <c r="I355" i="74"/>
  <c r="S355" i="74"/>
  <c r="R356" i="74"/>
  <c r="D356" i="74" s="1"/>
  <c r="N357" i="74" a="1"/>
  <c r="N357" i="74" s="1"/>
  <c r="Q357" i="74" s="1"/>
  <c r="C357" i="74" s="1"/>
  <c r="O357" i="74" a="1"/>
  <c r="O357" i="74" s="1"/>
  <c r="P357" i="74" a="1"/>
  <c r="P357" i="74" s="1"/>
  <c r="M358" i="74" a="1"/>
  <c r="M358" i="74" s="1"/>
  <c r="H354" i="74"/>
  <c r="J354" i="74" s="1"/>
  <c r="A359" i="74"/>
  <c r="E356" i="74"/>
  <c r="F356" i="74"/>
  <c r="G356" i="74"/>
  <c r="L356" i="74"/>
  <c r="K356" i="74"/>
  <c r="B356" i="74" l="1"/>
  <c r="I356" i="74"/>
  <c r="S356" i="74"/>
  <c r="R357" i="74"/>
  <c r="D357" i="74" s="1"/>
  <c r="N358" i="74" a="1"/>
  <c r="N358" i="74" s="1"/>
  <c r="Q358" i="74" s="1"/>
  <c r="C358" i="74" s="1"/>
  <c r="O358" i="74" a="1"/>
  <c r="O358" i="74" s="1"/>
  <c r="P358" i="74" a="1"/>
  <c r="P358" i="74" s="1"/>
  <c r="M359" i="74" a="1"/>
  <c r="M359" i="74" s="1"/>
  <c r="H355" i="74"/>
  <c r="J355" i="74" s="1"/>
  <c r="A360" i="74"/>
  <c r="E357" i="74"/>
  <c r="F357" i="74"/>
  <c r="G357" i="74"/>
  <c r="L357" i="74"/>
  <c r="K357" i="74"/>
  <c r="B357" i="74" l="1"/>
  <c r="I357" i="74"/>
  <c r="S357" i="74"/>
  <c r="R358" i="74"/>
  <c r="D358" i="74" s="1"/>
  <c r="N359" i="74" a="1"/>
  <c r="N359" i="74" s="1"/>
  <c r="Q359" i="74" s="1"/>
  <c r="C359" i="74" s="1"/>
  <c r="O359" i="74" a="1"/>
  <c r="O359" i="74" s="1"/>
  <c r="P359" i="74" a="1"/>
  <c r="P359" i="74" s="1"/>
  <c r="M360" i="74" a="1"/>
  <c r="M360" i="74" s="1"/>
  <c r="H356" i="74"/>
  <c r="J356" i="74" s="1"/>
  <c r="A361" i="74"/>
  <c r="F358" i="74"/>
  <c r="G358" i="74"/>
  <c r="E358" i="74"/>
  <c r="L358" i="74"/>
  <c r="K358" i="74"/>
  <c r="B358" i="74" l="1"/>
  <c r="I358" i="74"/>
  <c r="S358" i="74"/>
  <c r="R359" i="74"/>
  <c r="D359" i="74" s="1"/>
  <c r="N360" i="74" a="1"/>
  <c r="N360" i="74" s="1"/>
  <c r="Q360" i="74" s="1"/>
  <c r="C360" i="74" s="1"/>
  <c r="O360" i="74" a="1"/>
  <c r="O360" i="74" s="1"/>
  <c r="P360" i="74" a="1"/>
  <c r="P360" i="74" s="1"/>
  <c r="M361" i="74" a="1"/>
  <c r="M361" i="74" s="1"/>
  <c r="H357" i="74"/>
  <c r="J357" i="74" s="1"/>
  <c r="A362" i="74"/>
  <c r="E359" i="74"/>
  <c r="F359" i="74"/>
  <c r="G359" i="74"/>
  <c r="L359" i="74"/>
  <c r="K359" i="74"/>
  <c r="B359" i="74" l="1"/>
  <c r="I359" i="74"/>
  <c r="S359" i="74"/>
  <c r="R360" i="74"/>
  <c r="D360" i="74" s="1"/>
  <c r="H358" i="74"/>
  <c r="J358" i="74" s="1"/>
  <c r="N361" i="74" a="1"/>
  <c r="N361" i="74" s="1"/>
  <c r="Q361" i="74" s="1"/>
  <c r="C361" i="74" s="1"/>
  <c r="O361" i="74" a="1"/>
  <c r="O361" i="74" s="1"/>
  <c r="P361" i="74" a="1"/>
  <c r="P361" i="74" s="1"/>
  <c r="M362" i="74" a="1"/>
  <c r="M362" i="74" s="1"/>
  <c r="A363" i="74"/>
  <c r="F360" i="74"/>
  <c r="G360" i="74"/>
  <c r="E360" i="74"/>
  <c r="L360" i="74"/>
  <c r="K360" i="74"/>
  <c r="I360" i="74" l="1"/>
  <c r="B360" i="74"/>
  <c r="S360" i="74"/>
  <c r="R361" i="74"/>
  <c r="D361" i="74" s="1"/>
  <c r="N362" i="74" a="1"/>
  <c r="N362" i="74" s="1"/>
  <c r="Q362" i="74" s="1"/>
  <c r="C362" i="74" s="1"/>
  <c r="O362" i="74" a="1"/>
  <c r="O362" i="74" s="1"/>
  <c r="P362" i="74" a="1"/>
  <c r="P362" i="74" s="1"/>
  <c r="M363" i="74" a="1"/>
  <c r="M363" i="74" s="1"/>
  <c r="H359" i="74"/>
  <c r="J359" i="74" s="1"/>
  <c r="A364" i="74"/>
  <c r="E361" i="74"/>
  <c r="F361" i="74"/>
  <c r="G361" i="74"/>
  <c r="L361" i="74"/>
  <c r="K361" i="74"/>
  <c r="B361" i="74" l="1"/>
  <c r="I361" i="74"/>
  <c r="S361" i="74"/>
  <c r="R362" i="74"/>
  <c r="D362" i="74" s="1"/>
  <c r="N363" i="74" a="1"/>
  <c r="N363" i="74" s="1"/>
  <c r="Q363" i="74" s="1"/>
  <c r="C363" i="74" s="1"/>
  <c r="O363" i="74" a="1"/>
  <c r="O363" i="74" s="1"/>
  <c r="P363" i="74" a="1"/>
  <c r="P363" i="74" s="1"/>
  <c r="M364" i="74" a="1"/>
  <c r="M364" i="74" s="1"/>
  <c r="H360" i="74"/>
  <c r="J360" i="74" s="1"/>
  <c r="A365" i="74"/>
  <c r="G362" i="74"/>
  <c r="I362" i="74" s="1"/>
  <c r="E362" i="74"/>
  <c r="F362" i="74"/>
  <c r="L362" i="74"/>
  <c r="K362" i="74"/>
  <c r="B362" i="74" l="1"/>
  <c r="S362" i="74"/>
  <c r="R363" i="74"/>
  <c r="D363" i="74" s="1"/>
  <c r="N364" i="74" a="1"/>
  <c r="N364" i="74" s="1"/>
  <c r="Q364" i="74" s="1"/>
  <c r="C364" i="74" s="1"/>
  <c r="O364" i="74" a="1"/>
  <c r="O364" i="74" s="1"/>
  <c r="P364" i="74" a="1"/>
  <c r="P364" i="74" s="1"/>
  <c r="M365" i="74" a="1"/>
  <c r="M365" i="74" s="1"/>
  <c r="H361" i="74"/>
  <c r="J361" i="74" s="1"/>
  <c r="A366" i="74"/>
  <c r="E363" i="74"/>
  <c r="F363" i="74"/>
  <c r="G363" i="74"/>
  <c r="L363" i="74"/>
  <c r="K363" i="74"/>
  <c r="B363" i="74" l="1"/>
  <c r="I363" i="74"/>
  <c r="S363" i="74"/>
  <c r="R364" i="74"/>
  <c r="D364" i="74" s="1"/>
  <c r="H362" i="74"/>
  <c r="J362" i="74" s="1"/>
  <c r="N365" i="74" a="1"/>
  <c r="N365" i="74" s="1"/>
  <c r="Q365" i="74" s="1"/>
  <c r="C365" i="74" s="1"/>
  <c r="O365" i="74" a="1"/>
  <c r="O365" i="74" s="1"/>
  <c r="P365" i="74" a="1"/>
  <c r="P365" i="74" s="1"/>
  <c r="M366" i="74" a="1"/>
  <c r="M366" i="74" s="1"/>
  <c r="A367" i="74"/>
  <c r="G364" i="74"/>
  <c r="I364" i="74" s="1"/>
  <c r="F364" i="74"/>
  <c r="E364" i="74"/>
  <c r="L364" i="74"/>
  <c r="K364" i="74"/>
  <c r="B364" i="74" l="1"/>
  <c r="S364" i="74"/>
  <c r="R365" i="74"/>
  <c r="D365" i="74" s="1"/>
  <c r="N366" i="74" a="1"/>
  <c r="N366" i="74" s="1"/>
  <c r="Q366" i="74" s="1"/>
  <c r="C366" i="74" s="1"/>
  <c r="O366" i="74" a="1"/>
  <c r="O366" i="74" s="1"/>
  <c r="H363" i="74"/>
  <c r="J363" i="74" s="1"/>
  <c r="P366" i="74" a="1"/>
  <c r="P366" i="74" s="1"/>
  <c r="M367" i="74" a="1"/>
  <c r="M367" i="74" s="1"/>
  <c r="A368" i="74"/>
  <c r="F365" i="74"/>
  <c r="G365" i="74"/>
  <c r="E365" i="74"/>
  <c r="L365" i="74"/>
  <c r="K365" i="74"/>
  <c r="B365" i="74" l="1"/>
  <c r="I365" i="74"/>
  <c r="S365" i="74"/>
  <c r="R366" i="74"/>
  <c r="D366" i="74" s="1"/>
  <c r="N367" i="74" a="1"/>
  <c r="N367" i="74" s="1"/>
  <c r="Q367" i="74" s="1"/>
  <c r="C367" i="74" s="1"/>
  <c r="O367" i="74" a="1"/>
  <c r="O367" i="74" s="1"/>
  <c r="H364" i="74"/>
  <c r="J364" i="74" s="1"/>
  <c r="P367" i="74" a="1"/>
  <c r="P367" i="74" s="1"/>
  <c r="M368" i="74" a="1"/>
  <c r="M368" i="74" s="1"/>
  <c r="A369" i="74"/>
  <c r="E366" i="74"/>
  <c r="F366" i="74"/>
  <c r="G366" i="74"/>
  <c r="I366" i="74" s="1"/>
  <c r="L366" i="74"/>
  <c r="K366" i="74"/>
  <c r="B366" i="74" l="1"/>
  <c r="S366" i="74"/>
  <c r="R367" i="74"/>
  <c r="D367" i="74" s="1"/>
  <c r="N368" i="74" a="1"/>
  <c r="N368" i="74" s="1"/>
  <c r="Q368" i="74" s="1"/>
  <c r="C368" i="74" s="1"/>
  <c r="O368" i="74" a="1"/>
  <c r="O368" i="74" s="1"/>
  <c r="P368" i="74" a="1"/>
  <c r="P368" i="74" s="1"/>
  <c r="M369" i="74" a="1"/>
  <c r="M369" i="74" s="1"/>
  <c r="H365" i="74"/>
  <c r="J365" i="74" s="1"/>
  <c r="A370" i="74"/>
  <c r="F367" i="74"/>
  <c r="G367" i="74"/>
  <c r="E367" i="74"/>
  <c r="L367" i="74"/>
  <c r="K367" i="74"/>
  <c r="B367" i="74" l="1"/>
  <c r="I367" i="74"/>
  <c r="S367" i="74"/>
  <c r="R368" i="74"/>
  <c r="D368" i="74" s="1"/>
  <c r="N369" i="74" a="1"/>
  <c r="N369" i="74" s="1"/>
  <c r="Q369" i="74" s="1"/>
  <c r="C369" i="74" s="1"/>
  <c r="O369" i="74" a="1"/>
  <c r="O369" i="74" s="1"/>
  <c r="P369" i="74" a="1"/>
  <c r="P369" i="74" s="1"/>
  <c r="M370" i="74" a="1"/>
  <c r="M370" i="74" s="1"/>
  <c r="H366" i="74"/>
  <c r="J366" i="74" s="1"/>
  <c r="A371" i="74"/>
  <c r="E368" i="74"/>
  <c r="F368" i="74"/>
  <c r="G368" i="74"/>
  <c r="I368" i="74" s="1"/>
  <c r="L368" i="74"/>
  <c r="K368" i="74"/>
  <c r="B368" i="74" l="1"/>
  <c r="S368" i="74"/>
  <c r="R369" i="74"/>
  <c r="D369" i="74" s="1"/>
  <c r="H367" i="74"/>
  <c r="J367" i="74" s="1"/>
  <c r="N370" i="74" a="1"/>
  <c r="N370" i="74" s="1"/>
  <c r="Q370" i="74" s="1"/>
  <c r="C370" i="74" s="1"/>
  <c r="O370" i="74" a="1"/>
  <c r="O370" i="74" s="1"/>
  <c r="P370" i="74" a="1"/>
  <c r="P370" i="74" s="1"/>
  <c r="M371" i="74" a="1"/>
  <c r="M371" i="74" s="1"/>
  <c r="A372" i="74"/>
  <c r="G369" i="74"/>
  <c r="E369" i="74"/>
  <c r="F369" i="74"/>
  <c r="L369" i="74"/>
  <c r="K369" i="74"/>
  <c r="B369" i="74" l="1"/>
  <c r="I369" i="74"/>
  <c r="S369" i="74"/>
  <c r="R370" i="74"/>
  <c r="D370" i="74" s="1"/>
  <c r="N371" i="74" a="1"/>
  <c r="N371" i="74" s="1"/>
  <c r="Q371" i="74" s="1"/>
  <c r="C371" i="74" s="1"/>
  <c r="O371" i="74" a="1"/>
  <c r="O371" i="74" s="1"/>
  <c r="H368" i="74"/>
  <c r="J368" i="74" s="1"/>
  <c r="P371" i="74" a="1"/>
  <c r="P371" i="74" s="1"/>
  <c r="M372" i="74" a="1"/>
  <c r="M372" i="74" s="1"/>
  <c r="A373" i="74"/>
  <c r="E370" i="74"/>
  <c r="F370" i="74"/>
  <c r="G370" i="74"/>
  <c r="L370" i="74"/>
  <c r="K370" i="74"/>
  <c r="B370" i="74" l="1"/>
  <c r="I370" i="74"/>
  <c r="S370" i="74"/>
  <c r="R371" i="74"/>
  <c r="D371" i="74" s="1"/>
  <c r="N372" i="74" a="1"/>
  <c r="N372" i="74" s="1"/>
  <c r="Q372" i="74" s="1"/>
  <c r="C372" i="74" s="1"/>
  <c r="O372" i="74" a="1"/>
  <c r="O372" i="74" s="1"/>
  <c r="H369" i="74"/>
  <c r="J369" i="74" s="1"/>
  <c r="P372" i="74" a="1"/>
  <c r="P372" i="74" s="1"/>
  <c r="M373" i="74" a="1"/>
  <c r="M373" i="74" s="1"/>
  <c r="A374" i="74"/>
  <c r="G371" i="74"/>
  <c r="E371" i="74"/>
  <c r="F371" i="74"/>
  <c r="L371" i="74"/>
  <c r="K371" i="74"/>
  <c r="B371" i="74" l="1"/>
  <c r="I371" i="74"/>
  <c r="S371" i="74"/>
  <c r="R372" i="74"/>
  <c r="D372" i="74" s="1"/>
  <c r="N373" i="74" a="1"/>
  <c r="N373" i="74" s="1"/>
  <c r="Q373" i="74" s="1"/>
  <c r="C373" i="74" s="1"/>
  <c r="O373" i="74" a="1"/>
  <c r="O373" i="74" s="1"/>
  <c r="H370" i="74"/>
  <c r="J370" i="74" s="1"/>
  <c r="P373" i="74" a="1"/>
  <c r="P373" i="74" s="1"/>
  <c r="M374" i="74" a="1"/>
  <c r="M374" i="74" s="1"/>
  <c r="A375" i="74"/>
  <c r="E372" i="74"/>
  <c r="F372" i="74"/>
  <c r="G372" i="74"/>
  <c r="L372" i="74"/>
  <c r="K372" i="74"/>
  <c r="B372" i="74" l="1"/>
  <c r="I372" i="74"/>
  <c r="S372" i="74"/>
  <c r="R373" i="74"/>
  <c r="D373" i="74" s="1"/>
  <c r="H371" i="74"/>
  <c r="J371" i="74" s="1"/>
  <c r="N374" i="74" a="1"/>
  <c r="N374" i="74" s="1"/>
  <c r="Q374" i="74" s="1"/>
  <c r="C374" i="74" s="1"/>
  <c r="O374" i="74" a="1"/>
  <c r="O374" i="74" s="1"/>
  <c r="P374" i="74" a="1"/>
  <c r="P374" i="74" s="1"/>
  <c r="M375" i="74" a="1"/>
  <c r="M375" i="74" s="1"/>
  <c r="A376" i="74"/>
  <c r="E373" i="74"/>
  <c r="F373" i="74"/>
  <c r="G373" i="74"/>
  <c r="L373" i="74"/>
  <c r="K373" i="74"/>
  <c r="B373" i="74" l="1"/>
  <c r="I373" i="74"/>
  <c r="S373" i="74"/>
  <c r="R374" i="74"/>
  <c r="D374" i="74" s="1"/>
  <c r="N375" i="74" a="1"/>
  <c r="N375" i="74" s="1"/>
  <c r="Q375" i="74" s="1"/>
  <c r="C375" i="74" s="1"/>
  <c r="O375" i="74" a="1"/>
  <c r="O375" i="74" s="1"/>
  <c r="P375" i="74" a="1"/>
  <c r="P375" i="74" s="1"/>
  <c r="M376" i="74" a="1"/>
  <c r="M376" i="74" s="1"/>
  <c r="H372" i="74"/>
  <c r="J372" i="74" s="1"/>
  <c r="A377" i="74"/>
  <c r="F374" i="74"/>
  <c r="G374" i="74"/>
  <c r="E374" i="74"/>
  <c r="L374" i="74"/>
  <c r="K374" i="74"/>
  <c r="B374" i="74" l="1"/>
  <c r="I374" i="74"/>
  <c r="S374" i="74"/>
  <c r="R375" i="74"/>
  <c r="D375" i="74" s="1"/>
  <c r="N376" i="74" a="1"/>
  <c r="N376" i="74" s="1"/>
  <c r="Q376" i="74" s="1"/>
  <c r="C376" i="74" s="1"/>
  <c r="O376" i="74" a="1"/>
  <c r="O376" i="74" s="1"/>
  <c r="P376" i="74" a="1"/>
  <c r="P376" i="74" s="1"/>
  <c r="M377" i="74" a="1"/>
  <c r="M377" i="74" s="1"/>
  <c r="H373" i="74"/>
  <c r="J373" i="74" s="1"/>
  <c r="A378" i="74"/>
  <c r="E375" i="74"/>
  <c r="G375" i="74"/>
  <c r="F375" i="74"/>
  <c r="L375" i="74"/>
  <c r="K375" i="74"/>
  <c r="B375" i="74" l="1"/>
  <c r="I375" i="74"/>
  <c r="S375" i="74"/>
  <c r="R376" i="74"/>
  <c r="D376" i="74" s="1"/>
  <c r="N377" i="74" a="1"/>
  <c r="N377" i="74" s="1"/>
  <c r="Q377" i="74" s="1"/>
  <c r="C377" i="74" s="1"/>
  <c r="O377" i="74" a="1"/>
  <c r="O377" i="74" s="1"/>
  <c r="P377" i="74" a="1"/>
  <c r="P377" i="74" s="1"/>
  <c r="M378" i="74" a="1"/>
  <c r="M378" i="74" s="1"/>
  <c r="H374" i="74"/>
  <c r="J374" i="74" s="1"/>
  <c r="A379" i="74"/>
  <c r="F376" i="74"/>
  <c r="G376" i="74"/>
  <c r="E376" i="74"/>
  <c r="L376" i="74"/>
  <c r="K376" i="74"/>
  <c r="B376" i="74" l="1"/>
  <c r="I376" i="74"/>
  <c r="S376" i="74"/>
  <c r="R377" i="74"/>
  <c r="D377" i="74" s="1"/>
  <c r="N378" i="74" a="1"/>
  <c r="N378" i="74" s="1"/>
  <c r="Q378" i="74" s="1"/>
  <c r="C378" i="74" s="1"/>
  <c r="O378" i="74" a="1"/>
  <c r="O378" i="74" s="1"/>
  <c r="H375" i="74"/>
  <c r="J375" i="74" s="1"/>
  <c r="P378" i="74" a="1"/>
  <c r="P378" i="74" s="1"/>
  <c r="M379" i="74" a="1"/>
  <c r="M379" i="74" s="1"/>
  <c r="A380" i="74"/>
  <c r="E377" i="74"/>
  <c r="F377" i="74"/>
  <c r="G377" i="74"/>
  <c r="L377" i="74"/>
  <c r="K377" i="74"/>
  <c r="B377" i="74" l="1"/>
  <c r="I377" i="74"/>
  <c r="S377" i="74"/>
  <c r="R378" i="74"/>
  <c r="D378" i="74" s="1"/>
  <c r="N379" i="74" a="1"/>
  <c r="N379" i="74" s="1"/>
  <c r="Q379" i="74" s="1"/>
  <c r="C379" i="74" s="1"/>
  <c r="O379" i="74" a="1"/>
  <c r="O379" i="74" s="1"/>
  <c r="H376" i="74"/>
  <c r="J376" i="74" s="1"/>
  <c r="P379" i="74" a="1"/>
  <c r="P379" i="74" s="1"/>
  <c r="M380" i="74" a="1"/>
  <c r="M380" i="74" s="1"/>
  <c r="A381" i="74"/>
  <c r="G378" i="74"/>
  <c r="F378" i="74"/>
  <c r="E378" i="74"/>
  <c r="L378" i="74"/>
  <c r="K378" i="74"/>
  <c r="B378" i="74" l="1"/>
  <c r="I378" i="74"/>
  <c r="S378" i="74"/>
  <c r="R379" i="74"/>
  <c r="D379" i="74" s="1"/>
  <c r="N380" i="74" a="1"/>
  <c r="N380" i="74" s="1"/>
  <c r="Q380" i="74" s="1"/>
  <c r="C380" i="74" s="1"/>
  <c r="O380" i="74" a="1"/>
  <c r="O380" i="74" s="1"/>
  <c r="P380" i="74" a="1"/>
  <c r="P380" i="74" s="1"/>
  <c r="M381" i="74" a="1"/>
  <c r="M381" i="74" s="1"/>
  <c r="H377" i="74"/>
  <c r="J377" i="74" s="1"/>
  <c r="A382" i="74"/>
  <c r="E379" i="74"/>
  <c r="F379" i="74"/>
  <c r="G379" i="74"/>
  <c r="L379" i="74"/>
  <c r="K379" i="74"/>
  <c r="B379" i="74" l="1"/>
  <c r="I379" i="74"/>
  <c r="S379" i="74"/>
  <c r="R380" i="74"/>
  <c r="D380" i="74" s="1"/>
  <c r="N381" i="74" a="1"/>
  <c r="N381" i="74" s="1"/>
  <c r="Q381" i="74" s="1"/>
  <c r="C381" i="74" s="1"/>
  <c r="O381" i="74" a="1"/>
  <c r="O381" i="74" s="1"/>
  <c r="P381" i="74" a="1"/>
  <c r="P381" i="74" s="1"/>
  <c r="M382" i="74" a="1"/>
  <c r="M382" i="74" s="1"/>
  <c r="H378" i="74"/>
  <c r="J378" i="74" s="1"/>
  <c r="A383" i="74"/>
  <c r="G380" i="74"/>
  <c r="E380" i="74"/>
  <c r="F380" i="74"/>
  <c r="L380" i="74"/>
  <c r="K380" i="74"/>
  <c r="B380" i="74" l="1"/>
  <c r="I380" i="74"/>
  <c r="S380" i="74"/>
  <c r="R381" i="74"/>
  <c r="D381" i="74" s="1"/>
  <c r="H379" i="74"/>
  <c r="J379" i="74" s="1"/>
  <c r="N382" i="74" a="1"/>
  <c r="N382" i="74" s="1"/>
  <c r="Q382" i="74" s="1"/>
  <c r="C382" i="74" s="1"/>
  <c r="O382" i="74" a="1"/>
  <c r="O382" i="74" s="1"/>
  <c r="P382" i="74" a="1"/>
  <c r="P382" i="74" s="1"/>
  <c r="M383" i="74" a="1"/>
  <c r="M383" i="74" s="1"/>
  <c r="A384" i="74"/>
  <c r="F381" i="74"/>
  <c r="G381" i="74"/>
  <c r="E381" i="74"/>
  <c r="L381" i="74"/>
  <c r="K381" i="74"/>
  <c r="B381" i="74" l="1"/>
  <c r="I381" i="74"/>
  <c r="S381" i="74"/>
  <c r="R382" i="74"/>
  <c r="D382" i="74" s="1"/>
  <c r="N383" i="74" a="1"/>
  <c r="N383" i="74" s="1"/>
  <c r="Q383" i="74" s="1"/>
  <c r="C383" i="74" s="1"/>
  <c r="O383" i="74" a="1"/>
  <c r="O383" i="74" s="1"/>
  <c r="P383" i="74" a="1"/>
  <c r="P383" i="74" s="1"/>
  <c r="M384" i="74" a="1"/>
  <c r="M384" i="74" s="1"/>
  <c r="H380" i="74"/>
  <c r="J380" i="74" s="1"/>
  <c r="A385" i="74"/>
  <c r="E382" i="74"/>
  <c r="F382" i="74"/>
  <c r="G382" i="74"/>
  <c r="L382" i="74"/>
  <c r="K382" i="74"/>
  <c r="B382" i="74" l="1"/>
  <c r="I382" i="74"/>
  <c r="S382" i="74"/>
  <c r="R383" i="74"/>
  <c r="D383" i="74" s="1"/>
  <c r="H381" i="74"/>
  <c r="J381" i="74" s="1"/>
  <c r="N384" i="74" a="1"/>
  <c r="N384" i="74" s="1"/>
  <c r="Q384" i="74" s="1"/>
  <c r="C384" i="74" s="1"/>
  <c r="O384" i="74" a="1"/>
  <c r="O384" i="74" s="1"/>
  <c r="P384" i="74" a="1"/>
  <c r="P384" i="74" s="1"/>
  <c r="M385" i="74" a="1"/>
  <c r="M385" i="74" s="1"/>
  <c r="A386" i="74"/>
  <c r="F383" i="74"/>
  <c r="G383" i="74"/>
  <c r="E383" i="74"/>
  <c r="L383" i="74"/>
  <c r="K383" i="74"/>
  <c r="B383" i="74" l="1"/>
  <c r="I383" i="74"/>
  <c r="S383" i="74"/>
  <c r="R384" i="74"/>
  <c r="D384" i="74" s="1"/>
  <c r="N385" i="74" a="1"/>
  <c r="N385" i="74" s="1"/>
  <c r="Q385" i="74" s="1"/>
  <c r="C385" i="74" s="1"/>
  <c r="O385" i="74" a="1"/>
  <c r="O385" i="74" s="1"/>
  <c r="H382" i="74"/>
  <c r="J382" i="74" s="1"/>
  <c r="P385" i="74" a="1"/>
  <c r="P385" i="74" s="1"/>
  <c r="M386" i="74" a="1"/>
  <c r="M386" i="74" s="1"/>
  <c r="A387" i="74"/>
  <c r="E384" i="74"/>
  <c r="F384" i="74"/>
  <c r="G384" i="74"/>
  <c r="L384" i="74"/>
  <c r="K384" i="74"/>
  <c r="B384" i="74" l="1"/>
  <c r="I384" i="74"/>
  <c r="S384" i="74"/>
  <c r="R385" i="74"/>
  <c r="D385" i="74" s="1"/>
  <c r="H383" i="74"/>
  <c r="J383" i="74" s="1"/>
  <c r="N386" i="74" a="1"/>
  <c r="N386" i="74" s="1"/>
  <c r="Q386" i="74" s="1"/>
  <c r="C386" i="74" s="1"/>
  <c r="O386" i="74" a="1"/>
  <c r="O386" i="74" s="1"/>
  <c r="P386" i="74" a="1"/>
  <c r="P386" i="74" s="1"/>
  <c r="M387" i="74" a="1"/>
  <c r="M387" i="74" s="1"/>
  <c r="A388" i="74"/>
  <c r="G385" i="74"/>
  <c r="E385" i="74"/>
  <c r="F385" i="74"/>
  <c r="L385" i="74"/>
  <c r="K385" i="74"/>
  <c r="B385" i="74" l="1"/>
  <c r="I385" i="74"/>
  <c r="S385" i="74"/>
  <c r="R386" i="74"/>
  <c r="D386" i="74" s="1"/>
  <c r="N387" i="74" a="1"/>
  <c r="N387" i="74" s="1"/>
  <c r="Q387" i="74" s="1"/>
  <c r="C387" i="74" s="1"/>
  <c r="O387" i="74" a="1"/>
  <c r="O387" i="74" s="1"/>
  <c r="P387" i="74" a="1"/>
  <c r="P387" i="74" s="1"/>
  <c r="M388" i="74" a="1"/>
  <c r="M388" i="74" s="1"/>
  <c r="H384" i="74"/>
  <c r="J384" i="74" s="1"/>
  <c r="A389" i="74"/>
  <c r="E386" i="74"/>
  <c r="F386" i="74"/>
  <c r="G386" i="74"/>
  <c r="L386" i="74"/>
  <c r="K386" i="74"/>
  <c r="B386" i="74" l="1"/>
  <c r="I386" i="74"/>
  <c r="S386" i="74"/>
  <c r="R387" i="74"/>
  <c r="D387" i="74" s="1"/>
  <c r="N388" i="74" a="1"/>
  <c r="N388" i="74" s="1"/>
  <c r="Q388" i="74" s="1"/>
  <c r="C388" i="74" s="1"/>
  <c r="O388" i="74" a="1"/>
  <c r="O388" i="74" s="1"/>
  <c r="P388" i="74" a="1"/>
  <c r="P388" i="74" s="1"/>
  <c r="H385" i="74"/>
  <c r="J385" i="74" s="1"/>
  <c r="M389" i="74" a="1"/>
  <c r="M389" i="74" s="1"/>
  <c r="A390" i="74"/>
  <c r="G387" i="74"/>
  <c r="E387" i="74"/>
  <c r="F387" i="74"/>
  <c r="L387" i="74"/>
  <c r="K387" i="74"/>
  <c r="B387" i="74" l="1"/>
  <c r="I387" i="74"/>
  <c r="S387" i="74"/>
  <c r="R388" i="74"/>
  <c r="D388" i="74" s="1"/>
  <c r="H386" i="74"/>
  <c r="J386" i="74" s="1"/>
  <c r="N389" i="74" a="1"/>
  <c r="N389" i="74" s="1"/>
  <c r="Q389" i="74" s="1"/>
  <c r="C389" i="74" s="1"/>
  <c r="O389" i="74" a="1"/>
  <c r="O389" i="74" s="1"/>
  <c r="P389" i="74" a="1"/>
  <c r="P389" i="74" s="1"/>
  <c r="M390" i="74" a="1"/>
  <c r="M390" i="74" s="1"/>
  <c r="A391" i="74"/>
  <c r="E388" i="74"/>
  <c r="F388" i="74"/>
  <c r="G388" i="74"/>
  <c r="L388" i="74"/>
  <c r="K388" i="74"/>
  <c r="B388" i="74" l="1"/>
  <c r="I388" i="74"/>
  <c r="S388" i="74"/>
  <c r="R389" i="74"/>
  <c r="D389" i="74" s="1"/>
  <c r="N390" i="74" a="1"/>
  <c r="N390" i="74" s="1"/>
  <c r="Q390" i="74" s="1"/>
  <c r="C390" i="74" s="1"/>
  <c r="O390" i="74" a="1"/>
  <c r="O390" i="74" s="1"/>
  <c r="H387" i="74"/>
  <c r="J387" i="74" s="1"/>
  <c r="P390" i="74" a="1"/>
  <c r="P390" i="74" s="1"/>
  <c r="M391" i="74" a="1"/>
  <c r="M391" i="74" s="1"/>
  <c r="A392" i="74"/>
  <c r="E389" i="74"/>
  <c r="F389" i="74"/>
  <c r="G389" i="74"/>
  <c r="L389" i="74"/>
  <c r="K389" i="74"/>
  <c r="I389" i="74" l="1"/>
  <c r="B389" i="74"/>
  <c r="S389" i="74"/>
  <c r="R390" i="74"/>
  <c r="D390" i="74" s="1"/>
  <c r="H388" i="74"/>
  <c r="J388" i="74" s="1"/>
  <c r="N391" i="74" a="1"/>
  <c r="N391" i="74" s="1"/>
  <c r="Q391" i="74" s="1"/>
  <c r="C391" i="74" s="1"/>
  <c r="O391" i="74" a="1"/>
  <c r="O391" i="74" s="1"/>
  <c r="P391" i="74" a="1"/>
  <c r="P391" i="74" s="1"/>
  <c r="M392" i="74" a="1"/>
  <c r="M392" i="74" s="1"/>
  <c r="A393" i="74"/>
  <c r="F390" i="74"/>
  <c r="E390" i="74"/>
  <c r="G390" i="74"/>
  <c r="L390" i="74"/>
  <c r="K390" i="74"/>
  <c r="B390" i="74" l="1"/>
  <c r="I390" i="74"/>
  <c r="S390" i="74"/>
  <c r="R391" i="74"/>
  <c r="D391" i="74" s="1"/>
  <c r="N392" i="74" a="1"/>
  <c r="N392" i="74" s="1"/>
  <c r="Q392" i="74" s="1"/>
  <c r="C392" i="74" s="1"/>
  <c r="O392" i="74" a="1"/>
  <c r="O392" i="74" s="1"/>
  <c r="H389" i="74"/>
  <c r="J389" i="74" s="1"/>
  <c r="P392" i="74" a="1"/>
  <c r="P392" i="74" s="1"/>
  <c r="M393" i="74" a="1"/>
  <c r="M393" i="74" s="1"/>
  <c r="A394" i="74"/>
  <c r="G391" i="74"/>
  <c r="E391" i="74"/>
  <c r="F391" i="74"/>
  <c r="L391" i="74"/>
  <c r="K391" i="74"/>
  <c r="B391" i="74" l="1"/>
  <c r="I391" i="74"/>
  <c r="S391" i="74"/>
  <c r="R392" i="74"/>
  <c r="D392" i="74" s="1"/>
  <c r="N393" i="74" a="1"/>
  <c r="N393" i="74" s="1"/>
  <c r="Q393" i="74" s="1"/>
  <c r="C393" i="74" s="1"/>
  <c r="O393" i="74" a="1"/>
  <c r="O393" i="74" s="1"/>
  <c r="H390" i="74"/>
  <c r="J390" i="74" s="1"/>
  <c r="P393" i="74" a="1"/>
  <c r="P393" i="74" s="1"/>
  <c r="M394" i="74" a="1"/>
  <c r="M394" i="74" s="1"/>
  <c r="A395" i="74"/>
  <c r="F392" i="74"/>
  <c r="G392" i="74"/>
  <c r="E392" i="74"/>
  <c r="L392" i="74"/>
  <c r="K392" i="74"/>
  <c r="I392" i="74" l="1"/>
  <c r="B392" i="74"/>
  <c r="S392" i="74"/>
  <c r="R393" i="74"/>
  <c r="D393" i="74" s="1"/>
  <c r="N394" i="74" a="1"/>
  <c r="N394" i="74" s="1"/>
  <c r="Q394" i="74" s="1"/>
  <c r="C394" i="74" s="1"/>
  <c r="O394" i="74" a="1"/>
  <c r="O394" i="74" s="1"/>
  <c r="P394" i="74" a="1"/>
  <c r="P394" i="74" s="1"/>
  <c r="M395" i="74" a="1"/>
  <c r="M395" i="74" s="1"/>
  <c r="H391" i="74"/>
  <c r="J391" i="74" s="1"/>
  <c r="A396" i="74"/>
  <c r="E393" i="74"/>
  <c r="F393" i="74"/>
  <c r="G393" i="74"/>
  <c r="L393" i="74"/>
  <c r="K393" i="74"/>
  <c r="B393" i="74" l="1"/>
  <c r="I393" i="74"/>
  <c r="S393" i="74"/>
  <c r="R394" i="74"/>
  <c r="D394" i="74" s="1"/>
  <c r="N395" i="74" a="1"/>
  <c r="N395" i="74" s="1"/>
  <c r="Q395" i="74" s="1"/>
  <c r="C395" i="74" s="1"/>
  <c r="O395" i="74" a="1"/>
  <c r="O395" i="74" s="1"/>
  <c r="P395" i="74" a="1"/>
  <c r="P395" i="74" s="1"/>
  <c r="M396" i="74" a="1"/>
  <c r="M396" i="74" s="1"/>
  <c r="A397" i="74"/>
  <c r="H392" i="74"/>
  <c r="J392" i="74" s="1"/>
  <c r="F394" i="74"/>
  <c r="E394" i="74"/>
  <c r="G394" i="74"/>
  <c r="I394" i="74" s="1"/>
  <c r="L394" i="74"/>
  <c r="K394" i="74"/>
  <c r="B394" i="74" l="1"/>
  <c r="S394" i="74"/>
  <c r="R395" i="74"/>
  <c r="D395" i="74" s="1"/>
  <c r="N396" i="74" a="1"/>
  <c r="N396" i="74" s="1"/>
  <c r="Q396" i="74" s="1"/>
  <c r="C396" i="74" s="1"/>
  <c r="O396" i="74" a="1"/>
  <c r="O396" i="74" s="1"/>
  <c r="P396" i="74" a="1"/>
  <c r="P396" i="74" s="1"/>
  <c r="M397" i="74" a="1"/>
  <c r="M397" i="74" s="1"/>
  <c r="H393" i="74"/>
  <c r="J393" i="74" s="1"/>
  <c r="A398" i="74"/>
  <c r="G395" i="74"/>
  <c r="F395" i="74"/>
  <c r="E395" i="74"/>
  <c r="L395" i="74"/>
  <c r="K395" i="74"/>
  <c r="B395" i="74" l="1"/>
  <c r="I395" i="74"/>
  <c r="S395" i="74"/>
  <c r="R396" i="74"/>
  <c r="D396" i="74" s="1"/>
  <c r="N397" i="74" a="1"/>
  <c r="N397" i="74" s="1"/>
  <c r="Q397" i="74" s="1"/>
  <c r="C397" i="74" s="1"/>
  <c r="O397" i="74" a="1"/>
  <c r="O397" i="74" s="1"/>
  <c r="P397" i="74" a="1"/>
  <c r="P397" i="74" s="1"/>
  <c r="H394" i="74"/>
  <c r="J394" i="74" s="1"/>
  <c r="M398" i="74" a="1"/>
  <c r="M398" i="74" s="1"/>
  <c r="A399" i="74"/>
  <c r="E396" i="74"/>
  <c r="F396" i="74"/>
  <c r="G396" i="74"/>
  <c r="L396" i="74"/>
  <c r="K396" i="74"/>
  <c r="B396" i="74" l="1"/>
  <c r="I396" i="74"/>
  <c r="S396" i="74"/>
  <c r="R397" i="74"/>
  <c r="D397" i="74" s="1"/>
  <c r="N398" i="74" a="1"/>
  <c r="N398" i="74" s="1"/>
  <c r="Q398" i="74" s="1"/>
  <c r="C398" i="74" s="1"/>
  <c r="O398" i="74" a="1"/>
  <c r="O398" i="74" s="1"/>
  <c r="P398" i="74" a="1"/>
  <c r="P398" i="74" s="1"/>
  <c r="M399" i="74" a="1"/>
  <c r="M399" i="74" s="1"/>
  <c r="H395" i="74"/>
  <c r="J395" i="74" s="1"/>
  <c r="A400" i="74"/>
  <c r="F397" i="74"/>
  <c r="G397" i="74"/>
  <c r="E397" i="74"/>
  <c r="L397" i="74"/>
  <c r="K397" i="74"/>
  <c r="B397" i="74" l="1"/>
  <c r="I397" i="74"/>
  <c r="S397" i="74"/>
  <c r="R398" i="74"/>
  <c r="D398" i="74" s="1"/>
  <c r="N399" i="74" a="1"/>
  <c r="N399" i="74" s="1"/>
  <c r="Q399" i="74" s="1"/>
  <c r="C399" i="74" s="1"/>
  <c r="O399" i="74" a="1"/>
  <c r="O399" i="74" s="1"/>
  <c r="P399" i="74" a="1"/>
  <c r="P399" i="74" s="1"/>
  <c r="M400" i="74" a="1"/>
  <c r="M400" i="74" s="1"/>
  <c r="H396" i="74"/>
  <c r="J396" i="74" s="1"/>
  <c r="A401" i="74"/>
  <c r="G398" i="74"/>
  <c r="E398" i="74"/>
  <c r="F398" i="74"/>
  <c r="L398" i="74"/>
  <c r="K398" i="74"/>
  <c r="B398" i="74" l="1"/>
  <c r="I398" i="74"/>
  <c r="S398" i="74"/>
  <c r="R399" i="74"/>
  <c r="D399" i="74" s="1"/>
  <c r="H397" i="74"/>
  <c r="J397" i="74" s="1"/>
  <c r="N400" i="74" a="1"/>
  <c r="N400" i="74" s="1"/>
  <c r="Q400" i="74" s="1"/>
  <c r="C400" i="74" s="1"/>
  <c r="O400" i="74" a="1"/>
  <c r="O400" i="74" s="1"/>
  <c r="P400" i="74" a="1"/>
  <c r="P400" i="74" s="1"/>
  <c r="M401" i="74" a="1"/>
  <c r="M401" i="74" s="1"/>
  <c r="A402" i="74"/>
  <c r="E399" i="74"/>
  <c r="F399" i="74"/>
  <c r="G399" i="74"/>
  <c r="L399" i="74"/>
  <c r="K399" i="74"/>
  <c r="B399" i="74" l="1"/>
  <c r="I399" i="74"/>
  <c r="S399" i="74"/>
  <c r="R400" i="74"/>
  <c r="D400" i="74" s="1"/>
  <c r="N401" i="74" a="1"/>
  <c r="N401" i="74" s="1"/>
  <c r="Q401" i="74" s="1"/>
  <c r="C401" i="74" s="1"/>
  <c r="O401" i="74" a="1"/>
  <c r="O401" i="74" s="1"/>
  <c r="P401" i="74" a="1"/>
  <c r="P401" i="74" s="1"/>
  <c r="M402" i="74" a="1"/>
  <c r="M402" i="74" s="1"/>
  <c r="H398" i="74"/>
  <c r="J398" i="74" s="1"/>
  <c r="A403" i="74"/>
  <c r="E400" i="74"/>
  <c r="F400" i="74"/>
  <c r="G400" i="74"/>
  <c r="L400" i="74"/>
  <c r="K400" i="74"/>
  <c r="B400" i="74" l="1"/>
  <c r="I400" i="74"/>
  <c r="S400" i="74"/>
  <c r="R401" i="74"/>
  <c r="D401" i="74" s="1"/>
  <c r="N402" i="74" a="1"/>
  <c r="N402" i="74" s="1"/>
  <c r="Q402" i="74" s="1"/>
  <c r="C402" i="74" s="1"/>
  <c r="O402" i="74" a="1"/>
  <c r="O402" i="74" s="1"/>
  <c r="P402" i="74" a="1"/>
  <c r="P402" i="74" s="1"/>
  <c r="M403" i="74" a="1"/>
  <c r="M403" i="74" s="1"/>
  <c r="H399" i="74"/>
  <c r="J399" i="74" s="1"/>
  <c r="A404" i="74"/>
  <c r="F401" i="74"/>
  <c r="G401" i="74"/>
  <c r="E401" i="74"/>
  <c r="L401" i="74"/>
  <c r="K401" i="74"/>
  <c r="B401" i="74" l="1"/>
  <c r="I401" i="74"/>
  <c r="S401" i="74"/>
  <c r="R402" i="74"/>
  <c r="D402" i="74" s="1"/>
  <c r="N403" i="74" a="1"/>
  <c r="N403" i="74" s="1"/>
  <c r="Q403" i="74" s="1"/>
  <c r="C403" i="74" s="1"/>
  <c r="O403" i="74" a="1"/>
  <c r="O403" i="74" s="1"/>
  <c r="P403" i="74" a="1"/>
  <c r="P403" i="74" s="1"/>
  <c r="M404" i="74" a="1"/>
  <c r="M404" i="74" s="1"/>
  <c r="A405" i="74"/>
  <c r="H400" i="74"/>
  <c r="J400" i="74" s="1"/>
  <c r="G402" i="74"/>
  <c r="F402" i="74"/>
  <c r="E402" i="74"/>
  <c r="L402" i="74"/>
  <c r="K402" i="74"/>
  <c r="B402" i="74" l="1"/>
  <c r="I402" i="74"/>
  <c r="S402" i="74"/>
  <c r="R403" i="74"/>
  <c r="D403" i="74" s="1"/>
  <c r="N404" i="74" a="1"/>
  <c r="N404" i="74" s="1"/>
  <c r="Q404" i="74" s="1"/>
  <c r="C404" i="74" s="1"/>
  <c r="O404" i="74" a="1"/>
  <c r="O404" i="74" s="1"/>
  <c r="P404" i="74" a="1"/>
  <c r="P404" i="74" s="1"/>
  <c r="M405" i="74" a="1"/>
  <c r="M405" i="74" s="1"/>
  <c r="H401" i="74"/>
  <c r="J401" i="74" s="1"/>
  <c r="A406" i="74"/>
  <c r="E403" i="74"/>
  <c r="G403" i="74"/>
  <c r="F403" i="74"/>
  <c r="L403" i="74"/>
  <c r="K403" i="74"/>
  <c r="B403" i="74" l="1"/>
  <c r="H403" i="74" s="1"/>
  <c r="J403" i="74" s="1"/>
  <c r="I403" i="74"/>
  <c r="S403" i="74"/>
  <c r="R404" i="74"/>
  <c r="D404" i="74" s="1"/>
  <c r="N405" i="74" a="1"/>
  <c r="N405" i="74" s="1"/>
  <c r="Q405" i="74" s="1"/>
  <c r="C405" i="74" s="1"/>
  <c r="O405" i="74" a="1"/>
  <c r="O405" i="74" s="1"/>
  <c r="P405" i="74" a="1"/>
  <c r="P405" i="74" s="1"/>
  <c r="M406" i="74" a="1"/>
  <c r="M406" i="74" s="1"/>
  <c r="H402" i="74"/>
  <c r="J402" i="74" s="1"/>
  <c r="A407" i="74"/>
  <c r="E404" i="74"/>
  <c r="F404" i="74"/>
  <c r="G404" i="74"/>
  <c r="L404" i="74"/>
  <c r="K404" i="74"/>
  <c r="B404" i="74" l="1"/>
  <c r="I404" i="74"/>
  <c r="S404" i="74"/>
  <c r="R405" i="74"/>
  <c r="D405" i="74" s="1"/>
  <c r="N406" i="74" a="1"/>
  <c r="N406" i="74" s="1"/>
  <c r="Q406" i="74" s="1"/>
  <c r="C406" i="74" s="1"/>
  <c r="O406" i="74" a="1"/>
  <c r="O406" i="74" s="1"/>
  <c r="P406" i="74" a="1"/>
  <c r="P406" i="74" s="1"/>
  <c r="M407" i="74" a="1"/>
  <c r="M407" i="74" s="1"/>
  <c r="A408" i="74"/>
  <c r="F405" i="74"/>
  <c r="G405" i="74"/>
  <c r="E405" i="74"/>
  <c r="L405" i="74"/>
  <c r="K405" i="74"/>
  <c r="B405" i="74" l="1"/>
  <c r="I405" i="74"/>
  <c r="S405" i="74"/>
  <c r="R406" i="74"/>
  <c r="D406" i="74" s="1"/>
  <c r="N407" i="74" a="1"/>
  <c r="N407" i="74" s="1"/>
  <c r="Q407" i="74" s="1"/>
  <c r="C407" i="74" s="1"/>
  <c r="O407" i="74" a="1"/>
  <c r="O407" i="74" s="1"/>
  <c r="H404" i="74"/>
  <c r="J404" i="74" s="1"/>
  <c r="P407" i="74" a="1"/>
  <c r="P407" i="74" s="1"/>
  <c r="M408" i="74" a="1"/>
  <c r="M408" i="74" s="1"/>
  <c r="A409" i="74"/>
  <c r="G406" i="74"/>
  <c r="E406" i="74"/>
  <c r="F406" i="74"/>
  <c r="L406" i="74"/>
  <c r="K406" i="74"/>
  <c r="B406" i="74" l="1"/>
  <c r="I406" i="74"/>
  <c r="S406" i="74"/>
  <c r="R407" i="74"/>
  <c r="D407" i="74" s="1"/>
  <c r="N408" i="74" a="1"/>
  <c r="N408" i="74" s="1"/>
  <c r="Q408" i="74" s="1"/>
  <c r="C408" i="74" s="1"/>
  <c r="O408" i="74" a="1"/>
  <c r="O408" i="74" s="1"/>
  <c r="H405" i="74"/>
  <c r="J405" i="74" s="1"/>
  <c r="P408" i="74" a="1"/>
  <c r="P408" i="74" s="1"/>
  <c r="M409" i="74" a="1"/>
  <c r="M409" i="74" s="1"/>
  <c r="A410" i="74"/>
  <c r="E407" i="74"/>
  <c r="F407" i="74"/>
  <c r="G407" i="74"/>
  <c r="L407" i="74"/>
  <c r="K407" i="74"/>
  <c r="B407" i="74" l="1"/>
  <c r="I407" i="74"/>
  <c r="S407" i="74"/>
  <c r="R408" i="74"/>
  <c r="D408" i="74" s="1"/>
  <c r="N409" i="74" a="1"/>
  <c r="N409" i="74" s="1"/>
  <c r="Q409" i="74" s="1"/>
  <c r="C409" i="74" s="1"/>
  <c r="O409" i="74" a="1"/>
  <c r="O409" i="74" s="1"/>
  <c r="P409" i="74" a="1"/>
  <c r="P409" i="74" s="1"/>
  <c r="M410" i="74" a="1"/>
  <c r="M410" i="74" s="1"/>
  <c r="H406" i="74"/>
  <c r="J406" i="74" s="1"/>
  <c r="A411" i="74"/>
  <c r="E408" i="74"/>
  <c r="F408" i="74"/>
  <c r="G408" i="74"/>
  <c r="L408" i="74"/>
  <c r="K408" i="74"/>
  <c r="B408" i="74" l="1"/>
  <c r="I408" i="74"/>
  <c r="S408" i="74"/>
  <c r="R409" i="74"/>
  <c r="D409" i="74" s="1"/>
  <c r="H407" i="74"/>
  <c r="J407" i="74" s="1"/>
  <c r="N410" i="74" a="1"/>
  <c r="N410" i="74" s="1"/>
  <c r="Q410" i="74" s="1"/>
  <c r="C410" i="74" s="1"/>
  <c r="O410" i="74" a="1"/>
  <c r="O410" i="74" s="1"/>
  <c r="P410" i="74" a="1"/>
  <c r="P410" i="74" s="1"/>
  <c r="M411" i="74" a="1"/>
  <c r="M411" i="74" s="1"/>
  <c r="A412" i="74"/>
  <c r="F409" i="74"/>
  <c r="G409" i="74"/>
  <c r="E409" i="74"/>
  <c r="L409" i="74"/>
  <c r="K409" i="74"/>
  <c r="B409" i="74" l="1"/>
  <c r="I409" i="74"/>
  <c r="S409" i="74"/>
  <c r="R410" i="74"/>
  <c r="D410" i="74" s="1"/>
  <c r="N411" i="74" a="1"/>
  <c r="N411" i="74" s="1"/>
  <c r="Q411" i="74" s="1"/>
  <c r="C411" i="74" s="1"/>
  <c r="O411" i="74" a="1"/>
  <c r="O411" i="74" s="1"/>
  <c r="P411" i="74" a="1"/>
  <c r="P411" i="74" s="1"/>
  <c r="M412" i="74" a="1"/>
  <c r="M412" i="74" s="1"/>
  <c r="H408" i="74"/>
  <c r="J408" i="74" s="1"/>
  <c r="A413" i="74"/>
  <c r="G410" i="74"/>
  <c r="E410" i="74"/>
  <c r="F410" i="74"/>
  <c r="L410" i="74"/>
  <c r="K410" i="74"/>
  <c r="B410" i="74" l="1"/>
  <c r="I410" i="74"/>
  <c r="S410" i="74"/>
  <c r="R411" i="74"/>
  <c r="D411" i="74" s="1"/>
  <c r="N412" i="74" a="1"/>
  <c r="N412" i="74" s="1"/>
  <c r="Q412" i="74" s="1"/>
  <c r="C412" i="74" s="1"/>
  <c r="O412" i="74" a="1"/>
  <c r="O412" i="74" s="1"/>
  <c r="P412" i="74" a="1"/>
  <c r="P412" i="74" s="1"/>
  <c r="M413" i="74" a="1"/>
  <c r="M413" i="74" s="1"/>
  <c r="H409" i="74"/>
  <c r="J409" i="74" s="1"/>
  <c r="A414" i="74"/>
  <c r="E411" i="74"/>
  <c r="F411" i="74"/>
  <c r="G411" i="74"/>
  <c r="L411" i="74"/>
  <c r="K411" i="74"/>
  <c r="B411" i="74" l="1"/>
  <c r="I411" i="74"/>
  <c r="S411" i="74"/>
  <c r="R412" i="74"/>
  <c r="D412" i="74" s="1"/>
  <c r="H410" i="74"/>
  <c r="J410" i="74" s="1"/>
  <c r="N413" i="74" a="1"/>
  <c r="N413" i="74" s="1"/>
  <c r="Q413" i="74" s="1"/>
  <c r="C413" i="74" s="1"/>
  <c r="O413" i="74" a="1"/>
  <c r="O413" i="74" s="1"/>
  <c r="P413" i="74" a="1"/>
  <c r="P413" i="74" s="1"/>
  <c r="M414" i="74" a="1"/>
  <c r="M414" i="74" s="1"/>
  <c r="A415" i="74"/>
  <c r="E412" i="74"/>
  <c r="F412" i="74"/>
  <c r="G412" i="74"/>
  <c r="L412" i="74"/>
  <c r="K412" i="74"/>
  <c r="B412" i="74" l="1"/>
  <c r="I412" i="74"/>
  <c r="S412" i="74"/>
  <c r="R413" i="74"/>
  <c r="D413" i="74" s="1"/>
  <c r="N414" i="74" a="1"/>
  <c r="N414" i="74" s="1"/>
  <c r="Q414" i="74" s="1"/>
  <c r="C414" i="74" s="1"/>
  <c r="O414" i="74" a="1"/>
  <c r="O414" i="74" s="1"/>
  <c r="H411" i="74"/>
  <c r="J411" i="74" s="1"/>
  <c r="P414" i="74" a="1"/>
  <c r="P414" i="74" s="1"/>
  <c r="M415" i="74" a="1"/>
  <c r="M415" i="74" s="1"/>
  <c r="A416" i="74"/>
  <c r="F413" i="74"/>
  <c r="G413" i="74"/>
  <c r="E413" i="74"/>
  <c r="L413" i="74"/>
  <c r="K413" i="74"/>
  <c r="B413" i="74" l="1"/>
  <c r="I413" i="74"/>
  <c r="S413" i="74"/>
  <c r="R414" i="74"/>
  <c r="D414" i="74" s="1"/>
  <c r="N415" i="74" a="1"/>
  <c r="N415" i="74" s="1"/>
  <c r="Q415" i="74" s="1"/>
  <c r="C415" i="74" s="1"/>
  <c r="O415" i="74" a="1"/>
  <c r="O415" i="74" s="1"/>
  <c r="P415" i="74" a="1"/>
  <c r="P415" i="74" s="1"/>
  <c r="M416" i="74" a="1"/>
  <c r="M416" i="74" s="1"/>
  <c r="H412" i="74"/>
  <c r="J412" i="74" s="1"/>
  <c r="A417" i="74"/>
  <c r="G414" i="74"/>
  <c r="E414" i="74"/>
  <c r="F414" i="74"/>
  <c r="L414" i="74"/>
  <c r="K414" i="74"/>
  <c r="B414" i="74" l="1"/>
  <c r="I414" i="74"/>
  <c r="S414" i="74"/>
  <c r="R415" i="74"/>
  <c r="D415" i="74" s="1"/>
  <c r="N416" i="74" a="1"/>
  <c r="N416" i="74" s="1"/>
  <c r="Q416" i="74" s="1"/>
  <c r="C416" i="74" s="1"/>
  <c r="O416" i="74" a="1"/>
  <c r="O416" i="74" s="1"/>
  <c r="P416" i="74" a="1"/>
  <c r="P416" i="74" s="1"/>
  <c r="H413" i="74"/>
  <c r="J413" i="74" s="1"/>
  <c r="M417" i="74" a="1"/>
  <c r="M417" i="74" s="1"/>
  <c r="A418" i="74"/>
  <c r="E415" i="74"/>
  <c r="F415" i="74"/>
  <c r="G415" i="74"/>
  <c r="L415" i="74"/>
  <c r="K415" i="74"/>
  <c r="B415" i="74" l="1"/>
  <c r="I415" i="74"/>
  <c r="S415" i="74"/>
  <c r="R416" i="74"/>
  <c r="D416" i="74" s="1"/>
  <c r="N417" i="74" a="1"/>
  <c r="N417" i="74" s="1"/>
  <c r="Q417" i="74" s="1"/>
  <c r="C417" i="74" s="1"/>
  <c r="O417" i="74" a="1"/>
  <c r="O417" i="74" s="1"/>
  <c r="P417" i="74" a="1"/>
  <c r="P417" i="74" s="1"/>
  <c r="M418" i="74" a="1"/>
  <c r="M418" i="74" s="1"/>
  <c r="H414" i="74"/>
  <c r="J414" i="74" s="1"/>
  <c r="A419" i="74"/>
  <c r="E416" i="74"/>
  <c r="F416" i="74"/>
  <c r="G416" i="74"/>
  <c r="L416" i="74"/>
  <c r="K416" i="74"/>
  <c r="B416" i="74" l="1"/>
  <c r="I416" i="74"/>
  <c r="S416" i="74"/>
  <c r="R417" i="74"/>
  <c r="D417" i="74" s="1"/>
  <c r="N418" i="74" a="1"/>
  <c r="N418" i="74" s="1"/>
  <c r="Q418" i="74" s="1"/>
  <c r="C418" i="74" s="1"/>
  <c r="O418" i="74" a="1"/>
  <c r="O418" i="74" s="1"/>
  <c r="P418" i="74" a="1"/>
  <c r="P418" i="74" s="1"/>
  <c r="M419" i="74" a="1"/>
  <c r="M419" i="74" s="1"/>
  <c r="H415" i="74"/>
  <c r="J415" i="74" s="1"/>
  <c r="A420" i="74"/>
  <c r="F417" i="74"/>
  <c r="G417" i="74"/>
  <c r="E417" i="74"/>
  <c r="L417" i="74"/>
  <c r="K417" i="74"/>
  <c r="B417" i="74" l="1"/>
  <c r="I417" i="74"/>
  <c r="S417" i="74"/>
  <c r="R418" i="74"/>
  <c r="D418" i="74" s="1"/>
  <c r="H416" i="74"/>
  <c r="J416" i="74" s="1"/>
  <c r="N419" i="74" a="1"/>
  <c r="N419" i="74" s="1"/>
  <c r="Q419" i="74" s="1"/>
  <c r="C419" i="74" s="1"/>
  <c r="O419" i="74" a="1"/>
  <c r="O419" i="74" s="1"/>
  <c r="P419" i="74" a="1"/>
  <c r="P419" i="74" s="1"/>
  <c r="M420" i="74" a="1"/>
  <c r="M420" i="74" s="1"/>
  <c r="A421" i="74"/>
  <c r="G418" i="74"/>
  <c r="F418" i="74"/>
  <c r="E418" i="74"/>
  <c r="L418" i="74"/>
  <c r="K418" i="74"/>
  <c r="B418" i="74" l="1"/>
  <c r="I418" i="74"/>
  <c r="S418" i="74"/>
  <c r="R419" i="74"/>
  <c r="D419" i="74" s="1"/>
  <c r="N420" i="74" a="1"/>
  <c r="N420" i="74" s="1"/>
  <c r="Q420" i="74" s="1"/>
  <c r="C420" i="74" s="1"/>
  <c r="O420" i="74" a="1"/>
  <c r="O420" i="74" s="1"/>
  <c r="P420" i="74" a="1"/>
  <c r="P420" i="74" s="1"/>
  <c r="M421" i="74" a="1"/>
  <c r="M421" i="74" s="1"/>
  <c r="H417" i="74"/>
  <c r="J417" i="74" s="1"/>
  <c r="A422" i="74"/>
  <c r="E419" i="74"/>
  <c r="G419" i="74"/>
  <c r="F419" i="74"/>
  <c r="L419" i="74"/>
  <c r="K419" i="74"/>
  <c r="B419" i="74" l="1"/>
  <c r="I419" i="74"/>
  <c r="S419" i="74"/>
  <c r="R420" i="74"/>
  <c r="D420" i="74" s="1"/>
  <c r="N421" i="74" a="1"/>
  <c r="N421" i="74" s="1"/>
  <c r="Q421" i="74" s="1"/>
  <c r="C421" i="74" s="1"/>
  <c r="O421" i="74" a="1"/>
  <c r="O421" i="74" s="1"/>
  <c r="P421" i="74" a="1"/>
  <c r="P421" i="74" s="1"/>
  <c r="M422" i="74" a="1"/>
  <c r="M422" i="74" s="1"/>
  <c r="H418" i="74"/>
  <c r="J418" i="74" s="1"/>
  <c r="A423" i="74"/>
  <c r="E420" i="74"/>
  <c r="F420" i="74"/>
  <c r="G420" i="74"/>
  <c r="L420" i="74"/>
  <c r="K420" i="74"/>
  <c r="I420" i="74" l="1"/>
  <c r="B420" i="74"/>
  <c r="S420" i="74"/>
  <c r="R421" i="74"/>
  <c r="D421" i="74" s="1"/>
  <c r="N422" i="74" a="1"/>
  <c r="N422" i="74" s="1"/>
  <c r="Q422" i="74" s="1"/>
  <c r="C422" i="74" s="1"/>
  <c r="O422" i="74" a="1"/>
  <c r="O422" i="74" s="1"/>
  <c r="P422" i="74" a="1"/>
  <c r="P422" i="74" s="1"/>
  <c r="H419" i="74"/>
  <c r="J419" i="74" s="1"/>
  <c r="M423" i="74" a="1"/>
  <c r="M423" i="74" s="1"/>
  <c r="A424" i="74"/>
  <c r="F421" i="74"/>
  <c r="G421" i="74"/>
  <c r="E421" i="74"/>
  <c r="L421" i="74"/>
  <c r="K421" i="74"/>
  <c r="B421" i="74" l="1"/>
  <c r="I421" i="74"/>
  <c r="S421" i="74"/>
  <c r="R422" i="74"/>
  <c r="D422" i="74" s="1"/>
  <c r="H420" i="74"/>
  <c r="J420" i="74" s="1"/>
  <c r="N423" i="74" a="1"/>
  <c r="N423" i="74" s="1"/>
  <c r="Q423" i="74" s="1"/>
  <c r="C423" i="74" s="1"/>
  <c r="O423" i="74" a="1"/>
  <c r="O423" i="74" s="1"/>
  <c r="P423" i="74" a="1"/>
  <c r="P423" i="74" s="1"/>
  <c r="M424" i="74" a="1"/>
  <c r="M424" i="74" s="1"/>
  <c r="A425" i="74"/>
  <c r="G422" i="74"/>
  <c r="E422" i="74"/>
  <c r="F422" i="74"/>
  <c r="L422" i="74"/>
  <c r="K422" i="74"/>
  <c r="I422" i="74" l="1"/>
  <c r="B422" i="74"/>
  <c r="S422" i="74"/>
  <c r="R423" i="74"/>
  <c r="D423" i="74" s="1"/>
  <c r="N424" i="74" a="1"/>
  <c r="N424" i="74" s="1"/>
  <c r="Q424" i="74" s="1"/>
  <c r="C424" i="74" s="1"/>
  <c r="O424" i="74" a="1"/>
  <c r="O424" i="74" s="1"/>
  <c r="P424" i="74" a="1"/>
  <c r="P424" i="74" s="1"/>
  <c r="M425" i="74" a="1"/>
  <c r="M425" i="74" s="1"/>
  <c r="H421" i="74"/>
  <c r="J421" i="74" s="1"/>
  <c r="A426" i="74"/>
  <c r="E423" i="74"/>
  <c r="F423" i="74"/>
  <c r="G423" i="74"/>
  <c r="L423" i="74"/>
  <c r="K423" i="74"/>
  <c r="B423" i="74" l="1"/>
  <c r="I423" i="74"/>
  <c r="S423" i="74"/>
  <c r="R424" i="74"/>
  <c r="D424" i="74" s="1"/>
  <c r="H422" i="74"/>
  <c r="J422" i="74" s="1"/>
  <c r="N425" i="74" a="1"/>
  <c r="N425" i="74" s="1"/>
  <c r="Q425" i="74" s="1"/>
  <c r="C425" i="74" s="1"/>
  <c r="O425" i="74" a="1"/>
  <c r="O425" i="74" s="1"/>
  <c r="P425" i="74" a="1"/>
  <c r="P425" i="74" s="1"/>
  <c r="M426" i="74" a="1"/>
  <c r="M426" i="74" s="1"/>
  <c r="A427" i="74"/>
  <c r="E424" i="74"/>
  <c r="F424" i="74"/>
  <c r="G424" i="74"/>
  <c r="I424" i="74" s="1"/>
  <c r="L424" i="74"/>
  <c r="K424" i="74"/>
  <c r="B424" i="74" l="1"/>
  <c r="S424" i="74"/>
  <c r="R425" i="74"/>
  <c r="D425" i="74" s="1"/>
  <c r="N426" i="74" a="1"/>
  <c r="N426" i="74" s="1"/>
  <c r="Q426" i="74" s="1"/>
  <c r="C426" i="74" s="1"/>
  <c r="O426" i="74" a="1"/>
  <c r="O426" i="74" s="1"/>
  <c r="P426" i="74" a="1"/>
  <c r="P426" i="74" s="1"/>
  <c r="M427" i="74" a="1"/>
  <c r="M427" i="74" s="1"/>
  <c r="A428" i="74"/>
  <c r="H423" i="74"/>
  <c r="J423" i="74" s="1"/>
  <c r="F425" i="74"/>
  <c r="G425" i="74"/>
  <c r="E425" i="74"/>
  <c r="L425" i="74"/>
  <c r="K425" i="74"/>
  <c r="B425" i="74" l="1"/>
  <c r="I425" i="74"/>
  <c r="S425" i="74"/>
  <c r="R426" i="74"/>
  <c r="D426" i="74" s="1"/>
  <c r="N427" i="74" a="1"/>
  <c r="N427" i="74" s="1"/>
  <c r="Q427" i="74" s="1"/>
  <c r="C427" i="74" s="1"/>
  <c r="O427" i="74" a="1"/>
  <c r="O427" i="74" s="1"/>
  <c r="H424" i="74"/>
  <c r="J424" i="74" s="1"/>
  <c r="P427" i="74" a="1"/>
  <c r="P427" i="74" s="1"/>
  <c r="M428" i="74" a="1"/>
  <c r="M428" i="74" s="1"/>
  <c r="A429" i="74"/>
  <c r="G426" i="74"/>
  <c r="I426" i="74" s="1"/>
  <c r="E426" i="74"/>
  <c r="F426" i="74"/>
  <c r="L426" i="74"/>
  <c r="K426" i="74"/>
  <c r="B426" i="74" l="1"/>
  <c r="S426" i="74"/>
  <c r="R427" i="74"/>
  <c r="D427" i="74" s="1"/>
  <c r="N428" i="74" a="1"/>
  <c r="N428" i="74" s="1"/>
  <c r="Q428" i="74" s="1"/>
  <c r="C428" i="74" s="1"/>
  <c r="O428" i="74" a="1"/>
  <c r="O428" i="74" s="1"/>
  <c r="P428" i="74" a="1"/>
  <c r="P428" i="74" s="1"/>
  <c r="M429" i="74" a="1"/>
  <c r="M429" i="74" s="1"/>
  <c r="H425" i="74"/>
  <c r="J425" i="74" s="1"/>
  <c r="A430" i="74"/>
  <c r="E427" i="74"/>
  <c r="F427" i="74"/>
  <c r="G427" i="74"/>
  <c r="L427" i="74"/>
  <c r="K427" i="74"/>
  <c r="B427" i="74" l="1"/>
  <c r="I427" i="74"/>
  <c r="S427" i="74"/>
  <c r="R428" i="74"/>
  <c r="D428" i="74" s="1"/>
  <c r="N429" i="74" a="1"/>
  <c r="N429" i="74" s="1"/>
  <c r="Q429" i="74" s="1"/>
  <c r="C429" i="74" s="1"/>
  <c r="O429" i="74" a="1"/>
  <c r="O429" i="74" s="1"/>
  <c r="P429" i="74" a="1"/>
  <c r="P429" i="74" s="1"/>
  <c r="M430" i="74" a="1"/>
  <c r="M430" i="74" s="1"/>
  <c r="H426" i="74"/>
  <c r="J426" i="74" s="1"/>
  <c r="A431" i="74"/>
  <c r="E428" i="74"/>
  <c r="F428" i="74"/>
  <c r="G428" i="74"/>
  <c r="I428" i="74" s="1"/>
  <c r="L428" i="74"/>
  <c r="K428" i="74"/>
  <c r="B428" i="74" l="1"/>
  <c r="S428" i="74"/>
  <c r="R429" i="74"/>
  <c r="D429" i="74" s="1"/>
  <c r="N430" i="74" a="1"/>
  <c r="N430" i="74" s="1"/>
  <c r="Q430" i="74" s="1"/>
  <c r="C430" i="74" s="1"/>
  <c r="O430" i="74" a="1"/>
  <c r="O430" i="74" s="1"/>
  <c r="P430" i="74" a="1"/>
  <c r="P430" i="74" s="1"/>
  <c r="M431" i="74" a="1"/>
  <c r="M431" i="74" s="1"/>
  <c r="H427" i="74"/>
  <c r="J427" i="74" s="1"/>
  <c r="A432" i="74"/>
  <c r="F429" i="74"/>
  <c r="G429" i="74"/>
  <c r="E429" i="74"/>
  <c r="L429" i="74"/>
  <c r="K429" i="74"/>
  <c r="B429" i="74" l="1"/>
  <c r="I429" i="74"/>
  <c r="S429" i="74"/>
  <c r="R430" i="74"/>
  <c r="D430" i="74" s="1"/>
  <c r="N431" i="74" a="1"/>
  <c r="N431" i="74" s="1"/>
  <c r="Q431" i="74" s="1"/>
  <c r="C431" i="74" s="1"/>
  <c r="O431" i="74" a="1"/>
  <c r="O431" i="74" s="1"/>
  <c r="P431" i="74" a="1"/>
  <c r="P431" i="74" s="1"/>
  <c r="H428" i="74"/>
  <c r="J428" i="74" s="1"/>
  <c r="M432" i="74" a="1"/>
  <c r="M432" i="74" s="1"/>
  <c r="A433" i="74"/>
  <c r="E430" i="74"/>
  <c r="F430" i="74"/>
  <c r="G430" i="74"/>
  <c r="L430" i="74"/>
  <c r="K430" i="74"/>
  <c r="B430" i="74" l="1"/>
  <c r="I430" i="74"/>
  <c r="S430" i="74"/>
  <c r="R431" i="74"/>
  <c r="D431" i="74" s="1"/>
  <c r="H429" i="74"/>
  <c r="J429" i="74" s="1"/>
  <c r="N432" i="74" a="1"/>
  <c r="N432" i="74" s="1"/>
  <c r="Q432" i="74" s="1"/>
  <c r="C432" i="74" s="1"/>
  <c r="O432" i="74" a="1"/>
  <c r="O432" i="74" s="1"/>
  <c r="P432" i="74" a="1"/>
  <c r="P432" i="74" s="1"/>
  <c r="M433" i="74" a="1"/>
  <c r="M433" i="74" s="1"/>
  <c r="A434" i="74"/>
  <c r="G431" i="74"/>
  <c r="E431" i="74"/>
  <c r="F431" i="74"/>
  <c r="L431" i="74"/>
  <c r="K431" i="74"/>
  <c r="B431" i="74" l="1"/>
  <c r="I431" i="74"/>
  <c r="S431" i="74"/>
  <c r="R432" i="74"/>
  <c r="D432" i="74" s="1"/>
  <c r="N433" i="74" a="1"/>
  <c r="N433" i="74" s="1"/>
  <c r="Q433" i="74" s="1"/>
  <c r="C433" i="74" s="1"/>
  <c r="O433" i="74" a="1"/>
  <c r="O433" i="74" s="1"/>
  <c r="H430" i="74"/>
  <c r="J430" i="74" s="1"/>
  <c r="P433" i="74" a="1"/>
  <c r="P433" i="74" s="1"/>
  <c r="M434" i="74" a="1"/>
  <c r="M434" i="74" s="1"/>
  <c r="A435" i="74"/>
  <c r="F432" i="74"/>
  <c r="G432" i="74"/>
  <c r="E432" i="74"/>
  <c r="L432" i="74"/>
  <c r="K432" i="74"/>
  <c r="B432" i="74" l="1"/>
  <c r="I432" i="74"/>
  <c r="S432" i="74"/>
  <c r="R433" i="74"/>
  <c r="D433" i="74" s="1"/>
  <c r="H431" i="74"/>
  <c r="J431" i="74" s="1"/>
  <c r="N434" i="74" a="1"/>
  <c r="N434" i="74" s="1"/>
  <c r="Q434" i="74" s="1"/>
  <c r="C434" i="74" s="1"/>
  <c r="O434" i="74" a="1"/>
  <c r="O434" i="74" s="1"/>
  <c r="P434" i="74" a="1"/>
  <c r="P434" i="74" s="1"/>
  <c r="M435" i="74" a="1"/>
  <c r="M435" i="74" s="1"/>
  <c r="A436" i="74"/>
  <c r="E433" i="74"/>
  <c r="F433" i="74"/>
  <c r="G433" i="74"/>
  <c r="L433" i="74"/>
  <c r="K433" i="74"/>
  <c r="B433" i="74" l="1"/>
  <c r="I433" i="74"/>
  <c r="S433" i="74"/>
  <c r="R434" i="74"/>
  <c r="D434" i="74" s="1"/>
  <c r="N435" i="74" a="1"/>
  <c r="N435" i="74" s="1"/>
  <c r="Q435" i="74" s="1"/>
  <c r="C435" i="74" s="1"/>
  <c r="O435" i="74" a="1"/>
  <c r="O435" i="74" s="1"/>
  <c r="H432" i="74"/>
  <c r="J432" i="74" s="1"/>
  <c r="P435" i="74" a="1"/>
  <c r="P435" i="74" s="1"/>
  <c r="M436" i="74" a="1"/>
  <c r="M436" i="74" s="1"/>
  <c r="A437" i="74"/>
  <c r="E434" i="74"/>
  <c r="G434" i="74"/>
  <c r="F434" i="74"/>
  <c r="L434" i="74"/>
  <c r="K434" i="74"/>
  <c r="B434" i="74" l="1"/>
  <c r="I434" i="74"/>
  <c r="S434" i="74"/>
  <c r="R435" i="74"/>
  <c r="D435" i="74" s="1"/>
  <c r="H433" i="74"/>
  <c r="J433" i="74" s="1"/>
  <c r="N436" i="74" a="1"/>
  <c r="N436" i="74" s="1"/>
  <c r="Q436" i="74" s="1"/>
  <c r="C436" i="74" s="1"/>
  <c r="O436" i="74" a="1"/>
  <c r="O436" i="74" s="1"/>
  <c r="P436" i="74" a="1"/>
  <c r="P436" i="74" s="1"/>
  <c r="M437" i="74" a="1"/>
  <c r="M437" i="74" s="1"/>
  <c r="A438" i="74"/>
  <c r="G435" i="74"/>
  <c r="E435" i="74"/>
  <c r="F435" i="74"/>
  <c r="L435" i="74"/>
  <c r="K435" i="74"/>
  <c r="B435" i="74" l="1"/>
  <c r="I435" i="74"/>
  <c r="S435" i="74"/>
  <c r="R436" i="74"/>
  <c r="D436" i="74" s="1"/>
  <c r="N437" i="74" a="1"/>
  <c r="N437" i="74" s="1"/>
  <c r="Q437" i="74" s="1"/>
  <c r="C437" i="74" s="1"/>
  <c r="O437" i="74" a="1"/>
  <c r="O437" i="74" s="1"/>
  <c r="H434" i="74"/>
  <c r="J434" i="74" s="1"/>
  <c r="P437" i="74" a="1"/>
  <c r="P437" i="74" s="1"/>
  <c r="M438" i="74" a="1"/>
  <c r="M438" i="74" s="1"/>
  <c r="A439" i="74"/>
  <c r="F436" i="74"/>
  <c r="G436" i="74"/>
  <c r="E436" i="74"/>
  <c r="L436" i="74"/>
  <c r="K436" i="74"/>
  <c r="B436" i="74" l="1"/>
  <c r="I436" i="74"/>
  <c r="S436" i="74"/>
  <c r="R437" i="74"/>
  <c r="D437" i="74" s="1"/>
  <c r="N438" i="74" a="1"/>
  <c r="N438" i="74" s="1"/>
  <c r="Q438" i="74" s="1"/>
  <c r="C438" i="74" s="1"/>
  <c r="O438" i="74" a="1"/>
  <c r="O438" i="74" s="1"/>
  <c r="H435" i="74"/>
  <c r="J435" i="74" s="1"/>
  <c r="P438" i="74" a="1"/>
  <c r="P438" i="74" s="1"/>
  <c r="M439" i="74" a="1"/>
  <c r="M439" i="74" s="1"/>
  <c r="A440" i="74"/>
  <c r="E437" i="74"/>
  <c r="F437" i="74"/>
  <c r="G437" i="74"/>
  <c r="L437" i="74"/>
  <c r="K437" i="74"/>
  <c r="B437" i="74" l="1"/>
  <c r="I437" i="74"/>
  <c r="S437" i="74"/>
  <c r="R438" i="74"/>
  <c r="D438" i="74" s="1"/>
  <c r="N439" i="74" a="1"/>
  <c r="N439" i="74" s="1"/>
  <c r="Q439" i="74" s="1"/>
  <c r="C439" i="74" s="1"/>
  <c r="O439" i="74" a="1"/>
  <c r="O439" i="74" s="1"/>
  <c r="P439" i="74" a="1"/>
  <c r="P439" i="74" s="1"/>
  <c r="M440" i="74" a="1"/>
  <c r="M440" i="74" s="1"/>
  <c r="H436" i="74"/>
  <c r="J436" i="74" s="1"/>
  <c r="A441" i="74"/>
  <c r="E438" i="74"/>
  <c r="F438" i="74"/>
  <c r="G438" i="74"/>
  <c r="L438" i="74"/>
  <c r="K438" i="74"/>
  <c r="B438" i="74" l="1"/>
  <c r="I438" i="74"/>
  <c r="S438" i="74"/>
  <c r="R439" i="74"/>
  <c r="D439" i="74" s="1"/>
  <c r="N440" i="74" a="1"/>
  <c r="N440" i="74" s="1"/>
  <c r="Q440" i="74" s="1"/>
  <c r="C440" i="74" s="1"/>
  <c r="O440" i="74" a="1"/>
  <c r="O440" i="74" s="1"/>
  <c r="P440" i="74" a="1"/>
  <c r="P440" i="74" s="1"/>
  <c r="M441" i="74" a="1"/>
  <c r="M441" i="74" s="1"/>
  <c r="H437" i="74"/>
  <c r="J437" i="74" s="1"/>
  <c r="A442" i="74"/>
  <c r="G439" i="74"/>
  <c r="F439" i="74"/>
  <c r="E439" i="74"/>
  <c r="L439" i="74"/>
  <c r="K439" i="74"/>
  <c r="B439" i="74" l="1"/>
  <c r="I439" i="74"/>
  <c r="S439" i="74"/>
  <c r="R440" i="74"/>
  <c r="D440" i="74" s="1"/>
  <c r="N441" i="74" a="1"/>
  <c r="N441" i="74" s="1"/>
  <c r="Q441" i="74" s="1"/>
  <c r="C441" i="74" s="1"/>
  <c r="O441" i="74" a="1"/>
  <c r="O441" i="74" s="1"/>
  <c r="P441" i="74" a="1"/>
  <c r="P441" i="74" s="1"/>
  <c r="M442" i="74" a="1"/>
  <c r="M442" i="74" s="1"/>
  <c r="H438" i="74"/>
  <c r="J438" i="74" s="1"/>
  <c r="A443" i="74"/>
  <c r="F440" i="74"/>
  <c r="G440" i="74"/>
  <c r="E440" i="74"/>
  <c r="L440" i="74"/>
  <c r="K440" i="74"/>
  <c r="B440" i="74" l="1"/>
  <c r="I440" i="74"/>
  <c r="S440" i="74"/>
  <c r="R441" i="74"/>
  <c r="D441" i="74" s="1"/>
  <c r="H439" i="74"/>
  <c r="J439" i="74" s="1"/>
  <c r="N442" i="74" a="1"/>
  <c r="N442" i="74" s="1"/>
  <c r="Q442" i="74" s="1"/>
  <c r="C442" i="74" s="1"/>
  <c r="O442" i="74" a="1"/>
  <c r="O442" i="74" s="1"/>
  <c r="P442" i="74" a="1"/>
  <c r="P442" i="74" s="1"/>
  <c r="M443" i="74" a="1"/>
  <c r="M443" i="74" s="1"/>
  <c r="A444" i="74"/>
  <c r="E441" i="74"/>
  <c r="F441" i="74"/>
  <c r="G441" i="74"/>
  <c r="L441" i="74"/>
  <c r="K441" i="74"/>
  <c r="B441" i="74" l="1"/>
  <c r="I441" i="74"/>
  <c r="S441" i="74"/>
  <c r="R442" i="74"/>
  <c r="D442" i="74" s="1"/>
  <c r="N443" i="74" a="1"/>
  <c r="N443" i="74" s="1"/>
  <c r="Q443" i="74" s="1"/>
  <c r="C443" i="74" s="1"/>
  <c r="O443" i="74" a="1"/>
  <c r="O443" i="74" s="1"/>
  <c r="H440" i="74"/>
  <c r="J440" i="74" s="1"/>
  <c r="P443" i="74" a="1"/>
  <c r="P443" i="74" s="1"/>
  <c r="M444" i="74" a="1"/>
  <c r="M444" i="74" s="1"/>
  <c r="A445" i="74"/>
  <c r="E442" i="74"/>
  <c r="F442" i="74"/>
  <c r="G442" i="74"/>
  <c r="L442" i="74"/>
  <c r="K442" i="74"/>
  <c r="B442" i="74" l="1"/>
  <c r="I442" i="74"/>
  <c r="S442" i="74"/>
  <c r="R443" i="74"/>
  <c r="D443" i="74" s="1"/>
  <c r="H441" i="74"/>
  <c r="J441" i="74" s="1"/>
  <c r="N444" i="74" a="1"/>
  <c r="N444" i="74" s="1"/>
  <c r="Q444" i="74" s="1"/>
  <c r="C444" i="74" s="1"/>
  <c r="O444" i="74" a="1"/>
  <c r="O444" i="74" s="1"/>
  <c r="P444" i="74" a="1"/>
  <c r="P444" i="74" s="1"/>
  <c r="M445" i="74" a="1"/>
  <c r="M445" i="74" s="1"/>
  <c r="A446" i="74"/>
  <c r="G443" i="74"/>
  <c r="E443" i="74"/>
  <c r="F443" i="74"/>
  <c r="L443" i="74"/>
  <c r="K443" i="74"/>
  <c r="B443" i="74" l="1"/>
  <c r="I443" i="74"/>
  <c r="S443" i="74"/>
  <c r="R444" i="74"/>
  <c r="D444" i="74" s="1"/>
  <c r="N445" i="74" a="1"/>
  <c r="N445" i="74" s="1"/>
  <c r="Q445" i="74" s="1"/>
  <c r="C445" i="74" s="1"/>
  <c r="O445" i="74" a="1"/>
  <c r="O445" i="74" s="1"/>
  <c r="H442" i="74"/>
  <c r="J442" i="74" s="1"/>
  <c r="P445" i="74" a="1"/>
  <c r="P445" i="74" s="1"/>
  <c r="M446" i="74" a="1"/>
  <c r="M446" i="74" s="1"/>
  <c r="A447" i="74"/>
  <c r="F444" i="74"/>
  <c r="G444" i="74"/>
  <c r="E444" i="74"/>
  <c r="L444" i="74"/>
  <c r="K444" i="74"/>
  <c r="B444" i="74" l="1"/>
  <c r="I444" i="74"/>
  <c r="S444" i="74"/>
  <c r="R445" i="74"/>
  <c r="D445" i="74" s="1"/>
  <c r="H443" i="74"/>
  <c r="J443" i="74" s="1"/>
  <c r="N446" i="74" a="1"/>
  <c r="N446" i="74" s="1"/>
  <c r="Q446" i="74" s="1"/>
  <c r="C446" i="74" s="1"/>
  <c r="O446" i="74" a="1"/>
  <c r="O446" i="74" s="1"/>
  <c r="P446" i="74" a="1"/>
  <c r="P446" i="74" s="1"/>
  <c r="M447" i="74" a="1"/>
  <c r="M447" i="74" s="1"/>
  <c r="A448" i="74"/>
  <c r="E445" i="74"/>
  <c r="F445" i="74"/>
  <c r="G445" i="74"/>
  <c r="L445" i="74"/>
  <c r="K445" i="74"/>
  <c r="B445" i="74" l="1"/>
  <c r="I445" i="74"/>
  <c r="S445" i="74"/>
  <c r="R446" i="74"/>
  <c r="D446" i="74" s="1"/>
  <c r="N447" i="74" a="1"/>
  <c r="N447" i="74" s="1"/>
  <c r="Q447" i="74" s="1"/>
  <c r="C447" i="74" s="1"/>
  <c r="O447" i="74" a="1"/>
  <c r="O447" i="74" s="1"/>
  <c r="H444" i="74"/>
  <c r="J444" i="74" s="1"/>
  <c r="P447" i="74" a="1"/>
  <c r="P447" i="74" s="1"/>
  <c r="M448" i="74" a="1"/>
  <c r="M448" i="74" s="1"/>
  <c r="A449" i="74"/>
  <c r="E446" i="74"/>
  <c r="F446" i="74"/>
  <c r="G446" i="74"/>
  <c r="L446" i="74"/>
  <c r="K446" i="74"/>
  <c r="B446" i="74" l="1"/>
  <c r="I446" i="74"/>
  <c r="S446" i="74"/>
  <c r="R447" i="74"/>
  <c r="D447" i="74" s="1"/>
  <c r="N448" i="74" a="1"/>
  <c r="N448" i="74" s="1"/>
  <c r="Q448" i="74" s="1"/>
  <c r="C448" i="74" s="1"/>
  <c r="O448" i="74" a="1"/>
  <c r="O448" i="74" s="1"/>
  <c r="P448" i="74" a="1"/>
  <c r="P448" i="74" s="1"/>
  <c r="M449" i="74" a="1"/>
  <c r="M449" i="74" s="1"/>
  <c r="H445" i="74"/>
  <c r="J445" i="74" s="1"/>
  <c r="A450" i="74"/>
  <c r="G447" i="74"/>
  <c r="E447" i="74"/>
  <c r="F447" i="74"/>
  <c r="L447" i="74"/>
  <c r="K447" i="74"/>
  <c r="B447" i="74" l="1"/>
  <c r="I447" i="74"/>
  <c r="S447" i="74"/>
  <c r="R448" i="74"/>
  <c r="D448" i="74" s="1"/>
  <c r="N449" i="74" a="1"/>
  <c r="N449" i="74" s="1"/>
  <c r="Q449" i="74" s="1"/>
  <c r="C449" i="74" s="1"/>
  <c r="O449" i="74" a="1"/>
  <c r="O449" i="74" s="1"/>
  <c r="P449" i="74" a="1"/>
  <c r="P449" i="74" s="1"/>
  <c r="M450" i="74" a="1"/>
  <c r="M450" i="74" s="1"/>
  <c r="H446" i="74"/>
  <c r="J446" i="74" s="1"/>
  <c r="A451" i="74"/>
  <c r="F448" i="74"/>
  <c r="G448" i="74"/>
  <c r="E448" i="74"/>
  <c r="L448" i="74"/>
  <c r="K448" i="74"/>
  <c r="B448" i="74" l="1"/>
  <c r="I448" i="74"/>
  <c r="S448" i="74"/>
  <c r="R449" i="74"/>
  <c r="D449" i="74" s="1"/>
  <c r="N450" i="74" a="1"/>
  <c r="N450" i="74" s="1"/>
  <c r="Q450" i="74" s="1"/>
  <c r="C450" i="74" s="1"/>
  <c r="O450" i="74" a="1"/>
  <c r="O450" i="74" s="1"/>
  <c r="P450" i="74" a="1"/>
  <c r="P450" i="74" s="1"/>
  <c r="H447" i="74"/>
  <c r="J447" i="74" s="1"/>
  <c r="M451" i="74" a="1"/>
  <c r="M451" i="74" s="1"/>
  <c r="A452" i="74"/>
  <c r="E449" i="74"/>
  <c r="F449" i="74"/>
  <c r="G449" i="74"/>
  <c r="L449" i="74"/>
  <c r="K449" i="74"/>
  <c r="B449" i="74" l="1"/>
  <c r="I449" i="74"/>
  <c r="S449" i="74"/>
  <c r="R450" i="74"/>
  <c r="D450" i="74" s="1"/>
  <c r="N451" i="74" a="1"/>
  <c r="N451" i="74" s="1"/>
  <c r="Q451" i="74" s="1"/>
  <c r="C451" i="74" s="1"/>
  <c r="O451" i="74" a="1"/>
  <c r="O451" i="74" s="1"/>
  <c r="P451" i="74" a="1"/>
  <c r="P451" i="74" s="1"/>
  <c r="M452" i="74" a="1"/>
  <c r="M452" i="74" s="1"/>
  <c r="H448" i="74"/>
  <c r="J448" i="74" s="1"/>
  <c r="A453" i="74"/>
  <c r="E450" i="74"/>
  <c r="G450" i="74"/>
  <c r="F450" i="74"/>
  <c r="L450" i="74"/>
  <c r="K450" i="74"/>
  <c r="I450" i="74" l="1"/>
  <c r="B450" i="74"/>
  <c r="S450" i="74"/>
  <c r="R451" i="74"/>
  <c r="D451" i="74" s="1"/>
  <c r="N452" i="74" a="1"/>
  <c r="N452" i="74" s="1"/>
  <c r="Q452" i="74" s="1"/>
  <c r="C452" i="74" s="1"/>
  <c r="O452" i="74" a="1"/>
  <c r="O452" i="74" s="1"/>
  <c r="P452" i="74" a="1"/>
  <c r="P452" i="74" s="1"/>
  <c r="M453" i="74" a="1"/>
  <c r="M453" i="74" s="1"/>
  <c r="H449" i="74"/>
  <c r="J449" i="74" s="1"/>
  <c r="A454" i="74"/>
  <c r="G451" i="74"/>
  <c r="E451" i="74"/>
  <c r="F451" i="74"/>
  <c r="L451" i="74"/>
  <c r="K451" i="74"/>
  <c r="B451" i="74" l="1"/>
  <c r="I451" i="74"/>
  <c r="S451" i="74"/>
  <c r="R452" i="74"/>
  <c r="D452" i="74" s="1"/>
  <c r="N453" i="74" a="1"/>
  <c r="N453" i="74" s="1"/>
  <c r="Q453" i="74" s="1"/>
  <c r="C453" i="74" s="1"/>
  <c r="O453" i="74" a="1"/>
  <c r="O453" i="74" s="1"/>
  <c r="P453" i="74" a="1"/>
  <c r="P453" i="74" s="1"/>
  <c r="M454" i="74" a="1"/>
  <c r="M454" i="74" s="1"/>
  <c r="H450" i="74"/>
  <c r="J450" i="74" s="1"/>
  <c r="A455" i="74"/>
  <c r="F452" i="74"/>
  <c r="G452" i="74"/>
  <c r="I452" i="74" s="1"/>
  <c r="E452" i="74"/>
  <c r="L452" i="74"/>
  <c r="K452" i="74"/>
  <c r="B452" i="74" l="1"/>
  <c r="S452" i="74"/>
  <c r="R453" i="74"/>
  <c r="D453" i="74" s="1"/>
  <c r="N454" i="74" a="1"/>
  <c r="N454" i="74" s="1"/>
  <c r="Q454" i="74" s="1"/>
  <c r="C454" i="74" s="1"/>
  <c r="O454" i="74" a="1"/>
  <c r="O454" i="74" s="1"/>
  <c r="P454" i="74" a="1"/>
  <c r="P454" i="74" s="1"/>
  <c r="H451" i="74"/>
  <c r="J451" i="74" s="1"/>
  <c r="M455" i="74" a="1"/>
  <c r="M455" i="74" s="1"/>
  <c r="A456" i="74"/>
  <c r="E453" i="74"/>
  <c r="F453" i="74"/>
  <c r="G453" i="74"/>
  <c r="L453" i="74"/>
  <c r="K453" i="74"/>
  <c r="B453" i="74" l="1"/>
  <c r="I453" i="74"/>
  <c r="S453" i="74"/>
  <c r="R454" i="74"/>
  <c r="D454" i="74" s="1"/>
  <c r="H452" i="74"/>
  <c r="J452" i="74" s="1"/>
  <c r="N455" i="74" a="1"/>
  <c r="N455" i="74" s="1"/>
  <c r="Q455" i="74" s="1"/>
  <c r="C455" i="74" s="1"/>
  <c r="O455" i="74" a="1"/>
  <c r="O455" i="74" s="1"/>
  <c r="P455" i="74" a="1"/>
  <c r="P455" i="74" s="1"/>
  <c r="M456" i="74" a="1"/>
  <c r="M456" i="74" s="1"/>
  <c r="A457" i="74"/>
  <c r="G454" i="74"/>
  <c r="I454" i="74" s="1"/>
  <c r="E454" i="74"/>
  <c r="F454" i="74"/>
  <c r="L454" i="74"/>
  <c r="K454" i="74"/>
  <c r="B454" i="74" l="1"/>
  <c r="S454" i="74"/>
  <c r="R455" i="74"/>
  <c r="D455" i="74" s="1"/>
  <c r="N456" i="74" a="1"/>
  <c r="N456" i="74" s="1"/>
  <c r="Q456" i="74" s="1"/>
  <c r="C456" i="74" s="1"/>
  <c r="O456" i="74" a="1"/>
  <c r="O456" i="74" s="1"/>
  <c r="P456" i="74" a="1"/>
  <c r="P456" i="74" s="1"/>
  <c r="M457" i="74" a="1"/>
  <c r="M457" i="74" s="1"/>
  <c r="H453" i="74"/>
  <c r="J453" i="74" s="1"/>
  <c r="A458" i="74"/>
  <c r="E455" i="74"/>
  <c r="F455" i="74"/>
  <c r="G455" i="74"/>
  <c r="L455" i="74"/>
  <c r="K455" i="74"/>
  <c r="B455" i="74" l="1"/>
  <c r="I455" i="74"/>
  <c r="S455" i="74"/>
  <c r="R456" i="74"/>
  <c r="D456" i="74" s="1"/>
  <c r="N457" i="74" a="1"/>
  <c r="N457" i="74" s="1"/>
  <c r="Q457" i="74" s="1"/>
  <c r="C457" i="74" s="1"/>
  <c r="O457" i="74" a="1"/>
  <c r="O457" i="74" s="1"/>
  <c r="P457" i="74" a="1"/>
  <c r="P457" i="74" s="1"/>
  <c r="M458" i="74" a="1"/>
  <c r="M458" i="74" s="1"/>
  <c r="H454" i="74"/>
  <c r="J454" i="74" s="1"/>
  <c r="A459" i="74"/>
  <c r="G456" i="74"/>
  <c r="I456" i="74" s="1"/>
  <c r="F456" i="74"/>
  <c r="E456" i="74"/>
  <c r="L456" i="74"/>
  <c r="K456" i="74"/>
  <c r="B456" i="74" l="1"/>
  <c r="S456" i="74"/>
  <c r="R457" i="74"/>
  <c r="D457" i="74" s="1"/>
  <c r="N458" i="74" a="1"/>
  <c r="N458" i="74" s="1"/>
  <c r="Q458" i="74" s="1"/>
  <c r="C458" i="74" s="1"/>
  <c r="O458" i="74" a="1"/>
  <c r="O458" i="74" s="1"/>
  <c r="P458" i="74" a="1"/>
  <c r="P458" i="74" s="1"/>
  <c r="M459" i="74" a="1"/>
  <c r="M459" i="74" s="1"/>
  <c r="H455" i="74"/>
  <c r="J455" i="74" s="1"/>
  <c r="A460" i="74"/>
  <c r="E457" i="74"/>
  <c r="F457" i="74"/>
  <c r="G457" i="74"/>
  <c r="L457" i="74"/>
  <c r="K457" i="74"/>
  <c r="B457" i="74" l="1"/>
  <c r="I457" i="74"/>
  <c r="S457" i="74"/>
  <c r="R458" i="74"/>
  <c r="D458" i="74" s="1"/>
  <c r="H456" i="74"/>
  <c r="J456" i="74" s="1"/>
  <c r="N459" i="74" a="1"/>
  <c r="N459" i="74" s="1"/>
  <c r="Q459" i="74" s="1"/>
  <c r="C459" i="74" s="1"/>
  <c r="O459" i="74" a="1"/>
  <c r="O459" i="74" s="1"/>
  <c r="P459" i="74" a="1"/>
  <c r="P459" i="74" s="1"/>
  <c r="M460" i="74" a="1"/>
  <c r="M460" i="74" s="1"/>
  <c r="A461" i="74"/>
  <c r="G458" i="74"/>
  <c r="I458" i="74" s="1"/>
  <c r="E458" i="74"/>
  <c r="F458" i="74"/>
  <c r="L458" i="74"/>
  <c r="K458" i="74"/>
  <c r="B458" i="74" l="1"/>
  <c r="S458" i="74"/>
  <c r="R459" i="74"/>
  <c r="D459" i="74" s="1"/>
  <c r="N460" i="74" a="1"/>
  <c r="N460" i="74" s="1"/>
  <c r="Q460" i="74" s="1"/>
  <c r="C460" i="74" s="1"/>
  <c r="O460" i="74" a="1"/>
  <c r="O460" i="74" s="1"/>
  <c r="P460" i="74" a="1"/>
  <c r="P460" i="74" s="1"/>
  <c r="M461" i="74" a="1"/>
  <c r="M461" i="74" s="1"/>
  <c r="H457" i="74"/>
  <c r="J457" i="74" s="1"/>
  <c r="A462" i="74"/>
  <c r="E459" i="74"/>
  <c r="F459" i="74"/>
  <c r="G459" i="74"/>
  <c r="L459" i="74"/>
  <c r="K459" i="74"/>
  <c r="B459" i="74" l="1"/>
  <c r="I459" i="74"/>
  <c r="S459" i="74"/>
  <c r="R460" i="74"/>
  <c r="D460" i="74" s="1"/>
  <c r="H458" i="74"/>
  <c r="J458" i="74" s="1"/>
  <c r="N461" i="74" a="1"/>
  <c r="N461" i="74" s="1"/>
  <c r="Q461" i="74" s="1"/>
  <c r="C461" i="74" s="1"/>
  <c r="O461" i="74" a="1"/>
  <c r="O461" i="74" s="1"/>
  <c r="P461" i="74" a="1"/>
  <c r="P461" i="74" s="1"/>
  <c r="M462" i="74" a="1"/>
  <c r="M462" i="74" s="1"/>
  <c r="A463" i="74"/>
  <c r="G460" i="74"/>
  <c r="E460" i="74"/>
  <c r="F460" i="74"/>
  <c r="L460" i="74"/>
  <c r="K460" i="74"/>
  <c r="B460" i="74" l="1"/>
  <c r="I460" i="74"/>
  <c r="S460" i="74"/>
  <c r="R461" i="74"/>
  <c r="D461" i="74" s="1"/>
  <c r="N462" i="74" a="1"/>
  <c r="N462" i="74" s="1"/>
  <c r="Q462" i="74" s="1"/>
  <c r="C462" i="74" s="1"/>
  <c r="O462" i="74" a="1"/>
  <c r="O462" i="74" s="1"/>
  <c r="P462" i="74" a="1"/>
  <c r="P462" i="74" s="1"/>
  <c r="M463" i="74" a="1"/>
  <c r="M463" i="74" s="1"/>
  <c r="H459" i="74"/>
  <c r="J459" i="74" s="1"/>
  <c r="A464" i="74"/>
  <c r="E461" i="74"/>
  <c r="F461" i="74"/>
  <c r="G461" i="74"/>
  <c r="L461" i="74"/>
  <c r="K461" i="74"/>
  <c r="B461" i="74" l="1"/>
  <c r="I461" i="74"/>
  <c r="S461" i="74"/>
  <c r="R462" i="74"/>
  <c r="D462" i="74" s="1"/>
  <c r="H460" i="74"/>
  <c r="J460" i="74" s="1"/>
  <c r="N463" i="74" a="1"/>
  <c r="N463" i="74" s="1"/>
  <c r="Q463" i="74" s="1"/>
  <c r="C463" i="74" s="1"/>
  <c r="O463" i="74" a="1"/>
  <c r="O463" i="74" s="1"/>
  <c r="P463" i="74" a="1"/>
  <c r="P463" i="74" s="1"/>
  <c r="M464" i="74" a="1"/>
  <c r="M464" i="74" s="1"/>
  <c r="A465" i="74"/>
  <c r="G462" i="74"/>
  <c r="E462" i="74"/>
  <c r="F462" i="74"/>
  <c r="L462" i="74"/>
  <c r="K462" i="74"/>
  <c r="B462" i="74" l="1"/>
  <c r="I462" i="74"/>
  <c r="S462" i="74"/>
  <c r="R463" i="74"/>
  <c r="D463" i="74" s="1"/>
  <c r="N464" i="74" a="1"/>
  <c r="N464" i="74" s="1"/>
  <c r="Q464" i="74" s="1"/>
  <c r="C464" i="74" s="1"/>
  <c r="O464" i="74" a="1"/>
  <c r="O464" i="74" s="1"/>
  <c r="P464" i="74" a="1"/>
  <c r="P464" i="74" s="1"/>
  <c r="M465" i="74" a="1"/>
  <c r="M465" i="74" s="1"/>
  <c r="H461" i="74"/>
  <c r="J461" i="74" s="1"/>
  <c r="A466" i="74"/>
  <c r="E463" i="74"/>
  <c r="F463" i="74"/>
  <c r="G463" i="74"/>
  <c r="L463" i="74"/>
  <c r="K463" i="74"/>
  <c r="B463" i="74" l="1"/>
  <c r="I463" i="74"/>
  <c r="S463" i="74"/>
  <c r="R464" i="74"/>
  <c r="D464" i="74" s="1"/>
  <c r="H462" i="74"/>
  <c r="J462" i="74" s="1"/>
  <c r="N465" i="74" a="1"/>
  <c r="N465" i="74" s="1"/>
  <c r="Q465" i="74" s="1"/>
  <c r="C465" i="74" s="1"/>
  <c r="O465" i="74" a="1"/>
  <c r="O465" i="74" s="1"/>
  <c r="P465" i="74" a="1"/>
  <c r="P465" i="74" s="1"/>
  <c r="M466" i="74" a="1"/>
  <c r="M466" i="74" s="1"/>
  <c r="A467" i="74"/>
  <c r="G464" i="74"/>
  <c r="F464" i="74"/>
  <c r="E464" i="74"/>
  <c r="L464" i="74"/>
  <c r="K464" i="74"/>
  <c r="B464" i="74" l="1"/>
  <c r="I464" i="74"/>
  <c r="S464" i="74"/>
  <c r="R465" i="74"/>
  <c r="D465" i="74" s="1"/>
  <c r="N466" i="74" a="1"/>
  <c r="N466" i="74" s="1"/>
  <c r="Q466" i="74" s="1"/>
  <c r="C466" i="74" s="1"/>
  <c r="O466" i="74" a="1"/>
  <c r="O466" i="74" s="1"/>
  <c r="H463" i="74"/>
  <c r="J463" i="74" s="1"/>
  <c r="P466" i="74" a="1"/>
  <c r="P466" i="74" s="1"/>
  <c r="M467" i="74" a="1"/>
  <c r="M467" i="74" s="1"/>
  <c r="A468" i="74"/>
  <c r="E465" i="74"/>
  <c r="F465" i="74"/>
  <c r="G465" i="74"/>
  <c r="L465" i="74"/>
  <c r="K465" i="74"/>
  <c r="B465" i="74" l="1"/>
  <c r="I465" i="74"/>
  <c r="S465" i="74"/>
  <c r="R466" i="74"/>
  <c r="D466" i="74" s="1"/>
  <c r="H464" i="74"/>
  <c r="J464" i="74" s="1"/>
  <c r="N467" i="74" a="1"/>
  <c r="N467" i="74" s="1"/>
  <c r="Q467" i="74" s="1"/>
  <c r="C467" i="74" s="1"/>
  <c r="O467" i="74" a="1"/>
  <c r="O467" i="74" s="1"/>
  <c r="P467" i="74" a="1"/>
  <c r="P467" i="74" s="1"/>
  <c r="M468" i="74" a="1"/>
  <c r="M468" i="74" s="1"/>
  <c r="A469" i="74"/>
  <c r="G466" i="74"/>
  <c r="E466" i="74"/>
  <c r="F466" i="74"/>
  <c r="L466" i="74"/>
  <c r="K466" i="74"/>
  <c r="B466" i="74" l="1"/>
  <c r="I466" i="74"/>
  <c r="S466" i="74"/>
  <c r="R467" i="74"/>
  <c r="D467" i="74" s="1"/>
  <c r="N468" i="74" a="1"/>
  <c r="N468" i="74" s="1"/>
  <c r="Q468" i="74" s="1"/>
  <c r="C468" i="74" s="1"/>
  <c r="O468" i="74" a="1"/>
  <c r="O468" i="74" s="1"/>
  <c r="H465" i="74"/>
  <c r="J465" i="74" s="1"/>
  <c r="P468" i="74" a="1"/>
  <c r="P468" i="74" s="1"/>
  <c r="M469" i="74" a="1"/>
  <c r="M469" i="74" s="1"/>
  <c r="A470" i="74"/>
  <c r="E467" i="74"/>
  <c r="F467" i="74"/>
  <c r="G467" i="74"/>
  <c r="L467" i="74"/>
  <c r="K467" i="74"/>
  <c r="B467" i="74" l="1"/>
  <c r="I467" i="74"/>
  <c r="S467" i="74"/>
  <c r="R468" i="74"/>
  <c r="D468" i="74" s="1"/>
  <c r="H466" i="74"/>
  <c r="J466" i="74" s="1"/>
  <c r="N469" i="74" a="1"/>
  <c r="N469" i="74" s="1"/>
  <c r="Q469" i="74" s="1"/>
  <c r="C469" i="74" s="1"/>
  <c r="O469" i="74" a="1"/>
  <c r="O469" i="74" s="1"/>
  <c r="P469" i="74" a="1"/>
  <c r="P469" i="74" s="1"/>
  <c r="M470" i="74" a="1"/>
  <c r="M470" i="74" s="1"/>
  <c r="A471" i="74"/>
  <c r="G468" i="74"/>
  <c r="E468" i="74"/>
  <c r="F468" i="74"/>
  <c r="L468" i="74"/>
  <c r="K468" i="74"/>
  <c r="B468" i="74" l="1"/>
  <c r="I468" i="74"/>
  <c r="S468" i="74"/>
  <c r="R469" i="74"/>
  <c r="D469" i="74" s="1"/>
  <c r="N470" i="74" a="1"/>
  <c r="N470" i="74" s="1"/>
  <c r="Q470" i="74" s="1"/>
  <c r="C470" i="74" s="1"/>
  <c r="O470" i="74" a="1"/>
  <c r="O470" i="74" s="1"/>
  <c r="H467" i="74"/>
  <c r="J467" i="74" s="1"/>
  <c r="P470" i="74" a="1"/>
  <c r="P470" i="74" s="1"/>
  <c r="M471" i="74" a="1"/>
  <c r="M471" i="74" s="1"/>
  <c r="A472" i="74"/>
  <c r="E469" i="74"/>
  <c r="F469" i="74"/>
  <c r="G469" i="74"/>
  <c r="L469" i="74"/>
  <c r="K469" i="74"/>
  <c r="B469" i="74" l="1"/>
  <c r="I469" i="74"/>
  <c r="S469" i="74"/>
  <c r="R470" i="74"/>
  <c r="D470" i="74" s="1"/>
  <c r="H468" i="74"/>
  <c r="J468" i="74" s="1"/>
  <c r="N471" i="74" a="1"/>
  <c r="N471" i="74" s="1"/>
  <c r="Q471" i="74" s="1"/>
  <c r="C471" i="74" s="1"/>
  <c r="O471" i="74" a="1"/>
  <c r="O471" i="74" s="1"/>
  <c r="P471" i="74" a="1"/>
  <c r="P471" i="74" s="1"/>
  <c r="M472" i="74" a="1"/>
  <c r="M472" i="74" s="1"/>
  <c r="A473" i="74"/>
  <c r="E470" i="74"/>
  <c r="G470" i="74"/>
  <c r="F470" i="74"/>
  <c r="L470" i="74"/>
  <c r="K470" i="74"/>
  <c r="B470" i="74" l="1"/>
  <c r="I470" i="74"/>
  <c r="S470" i="74"/>
  <c r="R471" i="74"/>
  <c r="D471" i="74" s="1"/>
  <c r="N472" i="74" a="1"/>
  <c r="N472" i="74" s="1"/>
  <c r="Q472" i="74" s="1"/>
  <c r="C472" i="74" s="1"/>
  <c r="O472" i="74" a="1"/>
  <c r="O472" i="74" s="1"/>
  <c r="H469" i="74"/>
  <c r="J469" i="74" s="1"/>
  <c r="P472" i="74" a="1"/>
  <c r="P472" i="74" s="1"/>
  <c r="M473" i="74" a="1"/>
  <c r="M473" i="74" s="1"/>
  <c r="A474" i="74"/>
  <c r="F471" i="74"/>
  <c r="G471" i="74"/>
  <c r="E471" i="74"/>
  <c r="L471" i="74"/>
  <c r="K471" i="74"/>
  <c r="B471" i="74" l="1"/>
  <c r="I471" i="74"/>
  <c r="S471" i="74"/>
  <c r="R472" i="74"/>
  <c r="D472" i="74" s="1"/>
  <c r="N473" i="74" a="1"/>
  <c r="N473" i="74" s="1"/>
  <c r="Q473" i="74" s="1"/>
  <c r="C473" i="74" s="1"/>
  <c r="O473" i="74" a="1"/>
  <c r="O473" i="74" s="1"/>
  <c r="H470" i="74"/>
  <c r="J470" i="74" s="1"/>
  <c r="P473" i="74" a="1"/>
  <c r="P473" i="74" s="1"/>
  <c r="M474" i="74" a="1"/>
  <c r="M474" i="74" s="1"/>
  <c r="A475" i="74"/>
  <c r="F472" i="74"/>
  <c r="G472" i="74"/>
  <c r="E472" i="74"/>
  <c r="L472" i="74"/>
  <c r="K472" i="74"/>
  <c r="B472" i="74" l="1"/>
  <c r="I472" i="74"/>
  <c r="S472" i="74"/>
  <c r="R473" i="74"/>
  <c r="D473" i="74" s="1"/>
  <c r="H471" i="74"/>
  <c r="J471" i="74" s="1"/>
  <c r="N474" i="74" a="1"/>
  <c r="N474" i="74" s="1"/>
  <c r="Q474" i="74" s="1"/>
  <c r="C474" i="74" s="1"/>
  <c r="O474" i="74" a="1"/>
  <c r="O474" i="74" s="1"/>
  <c r="P474" i="74" a="1"/>
  <c r="P474" i="74" s="1"/>
  <c r="M475" i="74" a="1"/>
  <c r="M475" i="74" s="1"/>
  <c r="A476" i="74"/>
  <c r="F473" i="74"/>
  <c r="E473" i="74"/>
  <c r="G473" i="74"/>
  <c r="L473" i="74"/>
  <c r="K473" i="74"/>
  <c r="B473" i="74" l="1"/>
  <c r="I473" i="74"/>
  <c r="S473" i="74"/>
  <c r="R474" i="74"/>
  <c r="D474" i="74" s="1"/>
  <c r="N475" i="74" a="1"/>
  <c r="N475" i="74" s="1"/>
  <c r="Q475" i="74" s="1"/>
  <c r="C475" i="74" s="1"/>
  <c r="O475" i="74" a="1"/>
  <c r="O475" i="74" s="1"/>
  <c r="H472" i="74"/>
  <c r="J472" i="74" s="1"/>
  <c r="P475" i="74" a="1"/>
  <c r="P475" i="74" s="1"/>
  <c r="M476" i="74" a="1"/>
  <c r="M476" i="74" s="1"/>
  <c r="A477" i="74"/>
  <c r="G474" i="74"/>
  <c r="E474" i="74"/>
  <c r="F474" i="74"/>
  <c r="L474" i="74"/>
  <c r="K474" i="74"/>
  <c r="B474" i="74" l="1"/>
  <c r="I474" i="74"/>
  <c r="S474" i="74"/>
  <c r="R475" i="74"/>
  <c r="D475" i="74" s="1"/>
  <c r="H473" i="74"/>
  <c r="J473" i="74" s="1"/>
  <c r="N476" i="74" a="1"/>
  <c r="N476" i="74" s="1"/>
  <c r="Q476" i="74" s="1"/>
  <c r="C476" i="74" s="1"/>
  <c r="O476" i="74" a="1"/>
  <c r="O476" i="74" s="1"/>
  <c r="P476" i="74" a="1"/>
  <c r="P476" i="74" s="1"/>
  <c r="M477" i="74" a="1"/>
  <c r="M477" i="74" s="1"/>
  <c r="A478" i="74"/>
  <c r="F475" i="74"/>
  <c r="G475" i="74"/>
  <c r="E475" i="74"/>
  <c r="L475" i="74"/>
  <c r="K475" i="74"/>
  <c r="B475" i="74" l="1"/>
  <c r="I475" i="74"/>
  <c r="S475" i="74"/>
  <c r="R476" i="74"/>
  <c r="D476" i="74" s="1"/>
  <c r="N477" i="74" a="1"/>
  <c r="N477" i="74" s="1"/>
  <c r="Q477" i="74" s="1"/>
  <c r="C477" i="74" s="1"/>
  <c r="O477" i="74" a="1"/>
  <c r="O477" i="74" s="1"/>
  <c r="H474" i="74"/>
  <c r="J474" i="74" s="1"/>
  <c r="P477" i="74" a="1"/>
  <c r="P477" i="74" s="1"/>
  <c r="M478" i="74" a="1"/>
  <c r="M478" i="74" s="1"/>
  <c r="A479" i="74"/>
  <c r="F476" i="74"/>
  <c r="E476" i="74"/>
  <c r="G476" i="74"/>
  <c r="L476" i="74"/>
  <c r="K476" i="74"/>
  <c r="B476" i="74" l="1"/>
  <c r="I476" i="74"/>
  <c r="S476" i="74"/>
  <c r="R477" i="74"/>
  <c r="D477" i="74" s="1"/>
  <c r="N478" i="74" a="1"/>
  <c r="N478" i="74" s="1"/>
  <c r="Q478" i="74" s="1"/>
  <c r="C478" i="74" s="1"/>
  <c r="O478" i="74" a="1"/>
  <c r="O478" i="74" s="1"/>
  <c r="P478" i="74" a="1"/>
  <c r="P478" i="74" s="1"/>
  <c r="M479" i="74" a="1"/>
  <c r="M479" i="74" s="1"/>
  <c r="H475" i="74"/>
  <c r="J475" i="74" s="1"/>
  <c r="A480" i="74"/>
  <c r="F477" i="74"/>
  <c r="E477" i="74"/>
  <c r="G477" i="74"/>
  <c r="L477" i="74"/>
  <c r="K477" i="74"/>
  <c r="B477" i="74" l="1"/>
  <c r="I477" i="74"/>
  <c r="S477" i="74"/>
  <c r="R478" i="74"/>
  <c r="D478" i="74" s="1"/>
  <c r="N479" i="74" a="1"/>
  <c r="N479" i="74" s="1"/>
  <c r="Q479" i="74" s="1"/>
  <c r="C479" i="74" s="1"/>
  <c r="O479" i="74" a="1"/>
  <c r="O479" i="74" s="1"/>
  <c r="P479" i="74" a="1"/>
  <c r="P479" i="74" s="1"/>
  <c r="M480" i="74" a="1"/>
  <c r="M480" i="74" s="1"/>
  <c r="H476" i="74"/>
  <c r="J476" i="74" s="1"/>
  <c r="A481" i="74"/>
  <c r="E478" i="74"/>
  <c r="F478" i="74"/>
  <c r="G478" i="74"/>
  <c r="L478" i="74"/>
  <c r="K478" i="74"/>
  <c r="B478" i="74" l="1"/>
  <c r="I478" i="74"/>
  <c r="S478" i="74"/>
  <c r="R479" i="74"/>
  <c r="D479" i="74" s="1"/>
  <c r="N480" i="74" a="1"/>
  <c r="N480" i="74" s="1"/>
  <c r="Q480" i="74" s="1"/>
  <c r="C480" i="74" s="1"/>
  <c r="O480" i="74" a="1"/>
  <c r="O480" i="74" s="1"/>
  <c r="P480" i="74" a="1"/>
  <c r="P480" i="74" s="1"/>
  <c r="H477" i="74"/>
  <c r="J477" i="74" s="1"/>
  <c r="M481" i="74" a="1"/>
  <c r="M481" i="74" s="1"/>
  <c r="A482" i="74"/>
  <c r="F479" i="74"/>
  <c r="E479" i="74"/>
  <c r="G479" i="74"/>
  <c r="L479" i="74"/>
  <c r="K479" i="74"/>
  <c r="B479" i="74" l="1"/>
  <c r="I479" i="74"/>
  <c r="S479" i="74"/>
  <c r="R480" i="74"/>
  <c r="D480" i="74" s="1"/>
  <c r="H478" i="74"/>
  <c r="J478" i="74" s="1"/>
  <c r="N481" i="74" a="1"/>
  <c r="N481" i="74" s="1"/>
  <c r="Q481" i="74" s="1"/>
  <c r="C481" i="74" s="1"/>
  <c r="O481" i="74" a="1"/>
  <c r="O481" i="74" s="1"/>
  <c r="P481" i="74" a="1"/>
  <c r="P481" i="74" s="1"/>
  <c r="M482" i="74" a="1"/>
  <c r="M482" i="74" s="1"/>
  <c r="A483" i="74"/>
  <c r="G480" i="74"/>
  <c r="E480" i="74"/>
  <c r="F480" i="74"/>
  <c r="L480" i="74"/>
  <c r="K480" i="74"/>
  <c r="B480" i="74" l="1"/>
  <c r="I480" i="74"/>
  <c r="S480" i="74"/>
  <c r="R481" i="74"/>
  <c r="D481" i="74" s="1"/>
  <c r="N482" i="74" a="1"/>
  <c r="N482" i="74" s="1"/>
  <c r="Q482" i="74" s="1"/>
  <c r="C482" i="74" s="1"/>
  <c r="O482" i="74" a="1"/>
  <c r="O482" i="74" s="1"/>
  <c r="P482" i="74" a="1"/>
  <c r="P482" i="74" s="1"/>
  <c r="H479" i="74"/>
  <c r="J479" i="74" s="1"/>
  <c r="M483" i="74" a="1"/>
  <c r="M483" i="74" s="1"/>
  <c r="A484" i="74"/>
  <c r="F481" i="74"/>
  <c r="E481" i="74"/>
  <c r="G481" i="74"/>
  <c r="L481" i="74"/>
  <c r="K481" i="74"/>
  <c r="I481" i="74" l="1"/>
  <c r="B481" i="74"/>
  <c r="S481" i="74"/>
  <c r="R482" i="74"/>
  <c r="D482" i="74" s="1"/>
  <c r="H480" i="74"/>
  <c r="J480" i="74" s="1"/>
  <c r="N483" i="74" a="1"/>
  <c r="N483" i="74" s="1"/>
  <c r="Q483" i="74" s="1"/>
  <c r="C483" i="74" s="1"/>
  <c r="O483" i="74" a="1"/>
  <c r="O483" i="74" s="1"/>
  <c r="P483" i="74" a="1"/>
  <c r="P483" i="74" s="1"/>
  <c r="M484" i="74" a="1"/>
  <c r="M484" i="74" s="1"/>
  <c r="A485" i="74"/>
  <c r="G482" i="74"/>
  <c r="F482" i="74"/>
  <c r="E482" i="74"/>
  <c r="L482" i="74"/>
  <c r="K482" i="74"/>
  <c r="B482" i="74" l="1"/>
  <c r="I482" i="74"/>
  <c r="S482" i="74"/>
  <c r="R483" i="74"/>
  <c r="D483" i="74" s="1"/>
  <c r="N484" i="74" a="1"/>
  <c r="N484" i="74" s="1"/>
  <c r="Q484" i="74" s="1"/>
  <c r="C484" i="74" s="1"/>
  <c r="O484" i="74" a="1"/>
  <c r="O484" i="74" s="1"/>
  <c r="H481" i="74"/>
  <c r="J481" i="74" s="1"/>
  <c r="P484" i="74" a="1"/>
  <c r="P484" i="74" s="1"/>
  <c r="M485" i="74" a="1"/>
  <c r="M485" i="74" s="1"/>
  <c r="A486" i="74"/>
  <c r="F483" i="74"/>
  <c r="G483" i="74"/>
  <c r="I483" i="74" s="1"/>
  <c r="E483" i="74"/>
  <c r="L483" i="74"/>
  <c r="K483" i="74"/>
  <c r="B483" i="74" l="1"/>
  <c r="S483" i="74"/>
  <c r="R484" i="74"/>
  <c r="D484" i="74" s="1"/>
  <c r="H482" i="74"/>
  <c r="J482" i="74" s="1"/>
  <c r="N485" i="74" a="1"/>
  <c r="N485" i="74" s="1"/>
  <c r="Q485" i="74" s="1"/>
  <c r="C485" i="74" s="1"/>
  <c r="O485" i="74" a="1"/>
  <c r="O485" i="74" s="1"/>
  <c r="P485" i="74" a="1"/>
  <c r="P485" i="74" s="1"/>
  <c r="M486" i="74" a="1"/>
  <c r="M486" i="74" s="1"/>
  <c r="A487" i="74"/>
  <c r="F484" i="74"/>
  <c r="E484" i="74"/>
  <c r="G484" i="74"/>
  <c r="L484" i="74"/>
  <c r="K484" i="74"/>
  <c r="B484" i="74" l="1"/>
  <c r="I484" i="74"/>
  <c r="S484" i="74"/>
  <c r="R485" i="74"/>
  <c r="D485" i="74" s="1"/>
  <c r="N486" i="74" a="1"/>
  <c r="N486" i="74" s="1"/>
  <c r="Q486" i="74" s="1"/>
  <c r="C486" i="74" s="1"/>
  <c r="O486" i="74" a="1"/>
  <c r="O486" i="74" s="1"/>
  <c r="P486" i="74" a="1"/>
  <c r="P486" i="74" s="1"/>
  <c r="M487" i="74" a="1"/>
  <c r="M487" i="74" s="1"/>
  <c r="H483" i="74"/>
  <c r="J483" i="74" s="1"/>
  <c r="A488" i="74"/>
  <c r="F485" i="74"/>
  <c r="E485" i="74"/>
  <c r="G485" i="74"/>
  <c r="I485" i="74" s="1"/>
  <c r="L485" i="74"/>
  <c r="K485" i="74"/>
  <c r="B485" i="74" l="1"/>
  <c r="S485" i="74"/>
  <c r="R486" i="74"/>
  <c r="D486" i="74" s="1"/>
  <c r="N487" i="74" a="1"/>
  <c r="N487" i="74" s="1"/>
  <c r="Q487" i="74" s="1"/>
  <c r="C487" i="74" s="1"/>
  <c r="O487" i="74" a="1"/>
  <c r="O487" i="74" s="1"/>
  <c r="P487" i="74" a="1"/>
  <c r="P487" i="74" s="1"/>
  <c r="H484" i="74"/>
  <c r="J484" i="74" s="1"/>
  <c r="M488" i="74" a="1"/>
  <c r="M488" i="74" s="1"/>
  <c r="A489" i="74"/>
  <c r="E486" i="74"/>
  <c r="F486" i="74"/>
  <c r="G486" i="74"/>
  <c r="L486" i="74"/>
  <c r="K486" i="74"/>
  <c r="B486" i="74" l="1"/>
  <c r="I486" i="74"/>
  <c r="S486" i="74"/>
  <c r="R487" i="74"/>
  <c r="D487" i="74" s="1"/>
  <c r="H485" i="74"/>
  <c r="J485" i="74" s="1"/>
  <c r="N488" i="74" a="1"/>
  <c r="N488" i="74" s="1"/>
  <c r="Q488" i="74" s="1"/>
  <c r="C488" i="74" s="1"/>
  <c r="O488" i="74" a="1"/>
  <c r="O488" i="74" s="1"/>
  <c r="P488" i="74" a="1"/>
  <c r="P488" i="74" s="1"/>
  <c r="M489" i="74" a="1"/>
  <c r="M489" i="74" s="1"/>
  <c r="A490" i="74"/>
  <c r="F487" i="74"/>
  <c r="E487" i="74"/>
  <c r="G487" i="74"/>
  <c r="I487" i="74" s="1"/>
  <c r="L487" i="74"/>
  <c r="K487" i="74"/>
  <c r="B487" i="74" l="1"/>
  <c r="S487" i="74"/>
  <c r="R488" i="74"/>
  <c r="D488" i="74" s="1"/>
  <c r="N489" i="74" a="1"/>
  <c r="N489" i="74" s="1"/>
  <c r="Q489" i="74" s="1"/>
  <c r="C489" i="74" s="1"/>
  <c r="O489" i="74" a="1"/>
  <c r="O489" i="74" s="1"/>
  <c r="H486" i="74"/>
  <c r="J486" i="74" s="1"/>
  <c r="P489" i="74" a="1"/>
  <c r="P489" i="74" s="1"/>
  <c r="M490" i="74" a="1"/>
  <c r="M490" i="74" s="1"/>
  <c r="A491" i="74"/>
  <c r="G488" i="74"/>
  <c r="E488" i="74"/>
  <c r="F488" i="74"/>
  <c r="L488" i="74"/>
  <c r="K488" i="74"/>
  <c r="B488" i="74" l="1"/>
  <c r="I488" i="74"/>
  <c r="S488" i="74"/>
  <c r="R489" i="74"/>
  <c r="D489" i="74" s="1"/>
  <c r="N490" i="74" a="1"/>
  <c r="N490" i="74" s="1"/>
  <c r="Q490" i="74" s="1"/>
  <c r="C490" i="74" s="1"/>
  <c r="O490" i="74" a="1"/>
  <c r="O490" i="74" s="1"/>
  <c r="H487" i="74"/>
  <c r="J487" i="74" s="1"/>
  <c r="P490" i="74" a="1"/>
  <c r="P490" i="74" s="1"/>
  <c r="M491" i="74" a="1"/>
  <c r="M491" i="74" s="1"/>
  <c r="A492" i="74"/>
  <c r="F489" i="74"/>
  <c r="G489" i="74"/>
  <c r="I489" i="74" s="1"/>
  <c r="E489" i="74"/>
  <c r="L489" i="74"/>
  <c r="K489" i="74"/>
  <c r="B489" i="74" l="1"/>
  <c r="S489" i="74"/>
  <c r="R490" i="74"/>
  <c r="D490" i="74" s="1"/>
  <c r="N491" i="74" a="1"/>
  <c r="N491" i="74" s="1"/>
  <c r="Q491" i="74" s="1"/>
  <c r="C491" i="74" s="1"/>
  <c r="O491" i="74" a="1"/>
  <c r="O491" i="74" s="1"/>
  <c r="H488" i="74"/>
  <c r="J488" i="74" s="1"/>
  <c r="P491" i="74" a="1"/>
  <c r="P491" i="74" s="1"/>
  <c r="M492" i="74" a="1"/>
  <c r="M492" i="74" s="1"/>
  <c r="A493" i="74"/>
  <c r="G490" i="74"/>
  <c r="F490" i="74"/>
  <c r="E490" i="74"/>
  <c r="L490" i="74"/>
  <c r="K490" i="74"/>
  <c r="B490" i="74" l="1"/>
  <c r="I490" i="74"/>
  <c r="S490" i="74"/>
  <c r="R491" i="74"/>
  <c r="D491" i="74" s="1"/>
  <c r="H489" i="74"/>
  <c r="J489" i="74" s="1"/>
  <c r="N492" i="74" a="1"/>
  <c r="N492" i="74" s="1"/>
  <c r="Q492" i="74" s="1"/>
  <c r="C492" i="74" s="1"/>
  <c r="O492" i="74" a="1"/>
  <c r="O492" i="74" s="1"/>
  <c r="P492" i="74" a="1"/>
  <c r="P492" i="74" s="1"/>
  <c r="M493" i="74" a="1"/>
  <c r="M493" i="74" s="1"/>
  <c r="A494" i="74"/>
  <c r="F491" i="74"/>
  <c r="G491" i="74"/>
  <c r="E491" i="74"/>
  <c r="L491" i="74"/>
  <c r="K491" i="74"/>
  <c r="B491" i="74" l="1"/>
  <c r="I491" i="74"/>
  <c r="S491" i="74"/>
  <c r="R492" i="74"/>
  <c r="D492" i="74" s="1"/>
  <c r="N493" i="74" a="1"/>
  <c r="N493" i="74" s="1"/>
  <c r="Q493" i="74" s="1"/>
  <c r="C493" i="74" s="1"/>
  <c r="O493" i="74" a="1"/>
  <c r="O493" i="74" s="1"/>
  <c r="H490" i="74"/>
  <c r="J490" i="74" s="1"/>
  <c r="P493" i="74" a="1"/>
  <c r="P493" i="74" s="1"/>
  <c r="M494" i="74" a="1"/>
  <c r="M494" i="74" s="1"/>
  <c r="A495" i="74"/>
  <c r="F492" i="74"/>
  <c r="E492" i="74"/>
  <c r="G492" i="74"/>
  <c r="L492" i="74"/>
  <c r="K492" i="74"/>
  <c r="B492" i="74" l="1"/>
  <c r="I492" i="74"/>
  <c r="S492" i="74"/>
  <c r="R493" i="74"/>
  <c r="D493" i="74" s="1"/>
  <c r="N494" i="74" a="1"/>
  <c r="N494" i="74" s="1"/>
  <c r="Q494" i="74" s="1"/>
  <c r="C494" i="74" s="1"/>
  <c r="O494" i="74" a="1"/>
  <c r="O494" i="74" s="1"/>
  <c r="P494" i="74" a="1"/>
  <c r="P494" i="74" s="1"/>
  <c r="M495" i="74" a="1"/>
  <c r="M495" i="74" s="1"/>
  <c r="H491" i="74"/>
  <c r="J491" i="74" s="1"/>
  <c r="A496" i="74"/>
  <c r="F493" i="74"/>
  <c r="E493" i="74"/>
  <c r="G493" i="74"/>
  <c r="L493" i="74"/>
  <c r="K493" i="74"/>
  <c r="B493" i="74" l="1"/>
  <c r="I493" i="74"/>
  <c r="S493" i="74"/>
  <c r="R494" i="74"/>
  <c r="D494" i="74" s="1"/>
  <c r="N495" i="74" a="1"/>
  <c r="N495" i="74" s="1"/>
  <c r="Q495" i="74" s="1"/>
  <c r="C495" i="74" s="1"/>
  <c r="O495" i="74" a="1"/>
  <c r="O495" i="74" s="1"/>
  <c r="P495" i="74" a="1"/>
  <c r="P495" i="74" s="1"/>
  <c r="M496" i="74" a="1"/>
  <c r="M496" i="74" s="1"/>
  <c r="H492" i="74"/>
  <c r="J492" i="74" s="1"/>
  <c r="A497" i="74"/>
  <c r="E494" i="74"/>
  <c r="F494" i="74"/>
  <c r="G494" i="74"/>
  <c r="L494" i="74"/>
  <c r="K494" i="74"/>
  <c r="B494" i="74" l="1"/>
  <c r="I494" i="74"/>
  <c r="S494" i="74"/>
  <c r="R495" i="74"/>
  <c r="D495" i="74" s="1"/>
  <c r="N496" i="74" a="1"/>
  <c r="N496" i="74" s="1"/>
  <c r="Q496" i="74" s="1"/>
  <c r="C496" i="74" s="1"/>
  <c r="O496" i="74" a="1"/>
  <c r="O496" i="74" s="1"/>
  <c r="P496" i="74" a="1"/>
  <c r="P496" i="74" s="1"/>
  <c r="M497" i="74" a="1"/>
  <c r="M497" i="74" s="1"/>
  <c r="H493" i="74"/>
  <c r="J493" i="74" s="1"/>
  <c r="A498" i="74"/>
  <c r="F495" i="74"/>
  <c r="E495" i="74"/>
  <c r="G495" i="74"/>
  <c r="L495" i="74"/>
  <c r="K495" i="74"/>
  <c r="B495" i="74" l="1"/>
  <c r="I495" i="74"/>
  <c r="S495" i="74"/>
  <c r="R496" i="74"/>
  <c r="D496" i="74" s="1"/>
  <c r="N497" i="74" a="1"/>
  <c r="N497" i="74" s="1"/>
  <c r="Q497" i="74" s="1"/>
  <c r="C497" i="74" s="1"/>
  <c r="O497" i="74" a="1"/>
  <c r="O497" i="74" s="1"/>
  <c r="P497" i="74" a="1"/>
  <c r="P497" i="74" s="1"/>
  <c r="M498" i="74" a="1"/>
  <c r="M498" i="74" s="1"/>
  <c r="H494" i="74"/>
  <c r="J494" i="74" s="1"/>
  <c r="A499" i="74"/>
  <c r="G496" i="74"/>
  <c r="E496" i="74"/>
  <c r="F496" i="74"/>
  <c r="L496" i="74"/>
  <c r="K496" i="74"/>
  <c r="B496" i="74" l="1"/>
  <c r="I496" i="74"/>
  <c r="S496" i="74"/>
  <c r="R497" i="74"/>
  <c r="D497" i="74" s="1"/>
  <c r="H495" i="74"/>
  <c r="J495" i="74" s="1"/>
  <c r="N498" i="74" a="1"/>
  <c r="N498" i="74" s="1"/>
  <c r="Q498" i="74" s="1"/>
  <c r="C498" i="74" s="1"/>
  <c r="O498" i="74" a="1"/>
  <c r="O498" i="74" s="1"/>
  <c r="P498" i="74" a="1"/>
  <c r="P498" i="74" s="1"/>
  <c r="M499" i="74" a="1"/>
  <c r="M499" i="74" s="1"/>
  <c r="A500" i="74"/>
  <c r="F497" i="74"/>
  <c r="G497" i="74"/>
  <c r="E497" i="74"/>
  <c r="L497" i="74"/>
  <c r="K497" i="74"/>
  <c r="B497" i="74" l="1"/>
  <c r="I497" i="74"/>
  <c r="S497" i="74"/>
  <c r="R498" i="74"/>
  <c r="D498" i="74" s="1"/>
  <c r="N499" i="74" a="1"/>
  <c r="N499" i="74" s="1"/>
  <c r="Q499" i="74" s="1"/>
  <c r="C499" i="74" s="1"/>
  <c r="O499" i="74" a="1"/>
  <c r="O499" i="74" s="1"/>
  <c r="P499" i="74" a="1"/>
  <c r="P499" i="74" s="1"/>
  <c r="M500" i="74" a="1"/>
  <c r="M500" i="74" s="1"/>
  <c r="H496" i="74"/>
  <c r="J496" i="74" s="1"/>
  <c r="A501" i="74"/>
  <c r="G498" i="74"/>
  <c r="F498" i="74"/>
  <c r="E498" i="74"/>
  <c r="L498" i="74"/>
  <c r="K498" i="74"/>
  <c r="B498" i="74" l="1"/>
  <c r="I498" i="74"/>
  <c r="S498" i="74"/>
  <c r="R499" i="74"/>
  <c r="D499" i="74" s="1"/>
  <c r="N500" i="74" a="1"/>
  <c r="N500" i="74" s="1"/>
  <c r="Q500" i="74" s="1"/>
  <c r="C500" i="74" s="1"/>
  <c r="O500" i="74" a="1"/>
  <c r="O500" i="74" s="1"/>
  <c r="P500" i="74" a="1"/>
  <c r="P500" i="74" s="1"/>
  <c r="M501" i="74" a="1"/>
  <c r="M501" i="74" s="1"/>
  <c r="H497" i="74"/>
  <c r="J497" i="74" s="1"/>
  <c r="A502" i="74"/>
  <c r="F499" i="74"/>
  <c r="G499" i="74"/>
  <c r="E499" i="74"/>
  <c r="L499" i="74"/>
  <c r="K499" i="74"/>
  <c r="B499" i="74" l="1"/>
  <c r="I499" i="74"/>
  <c r="S499" i="74"/>
  <c r="R500" i="74"/>
  <c r="D500" i="74" s="1"/>
  <c r="N501" i="74" a="1"/>
  <c r="N501" i="74" s="1"/>
  <c r="Q501" i="74" s="1"/>
  <c r="C501" i="74" s="1"/>
  <c r="O501" i="74" a="1"/>
  <c r="O501" i="74" s="1"/>
  <c r="P501" i="74" a="1"/>
  <c r="P501" i="74" s="1"/>
  <c r="M502" i="74" a="1"/>
  <c r="M502" i="74" s="1"/>
  <c r="H498" i="74"/>
  <c r="J498" i="74" s="1"/>
  <c r="A503" i="74"/>
  <c r="F500" i="74"/>
  <c r="E500" i="74"/>
  <c r="G500" i="74"/>
  <c r="L500" i="74"/>
  <c r="K500" i="74"/>
  <c r="B500" i="74" l="1"/>
  <c r="I500" i="74"/>
  <c r="S500" i="74"/>
  <c r="R501" i="74"/>
  <c r="D501" i="74" s="1"/>
  <c r="H499" i="74"/>
  <c r="J499" i="74" s="1"/>
  <c r="N502" i="74" a="1"/>
  <c r="N502" i="74" s="1"/>
  <c r="Q502" i="74" s="1"/>
  <c r="C502" i="74" s="1"/>
  <c r="O502" i="74" a="1"/>
  <c r="O502" i="74" s="1"/>
  <c r="P502" i="74" a="1"/>
  <c r="P502" i="74" s="1"/>
  <c r="M503" i="74" a="1"/>
  <c r="M503" i="74" s="1"/>
  <c r="A504" i="74"/>
  <c r="F501" i="74"/>
  <c r="E501" i="74"/>
  <c r="G501" i="74"/>
  <c r="L501" i="74"/>
  <c r="K501" i="74"/>
  <c r="B501" i="74" l="1"/>
  <c r="I501" i="74"/>
  <c r="S501" i="74"/>
  <c r="R502" i="74"/>
  <c r="D502" i="74" s="1"/>
  <c r="N503" i="74" a="1"/>
  <c r="N503" i="74" s="1"/>
  <c r="Q503" i="74" s="1"/>
  <c r="C503" i="74" s="1"/>
  <c r="O503" i="74" a="1"/>
  <c r="O503" i="74" s="1"/>
  <c r="P503" i="74" a="1"/>
  <c r="P503" i="74" s="1"/>
  <c r="M504" i="74" a="1"/>
  <c r="M504" i="74" s="1"/>
  <c r="H500" i="74"/>
  <c r="J500" i="74" s="1"/>
  <c r="A505" i="74"/>
  <c r="E502" i="74"/>
  <c r="F502" i="74"/>
  <c r="G502" i="74"/>
  <c r="B502" i="74" s="1"/>
  <c r="L502" i="74"/>
  <c r="K502" i="74"/>
  <c r="I502" i="74" l="1"/>
  <c r="S502" i="74"/>
  <c r="R503" i="74"/>
  <c r="D503" i="74" s="1"/>
  <c r="H501" i="74"/>
  <c r="J501" i="74" s="1"/>
  <c r="N504" i="74" a="1"/>
  <c r="N504" i="74" s="1"/>
  <c r="Q504" i="74" s="1"/>
  <c r="C504" i="74" s="1"/>
  <c r="O504" i="74" a="1"/>
  <c r="O504" i="74" s="1"/>
  <c r="P504" i="74" a="1"/>
  <c r="P504" i="74" s="1"/>
  <c r="M505" i="74" a="1"/>
  <c r="M505" i="74" s="1"/>
  <c r="A506" i="74"/>
  <c r="F503" i="74"/>
  <c r="E503" i="74"/>
  <c r="G503" i="74"/>
  <c r="L503" i="74"/>
  <c r="K503" i="74"/>
  <c r="B503" i="74" l="1"/>
  <c r="I503" i="74"/>
  <c r="S503" i="74"/>
  <c r="R504" i="74"/>
  <c r="D504" i="74" s="1"/>
  <c r="N505" i="74" a="1"/>
  <c r="N505" i="74" s="1"/>
  <c r="Q505" i="74" s="1"/>
  <c r="C505" i="74" s="1"/>
  <c r="O505" i="74" a="1"/>
  <c r="O505" i="74" s="1"/>
  <c r="P505" i="74" a="1"/>
  <c r="P505" i="74" s="1"/>
  <c r="M506" i="74" a="1"/>
  <c r="M506" i="74" s="1"/>
  <c r="H502" i="74"/>
  <c r="J502" i="74" s="1"/>
  <c r="A507" i="74"/>
  <c r="G504" i="74"/>
  <c r="E504" i="74"/>
  <c r="F504" i="74"/>
  <c r="L504" i="74"/>
  <c r="K504" i="74"/>
  <c r="B504" i="74" l="1"/>
  <c r="I504" i="74"/>
  <c r="S504" i="74"/>
  <c r="R505" i="74"/>
  <c r="D505" i="74" s="1"/>
  <c r="H503" i="74"/>
  <c r="J503" i="74" s="1"/>
  <c r="N506" i="74" a="1"/>
  <c r="N506" i="74" s="1"/>
  <c r="Q506" i="74" s="1"/>
  <c r="C506" i="74" s="1"/>
  <c r="O506" i="74" a="1"/>
  <c r="O506" i="74" s="1"/>
  <c r="P506" i="74" a="1"/>
  <c r="P506" i="74" s="1"/>
  <c r="M507" i="74" a="1"/>
  <c r="M507" i="74" s="1"/>
  <c r="A508" i="74"/>
  <c r="F505" i="74"/>
  <c r="G505" i="74"/>
  <c r="E505" i="74"/>
  <c r="L505" i="74"/>
  <c r="K505" i="74"/>
  <c r="B505" i="74" l="1"/>
  <c r="I505" i="74"/>
  <c r="S505" i="74"/>
  <c r="R506" i="74"/>
  <c r="D506" i="74" s="1"/>
  <c r="N507" i="74" a="1"/>
  <c r="N507" i="74" s="1"/>
  <c r="Q507" i="74" s="1"/>
  <c r="C507" i="74" s="1"/>
  <c r="O507" i="74" a="1"/>
  <c r="O507" i="74" s="1"/>
  <c r="H504" i="74"/>
  <c r="J504" i="74" s="1"/>
  <c r="P507" i="74" a="1"/>
  <c r="P507" i="74" s="1"/>
  <c r="M508" i="74" a="1"/>
  <c r="M508" i="74" s="1"/>
  <c r="G506" i="74"/>
  <c r="F506" i="74"/>
  <c r="E506" i="74"/>
  <c r="L506" i="74"/>
  <c r="K506" i="74"/>
  <c r="B506" i="74" l="1"/>
  <c r="I506" i="74"/>
  <c r="S506" i="74"/>
  <c r="R507" i="74"/>
  <c r="D507" i="74" s="1"/>
  <c r="N508" i="74" a="1"/>
  <c r="N508" i="74" s="1"/>
  <c r="Q508" i="74" s="1"/>
  <c r="C508" i="74" s="1"/>
  <c r="O508" i="74" a="1"/>
  <c r="O508" i="74" s="1"/>
  <c r="P508" i="74" a="1"/>
  <c r="P508" i="74" s="1"/>
  <c r="H506" i="74"/>
  <c r="J506" i="74" s="1"/>
  <c r="H505" i="74"/>
  <c r="J505" i="74" s="1"/>
  <c r="E507" i="74"/>
  <c r="G507" i="74"/>
  <c r="F507" i="74"/>
  <c r="L507" i="74"/>
  <c r="K507" i="74"/>
  <c r="B507" i="74" l="1"/>
  <c r="I507" i="74"/>
  <c r="S507" i="74"/>
  <c r="R508" i="74"/>
  <c r="D508" i="74" s="1"/>
  <c r="G508" i="74"/>
  <c r="E508" i="74"/>
  <c r="F508" i="74"/>
  <c r="L508" i="74"/>
  <c r="C5" i="76" s="1"/>
  <c r="E5" i="76" s="1"/>
  <c r="K508" i="74"/>
  <c r="C6" i="76" l="1"/>
  <c r="E6" i="76" s="1"/>
  <c r="C7" i="76"/>
  <c r="E7" i="76" s="1"/>
  <c r="C8" i="76"/>
  <c r="E8" i="76" s="1"/>
  <c r="C22" i="76"/>
  <c r="E22" i="76" s="1"/>
  <c r="D25" i="76"/>
  <c r="C23" i="76"/>
  <c r="E23" i="76" s="1"/>
  <c r="D23" i="76"/>
  <c r="C24" i="76"/>
  <c r="E24" i="76" s="1"/>
  <c r="C25" i="76"/>
  <c r="E25" i="76" s="1"/>
  <c r="D26" i="76"/>
  <c r="D24" i="76"/>
  <c r="C27" i="76"/>
  <c r="E27" i="76" s="1"/>
  <c r="C26" i="76"/>
  <c r="E26" i="76" s="1"/>
  <c r="D28" i="76"/>
  <c r="D27" i="76"/>
  <c r="D31" i="76"/>
  <c r="D29" i="76"/>
  <c r="C29" i="76"/>
  <c r="E29" i="76" s="1"/>
  <c r="C30" i="76"/>
  <c r="E30" i="76" s="1"/>
  <c r="C28" i="76"/>
  <c r="E28" i="76" s="1"/>
  <c r="D32" i="76"/>
  <c r="D30" i="76"/>
  <c r="C31" i="76"/>
  <c r="E31" i="76" s="1"/>
  <c r="C32" i="76"/>
  <c r="E32" i="76" s="1"/>
  <c r="D33" i="76"/>
  <c r="D34" i="76"/>
  <c r="C34" i="76"/>
  <c r="E34" i="76" s="1"/>
  <c r="C33" i="76"/>
  <c r="E33" i="76" s="1"/>
  <c r="D36" i="76"/>
  <c r="C35" i="76"/>
  <c r="E35" i="76" s="1"/>
  <c r="D35" i="76"/>
  <c r="C36" i="76"/>
  <c r="E36" i="76" s="1"/>
  <c r="C38" i="76"/>
  <c r="E38" i="76" s="1"/>
  <c r="C37" i="76"/>
  <c r="E37" i="76" s="1"/>
  <c r="D38" i="76"/>
  <c r="D37" i="76"/>
  <c r="C39" i="76"/>
  <c r="E39" i="76" s="1"/>
  <c r="D40" i="76"/>
  <c r="D39" i="76"/>
  <c r="C40" i="76"/>
  <c r="E40" i="76" s="1"/>
  <c r="I508" i="74"/>
  <c r="C9" i="76"/>
  <c r="E9" i="76" s="1"/>
  <c r="C10" i="76"/>
  <c r="E10" i="76" s="1"/>
  <c r="C11" i="76"/>
  <c r="E11" i="76" s="1"/>
  <c r="C12" i="76"/>
  <c r="E12" i="76" s="1"/>
  <c r="C13" i="76"/>
  <c r="E13" i="76" s="1"/>
  <c r="C14" i="76"/>
  <c r="E14" i="76" s="1"/>
  <c r="C15" i="76"/>
  <c r="E15" i="76" s="1"/>
  <c r="C16" i="76"/>
  <c r="E16" i="76" s="1"/>
  <c r="C17" i="76"/>
  <c r="E17" i="76" s="1"/>
  <c r="C18" i="76"/>
  <c r="E18" i="76" s="1"/>
  <c r="C19" i="76"/>
  <c r="E19" i="76" s="1"/>
  <c r="C20" i="76"/>
  <c r="E20" i="76" s="1"/>
  <c r="C21" i="76"/>
  <c r="E21" i="76" s="1"/>
  <c r="B508" i="74"/>
  <c r="S508" i="74"/>
  <c r="H507" i="74"/>
  <c r="J507" i="74" s="1"/>
  <c r="D22" i="76" l="1"/>
  <c r="H508" i="74"/>
  <c r="D5" i="76" s="1"/>
  <c r="J508" i="74" l="1"/>
  <c r="D6" i="76"/>
  <c r="D7" i="76"/>
  <c r="D8" i="76"/>
  <c r="D9" i="76"/>
  <c r="D10" i="76"/>
  <c r="D11" i="76"/>
  <c r="D12" i="76"/>
  <c r="D13" i="76"/>
  <c r="D14" i="76"/>
  <c r="D15" i="76"/>
  <c r="D16" i="76"/>
  <c r="D17" i="76"/>
  <c r="D18" i="76"/>
  <c r="D19" i="76"/>
  <c r="D20" i="76"/>
  <c r="D21" i="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A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 xml:space="preserve">Debe cargar el nombre y apellido en la hoja Parametros celda B1
</t>
        </r>
      </text>
    </comment>
    <comment ref="P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 xml:space="preserve">Debe cargar el legajo en la Hoja Parametros celda B2
</t>
        </r>
      </text>
    </comment>
    <comment ref="A2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 xml:space="preserve">Ingrese El año
</t>
        </r>
      </text>
    </comment>
  </commentList>
</comments>
</file>

<file path=xl/sharedStrings.xml><?xml version="1.0" encoding="utf-8"?>
<sst xmlns="http://schemas.openxmlformats.org/spreadsheetml/2006/main" count="1453" uniqueCount="374">
  <si>
    <t>APELLIDO Y NOMBRE:</t>
  </si>
  <si>
    <t>CERTIFICADO DE COMPETENCIA:</t>
  </si>
  <si>
    <t>TCP</t>
  </si>
  <si>
    <t>LEGAJO:</t>
  </si>
  <si>
    <t>ITINERARIO</t>
  </si>
  <si>
    <t>FINALIDAD DEL VUELO</t>
  </si>
  <si>
    <t>AERONAVES UTILIZADAS</t>
  </si>
  <si>
    <t>TIEMPOS DE VUELO</t>
  </si>
  <si>
    <t>ATERRIZAJES</t>
  </si>
  <si>
    <t>CERTIFICACIONES</t>
  </si>
  <si>
    <t>HORA DE SALIDA</t>
  </si>
  <si>
    <t>DESDE         -       HASTA</t>
  </si>
  <si>
    <t>HORA DE LLEGADA</t>
  </si>
  <si>
    <t>MARCA</t>
  </si>
  <si>
    <t>MATRÍCULA</t>
  </si>
  <si>
    <t>FOLIO RVA</t>
  </si>
  <si>
    <t>DE DÍA</t>
  </si>
  <si>
    <t>NOCHE</t>
  </si>
  <si>
    <t>INSTRUCTOR</t>
  </si>
  <si>
    <t>TIPO DE</t>
  </si>
  <si>
    <t>DÍA</t>
  </si>
  <si>
    <t>MES</t>
  </si>
  <si>
    <t>DE TCP</t>
  </si>
  <si>
    <t>AERONAVE</t>
  </si>
  <si>
    <t xml:space="preserve">TOTALES PÁGINA ANTERIOR </t>
  </si>
  <si>
    <t>Total horas de vuelo de la página anterior</t>
  </si>
  <si>
    <t xml:space="preserve">TOTAL HORAS DE VUELO A LA PÁGINA SIGUIENTE </t>
  </si>
  <si>
    <t>Total horas de vuelo a la página siguiente</t>
  </si>
  <si>
    <t>APROBADO POR DISPOSICIÓN 278/03 DHA</t>
  </si>
  <si>
    <t>...........................................................................</t>
  </si>
  <si>
    <t>FIRMA DEL TITULAR</t>
  </si>
  <si>
    <t>Horarios</t>
  </si>
  <si>
    <t>Verano</t>
  </si>
  <si>
    <t>otoño</t>
  </si>
  <si>
    <t>Invierno</t>
  </si>
  <si>
    <t>Primavera</t>
  </si>
  <si>
    <t>Diurnos</t>
  </si>
  <si>
    <t>Nocturnos</t>
  </si>
  <si>
    <t>Desde</t>
  </si>
  <si>
    <t>hasta</t>
  </si>
  <si>
    <t>Hasta</t>
  </si>
  <si>
    <t>Apellido y Nombre</t>
  </si>
  <si>
    <t>Legajo</t>
  </si>
  <si>
    <t>El Palomar</t>
  </si>
  <si>
    <t>EPA</t>
  </si>
  <si>
    <t>Aeropuertos</t>
  </si>
  <si>
    <t>Corrientes</t>
  </si>
  <si>
    <t>Posadas</t>
  </si>
  <si>
    <t>BHI</t>
  </si>
  <si>
    <t>CNQ</t>
  </si>
  <si>
    <t>JUJ</t>
  </si>
  <si>
    <t>TUC</t>
  </si>
  <si>
    <t>Mendoza</t>
  </si>
  <si>
    <t>NQN</t>
  </si>
  <si>
    <t>COR</t>
  </si>
  <si>
    <t>MDZ</t>
  </si>
  <si>
    <t>PSS</t>
  </si>
  <si>
    <t>IGR</t>
  </si>
  <si>
    <t>Salta</t>
  </si>
  <si>
    <t>SLA</t>
  </si>
  <si>
    <t>Bariloche</t>
  </si>
  <si>
    <t>BRC</t>
  </si>
  <si>
    <t>SDE</t>
  </si>
  <si>
    <t>PDP</t>
  </si>
  <si>
    <t>CODIGO</t>
  </si>
  <si>
    <t xml:space="preserve">Ayelen Bertora </t>
  </si>
  <si>
    <t>ayelenbertora@flybondi.com</t>
  </si>
  <si>
    <t xml:space="preserve">Contacto </t>
  </si>
  <si>
    <t xml:space="preserve">Puesto </t>
  </si>
  <si>
    <t>Autor Planilla</t>
  </si>
  <si>
    <t>Estacion Año</t>
  </si>
  <si>
    <t>Cargar Apellido</t>
  </si>
  <si>
    <t>ingrese legajo</t>
  </si>
  <si>
    <t xml:space="preserve">  </t>
  </si>
  <si>
    <t xml:space="preserve"> </t>
  </si>
  <si>
    <t>AGREGAR MATRICULA</t>
  </si>
  <si>
    <t>Aviones</t>
  </si>
  <si>
    <t xml:space="preserve">Nombre </t>
  </si>
  <si>
    <t>Codigo</t>
  </si>
  <si>
    <t>ASU</t>
  </si>
  <si>
    <t>AÑO</t>
  </si>
  <si>
    <t>Dia</t>
  </si>
  <si>
    <t>Hora
Salida</t>
  </si>
  <si>
    <t>Destinos</t>
  </si>
  <si>
    <t>TV 
Diurno</t>
  </si>
  <si>
    <t>TV 
Nocturno</t>
  </si>
  <si>
    <t>TV
TOTAL</t>
  </si>
  <si>
    <t>Fecha</t>
  </si>
  <si>
    <t>Primer 
Despegue</t>
  </si>
  <si>
    <t>Total 
TV</t>
  </si>
  <si>
    <t>Total 
TSV</t>
  </si>
  <si>
    <t>DURACIÓN DEL TIEMPO DE SERVICIO INMEDIATO PRECEDENTE</t>
  </si>
  <si>
    <t xml:space="preserve">DESCANSO EN BASE O FUERA DE
BASE
</t>
  </si>
  <si>
    <t xml:space="preserve">Fecha </t>
  </si>
  <si>
    <t>TOTAL 
TV</t>
  </si>
  <si>
    <t>TOTAL 
TSV</t>
  </si>
  <si>
    <t>HUBO 
ACTIVIDAD</t>
  </si>
  <si>
    <t>columnas auxiliares</t>
  </si>
  <si>
    <t>TOTALES DIARIOS</t>
  </si>
  <si>
    <t>TOTALES MENSUALES</t>
  </si>
  <si>
    <t xml:space="preserve">DESCANSO NOCTURNO NORMAL
INTERRUMPIDO </t>
  </si>
  <si>
    <t>Tabla de descansos</t>
  </si>
  <si>
    <t>AGRUPACION  DE VUELOS</t>
  </si>
  <si>
    <t>Dias de servicios</t>
  </si>
  <si>
    <t>Min Despegue</t>
  </si>
  <si>
    <t>Min Despegue al proximo dia</t>
  </si>
  <si>
    <t>MAX ATERRIZAJE MENOR AL DESPEGUE</t>
  </si>
  <si>
    <t xml:space="preserve">Primer aterrizaje del dia mayor
 al primer despegue </t>
  </si>
  <si>
    <t>Ultimo aterrizaje</t>
  </si>
  <si>
    <t>Hora
LLegada</t>
  </si>
  <si>
    <t>Primer despegue</t>
  </si>
  <si>
    <t>Auxiliares</t>
  </si>
  <si>
    <t>Estacion</t>
  </si>
  <si>
    <t xml:space="preserve">Dia </t>
  </si>
  <si>
    <t>Mes</t>
  </si>
  <si>
    <t>Bahía Blanca</t>
  </si>
  <si>
    <t>Córdoba</t>
  </si>
  <si>
    <t>Puerto Iguazú</t>
  </si>
  <si>
    <t>Perico</t>
  </si>
  <si>
    <t>Neuquén</t>
  </si>
  <si>
    <t>Trelew</t>
  </si>
  <si>
    <t>REL</t>
  </si>
  <si>
    <t>Resistencia</t>
  </si>
  <si>
    <t>RES</t>
  </si>
  <si>
    <t>Rosario</t>
  </si>
  <si>
    <t>ROS</t>
  </si>
  <si>
    <t>Santiago del Estero</t>
  </si>
  <si>
    <t>Tucumán</t>
  </si>
  <si>
    <t>Asuncion - Paraguay</t>
  </si>
  <si>
    <t>Punta Del este - Uruguay</t>
  </si>
  <si>
    <t xml:space="preserve">Aeroparque </t>
  </si>
  <si>
    <t>AEP</t>
  </si>
  <si>
    <t>San Rafael Mendoza</t>
  </si>
  <si>
    <t>AFA</t>
  </si>
  <si>
    <t xml:space="preserve">Paso de los Libres - Corrientes </t>
  </si>
  <si>
    <t>AOL</t>
  </si>
  <si>
    <t>Zapala - Neuquén</t>
  </si>
  <si>
    <t>APZ</t>
  </si>
  <si>
    <t>Alto Río Senguer - Chubut</t>
  </si>
  <si>
    <t>ARR</t>
  </si>
  <si>
    <t>Catriel - Río Negro</t>
  </si>
  <si>
    <t>CCT</t>
  </si>
  <si>
    <t>Clorinda - Formosa</t>
  </si>
  <si>
    <t>CLX</t>
  </si>
  <si>
    <t>Concordia - Entre Ríos</t>
  </si>
  <si>
    <t>COC</t>
  </si>
  <si>
    <t>San Martín de los Andes - Neuquén</t>
  </si>
  <si>
    <t>CPC</t>
  </si>
  <si>
    <t>Comodoro Rivadavia - Chubut</t>
  </si>
  <si>
    <t>CRD</t>
  </si>
  <si>
    <t>Ceres - Santa Fe</t>
  </si>
  <si>
    <t>CRR</t>
  </si>
  <si>
    <t>Coronel Suárez - Buenos Aires</t>
  </si>
  <si>
    <t>CSZ</t>
  </si>
  <si>
    <t>San Fernando del Valle de Catamarca - Catamarca</t>
  </si>
  <si>
    <t>CTC</t>
  </si>
  <si>
    <t>Cutral-Co - Neuquén</t>
  </si>
  <si>
    <t>CUT</t>
  </si>
  <si>
    <t>Caviahue - Neuquén</t>
  </si>
  <si>
    <t>CVH</t>
  </si>
  <si>
    <t>Caleta Olivia - Santa Cruz</t>
  </si>
  <si>
    <t>CVI</t>
  </si>
  <si>
    <t>El Bolsón - Río Negro</t>
  </si>
  <si>
    <t>EHL</t>
  </si>
  <si>
    <t>Eldorado - Misiones</t>
  </si>
  <si>
    <t>ELO</t>
  </si>
  <si>
    <t>El Maitén - Chubut</t>
  </si>
  <si>
    <t>EMX</t>
  </si>
  <si>
    <t>Esquel - Chubut</t>
  </si>
  <si>
    <t>EQS</t>
  </si>
  <si>
    <t>Ezeiza - Buenos Aires</t>
  </si>
  <si>
    <t>EZE</t>
  </si>
  <si>
    <t>San Fernando - Buenos Aires</t>
  </si>
  <si>
    <t>FDO</t>
  </si>
  <si>
    <t>Formosa - Formosa</t>
  </si>
  <si>
    <t>FMA</t>
  </si>
  <si>
    <t>El Calafate - Santa Cruz</t>
  </si>
  <si>
    <t>FTE</t>
  </si>
  <si>
    <t>Gobernador Gregores - Santa Cruz</t>
  </si>
  <si>
    <t>GGS</t>
  </si>
  <si>
    <t>Gualeguaychú - Entre Ríos</t>
  </si>
  <si>
    <t>GHU</t>
  </si>
  <si>
    <t>General Roca - Río Negro</t>
  </si>
  <si>
    <t>GNR</t>
  </si>
  <si>
    <t>General Pico - La Pampa</t>
  </si>
  <si>
    <t>GPO</t>
  </si>
  <si>
    <t>Chos Malal - Neuquén</t>
  </si>
  <si>
    <t>HOS</t>
  </si>
  <si>
    <t>Ingeniero Jacobacci - Río Negro</t>
  </si>
  <si>
    <t>IGB</t>
  </si>
  <si>
    <t>La Rioja - La Rioja</t>
  </si>
  <si>
    <t>IRJ</t>
  </si>
  <si>
    <t>Junín - Buenos Aires</t>
  </si>
  <si>
    <t>JNI</t>
  </si>
  <si>
    <t>José de San Martín - Chubut</t>
  </si>
  <si>
    <t>JSM</t>
  </si>
  <si>
    <t>La Cumbre - Córdoba</t>
  </si>
  <si>
    <t>LCM</t>
  </si>
  <si>
    <t>Loncopué - Neuquén</t>
  </si>
  <si>
    <t>LCP</t>
  </si>
  <si>
    <t>Malargüe - Mendoza</t>
  </si>
  <si>
    <t>LGS</t>
  </si>
  <si>
    <t>Las Heras - Santa Cruz</t>
  </si>
  <si>
    <t>LHS</t>
  </si>
  <si>
    <t>Las Lomitas - Formosa</t>
  </si>
  <si>
    <t>LLS</t>
  </si>
  <si>
    <t>La Plata - Buenos Aires</t>
  </si>
  <si>
    <t>LPG</t>
  </si>
  <si>
    <t>San Luis - San Luis</t>
  </si>
  <si>
    <t>LUQ</t>
  </si>
  <si>
    <t>Monte Caseros - Corrientes</t>
  </si>
  <si>
    <t>MCS</t>
  </si>
  <si>
    <t>Mar del Plata - Buenos Aires</t>
  </si>
  <si>
    <t>MDQ</t>
  </si>
  <si>
    <t>Mercedes - Corrientes</t>
  </si>
  <si>
    <t>MDX</t>
  </si>
  <si>
    <t>Miramar - Buenos Aires</t>
  </si>
  <si>
    <t>MJR</t>
  </si>
  <si>
    <t>Sunchales - Santa Fe</t>
  </si>
  <si>
    <t>NCJ</t>
  </si>
  <si>
    <t>Necochea - Buenos Aires</t>
  </si>
  <si>
    <t>NEC</t>
  </si>
  <si>
    <t>San Antonio Oeste - Río Negro</t>
  </si>
  <si>
    <t>OES</t>
  </si>
  <si>
    <t>Sarmiento - Chubut</t>
  </si>
  <si>
    <t>OLN</t>
  </si>
  <si>
    <t>San Ramón de la Nueva Orán - Salta</t>
  </si>
  <si>
    <t>ORA</t>
  </si>
  <si>
    <t>Olavarría - Buenos Aires</t>
  </si>
  <si>
    <t>OVR</t>
  </si>
  <si>
    <t>Goya - Corrientes</t>
  </si>
  <si>
    <t>OYA</t>
  </si>
  <si>
    <t>Tres Arroyos - Buenos Aires</t>
  </si>
  <si>
    <t>OYO</t>
  </si>
  <si>
    <t>Pehuajó - Buenos Aires</t>
  </si>
  <si>
    <t>PEH</t>
  </si>
  <si>
    <t>Perito Moreno - Santa Cruz</t>
  </si>
  <si>
    <t>PMQ</t>
  </si>
  <si>
    <t>Puerto Madryn - Chubut</t>
  </si>
  <si>
    <t>PMY</t>
  </si>
  <si>
    <t>Paraná - Entre Ríos</t>
  </si>
  <si>
    <t>PRA</t>
  </si>
  <si>
    <t>Presidencia Roque Saenz Peña - Chaco</t>
  </si>
  <si>
    <t>PRQ</t>
  </si>
  <si>
    <t>Puerto Deseado - Santa Cruz</t>
  </si>
  <si>
    <t>PUD</t>
  </si>
  <si>
    <t>Rafaela - Santa Fe</t>
  </si>
  <si>
    <t>RAF</t>
  </si>
  <si>
    <t>Reconquista - Santa Fe</t>
  </si>
  <si>
    <t>RCQ</t>
  </si>
  <si>
    <t>Río Cuarto - Córdoba</t>
  </si>
  <si>
    <t>RCU</t>
  </si>
  <si>
    <t>Rincón de los Sauces - Neuquén</t>
  </si>
  <si>
    <t>RDS</t>
  </si>
  <si>
    <t>Río Grande - Tierra del Fuego</t>
  </si>
  <si>
    <t>RGA</t>
  </si>
  <si>
    <t>Río Gallegos - Santa Cruz</t>
  </si>
  <si>
    <t>RGL</t>
  </si>
  <si>
    <t>Termas de Río Hondo - Santiago del Estero</t>
  </si>
  <si>
    <t>RHD</t>
  </si>
  <si>
    <t>Merlo - San Luis</t>
  </si>
  <si>
    <t>RLO</t>
  </si>
  <si>
    <t>Río Mayo - Chubut</t>
  </si>
  <si>
    <t>ROY</t>
  </si>
  <si>
    <t>Santa Rosa - La Pampa</t>
  </si>
  <si>
    <t>RSA</t>
  </si>
  <si>
    <t>Río Turbio/Veintiocho de Noviembre - Santa Cruz</t>
  </si>
  <si>
    <t>RYO</t>
  </si>
  <si>
    <t>Puerto Santa Cruz - Santa Cruz</t>
  </si>
  <si>
    <t>RZA</t>
  </si>
  <si>
    <t>Santa María - Catamarca</t>
  </si>
  <si>
    <t>SA11</t>
  </si>
  <si>
    <t>Sauce Viejo - Santa Fe</t>
  </si>
  <si>
    <t>SFN</t>
  </si>
  <si>
    <t>Sierra Grande - Río Negro</t>
  </si>
  <si>
    <t>SGV</t>
  </si>
  <si>
    <t>Santa Teresita - Buenos Aires</t>
  </si>
  <si>
    <t>SST</t>
  </si>
  <si>
    <t>Tandil - Buenos Aires</t>
  </si>
  <si>
    <t>TDL</t>
  </si>
  <si>
    <t>Tartagal - Salta</t>
  </si>
  <si>
    <t>TTG</t>
  </si>
  <si>
    <t>San Juan - San Juan</t>
  </si>
  <si>
    <t>UAQ</t>
  </si>
  <si>
    <t>Puerto San Julián - Santa Cruz</t>
  </si>
  <si>
    <t>ULA</t>
  </si>
  <si>
    <t>Ushuaia - Tierra del Fuego</t>
  </si>
  <si>
    <t>USH</t>
  </si>
  <si>
    <t>Curuzú Cuatiá - Corrientes</t>
  </si>
  <si>
    <t>UZU</t>
  </si>
  <si>
    <t>Valcheta - Río Negro</t>
  </si>
  <si>
    <t>VCF</t>
  </si>
  <si>
    <t>Viedma - Río Negro</t>
  </si>
  <si>
    <t>VDM</t>
  </si>
  <si>
    <t>Dolores - Buenos Aires</t>
  </si>
  <si>
    <t>VDR</t>
  </si>
  <si>
    <t>Villa Dolores - Córdoba</t>
  </si>
  <si>
    <t>Villa Gesell - Buenos Aires</t>
  </si>
  <si>
    <t>VLG</t>
  </si>
  <si>
    <t>Villa Reynolds - San Luis</t>
  </si>
  <si>
    <t>VME</t>
  </si>
  <si>
    <t>Villa María - Córdoba</t>
  </si>
  <si>
    <t>VMR</t>
  </si>
  <si>
    <t>Villa Regina - Río Negro</t>
  </si>
  <si>
    <t>VRG</t>
  </si>
  <si>
    <t>Nuevo aeropuerto</t>
  </si>
  <si>
    <t>CODIGO NUEVO</t>
  </si>
  <si>
    <t>Aterrizaje 
Nocturno</t>
  </si>
  <si>
    <t>TV
ADIC 45</t>
  </si>
  <si>
    <t>Horario 
Presentación</t>
  </si>
  <si>
    <t>Último 
Aterrizaje</t>
  </si>
  <si>
    <t>TOTAL 
TV DIURNO</t>
  </si>
  <si>
    <t>TOTAL 
TV NOCTURNO</t>
  </si>
  <si>
    <t>LV-HKN</t>
  </si>
  <si>
    <t>Brasil - Florianopolis</t>
  </si>
  <si>
    <t>Brasil - Rio de Janeiro</t>
  </si>
  <si>
    <t>GIG</t>
  </si>
  <si>
    <t>DISCRIMINACIÓN DE          
 TIEMPOS DE VUELO</t>
  </si>
  <si>
    <t>FLN</t>
  </si>
  <si>
    <t>LV-KAH</t>
  </si>
  <si>
    <t>LV-KAY</t>
  </si>
  <si>
    <t>LV-KCD</t>
  </si>
  <si>
    <t>LV-KCE</t>
  </si>
  <si>
    <t>LV-KDQ</t>
  </si>
  <si>
    <t>LV-KDR</t>
  </si>
  <si>
    <t>LV-KEH</t>
  </si>
  <si>
    <t>LV-KEG</t>
  </si>
  <si>
    <t>LV-KGN</t>
  </si>
  <si>
    <t>LV-KEF</t>
  </si>
  <si>
    <t>LV-KHO</t>
  </si>
  <si>
    <t>avion 1</t>
  </si>
  <si>
    <t>avion 2</t>
  </si>
  <si>
    <t>avion 3</t>
  </si>
  <si>
    <t>avion 4</t>
  </si>
  <si>
    <t>avion 5</t>
  </si>
  <si>
    <t>avion 6</t>
  </si>
  <si>
    <t>avion 7</t>
  </si>
  <si>
    <t>avion 8</t>
  </si>
  <si>
    <t>avion 9</t>
  </si>
  <si>
    <t>avion 10</t>
  </si>
  <si>
    <t>avion 11</t>
  </si>
  <si>
    <t>avion 12</t>
  </si>
  <si>
    <t>avion 13</t>
  </si>
  <si>
    <t>avion 14</t>
  </si>
  <si>
    <t>avion 15</t>
  </si>
  <si>
    <t>avion 16</t>
  </si>
  <si>
    <t>avion 17</t>
  </si>
  <si>
    <t>avion 18</t>
  </si>
  <si>
    <t>avion 19</t>
  </si>
  <si>
    <t>avion 20</t>
  </si>
  <si>
    <t>avion 21</t>
  </si>
  <si>
    <t>avion 22</t>
  </si>
  <si>
    <t>avion 23</t>
  </si>
  <si>
    <t>avion 24</t>
  </si>
  <si>
    <t>avion 25</t>
  </si>
  <si>
    <t>avion 26</t>
  </si>
  <si>
    <t>avion 27</t>
  </si>
  <si>
    <t>avion 28</t>
  </si>
  <si>
    <t>avion 29</t>
  </si>
  <si>
    <t>avion 30</t>
  </si>
  <si>
    <t>avion 31</t>
  </si>
  <si>
    <t>avion 32</t>
  </si>
  <si>
    <t>avion 33</t>
  </si>
  <si>
    <t>avion 34</t>
  </si>
  <si>
    <t>avion 35</t>
  </si>
  <si>
    <t>avion 36</t>
  </si>
  <si>
    <t>avion 37</t>
  </si>
  <si>
    <t>avion 38</t>
  </si>
  <si>
    <t>avion 39</t>
  </si>
  <si>
    <t>avion 40</t>
  </si>
  <si>
    <t>FOLIO N</t>
  </si>
  <si>
    <t>LA</t>
  </si>
  <si>
    <t>B738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</si>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</sst>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"/>
    <numFmt numFmtId="165" formatCode="0.0"/>
    <numFmt numFmtId="166" formatCode="[$-F400]h:mm:ss\ AM/PM"/>
  </numFmts>
  <fonts count="25" x14ac:knownFonts="1">
    <font>
      <sz val="10"/>
      <color rgb="FF000000"/>
      <name val="Arial"/>
    </font>
    <font>
      <b/>
      <sz val="8"/>
      <name val="Times New Roman"/>
      <family val="1"/>
    </font>
    <font>
      <sz val="10"/>
      <name val="Arial"/>
      <family val="2"/>
    </font>
    <font>
      <b/>
      <sz val="8"/>
      <color rgb="FF003366"/>
      <name val="Times New Roman"/>
      <family val="1"/>
    </font>
    <font>
      <sz val="8"/>
      <color rgb="FF333399"/>
      <name val="Times New Roman"/>
      <family val="1"/>
    </font>
    <font>
      <sz val="8"/>
      <name val="Times New Roman"/>
      <family val="1"/>
    </font>
    <font>
      <sz val="10"/>
      <color rgb="FF000000"/>
      <name val="Arial"/>
      <family val="2"/>
    </font>
    <font>
      <sz val="8"/>
      <color rgb="FF333399"/>
      <name val="Times New Roman"/>
      <family val="1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sz val="10"/>
      <color rgb="FF333399"/>
      <name val="Times New Roman"/>
      <family val="1"/>
    </font>
    <font>
      <sz val="10"/>
      <color rgb="FF000090"/>
      <name val="Times New Roman"/>
      <family val="1"/>
    </font>
    <font>
      <u/>
      <sz val="10"/>
      <color rgb="FF000090"/>
      <name val="Times New Roman"/>
      <family val="1"/>
    </font>
    <font>
      <b/>
      <u/>
      <sz val="8"/>
      <name val="Times New Roman"/>
      <family val="1"/>
    </font>
    <font>
      <u/>
      <sz val="10"/>
      <color rgb="FF333399"/>
      <name val="Times New Roman"/>
      <family val="1"/>
    </font>
    <font>
      <b/>
      <sz val="10"/>
      <name val="Arial"/>
      <family val="2"/>
    </font>
    <font>
      <sz val="11"/>
      <color rgb="FF000000"/>
      <name val="Segoe UI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u/>
      <sz val="10"/>
      <color rgb="FF000000"/>
      <name val="Arial"/>
      <family val="2"/>
    </font>
    <font>
      <sz val="11"/>
      <color rgb="FF22222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u/>
      <sz val="8"/>
      <color rgb="FF333399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8F9FA"/>
        <bgColor indexed="64"/>
      </patternFill>
    </fill>
    <fill>
      <gradientFill type="path" left="0.5" right="0.5" top="0.5" bottom="0.5">
        <stop position="0">
          <color rgb="FFFF99FF"/>
        </stop>
        <stop position="1">
          <color rgb="FFFF33CC"/>
        </stop>
      </gradientFill>
    </fill>
    <fill>
      <gradientFill type="path">
        <stop position="0">
          <color rgb="FFFF9BFF"/>
        </stop>
        <stop position="1">
          <color rgb="FFFFCDE6"/>
        </stop>
      </gradientFill>
    </fill>
    <fill>
      <gradientFill type="path">
        <stop position="0">
          <color theme="0"/>
        </stop>
        <stop position="1">
          <color rgb="FFFF4FD1"/>
        </stop>
      </gradientFill>
    </fill>
    <fill>
      <gradientFill degree="45">
        <stop position="0">
          <color rgb="FFCC00CC"/>
        </stop>
        <stop position="1">
          <color rgb="FFFF99FF"/>
        </stop>
      </gradientFill>
    </fill>
    <fill>
      <gradientFill degree="135">
        <stop position="0">
          <color rgb="FFFF99FF"/>
        </stop>
        <stop position="1">
          <color rgb="FFCC00CC"/>
        </stop>
      </gradientFill>
    </fill>
    <fill>
      <gradientFill type="path">
        <stop position="0">
          <color theme="0"/>
        </stop>
        <stop position="1">
          <color rgb="FFF9B9E8"/>
        </stop>
      </gradientFill>
    </fill>
  </fills>
  <borders count="6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31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0" fontId="0" fillId="0" borderId="16" xfId="0" applyNumberFormat="1" applyBorder="1"/>
    <xf numFmtId="20" fontId="0" fillId="0" borderId="17" xfId="0" applyNumberFormat="1" applyBorder="1"/>
    <xf numFmtId="20" fontId="0" fillId="0" borderId="18" xfId="0" applyNumberFormat="1" applyBorder="1"/>
    <xf numFmtId="20" fontId="0" fillId="0" borderId="19" xfId="0" applyNumberFormat="1" applyBorder="1"/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/>
    <xf numFmtId="20" fontId="0" fillId="0" borderId="23" xfId="0" applyNumberFormat="1" applyBorder="1"/>
    <xf numFmtId="20" fontId="0" fillId="0" borderId="24" xfId="0" applyNumberFormat="1" applyBorder="1"/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1" fontId="4" fillId="0" borderId="15" xfId="0" applyNumberFormat="1" applyFont="1" applyBorder="1" applyAlignment="1">
      <alignment horizontal="left" vertical="center"/>
    </xf>
    <xf numFmtId="1" fontId="7" fillId="0" borderId="15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/>
    <xf numFmtId="1" fontId="7" fillId="0" borderId="36" xfId="0" applyNumberFormat="1" applyFont="1" applyBorder="1" applyAlignment="1">
      <alignment horizontal="left" vertical="center"/>
    </xf>
    <xf numFmtId="1" fontId="4" fillId="0" borderId="36" xfId="0" applyNumberFormat="1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9" fillId="0" borderId="38" xfId="2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9" fillId="0" borderId="0" xfId="2" quotePrefix="1" applyNumberFormat="1" applyAlignment="1" applyProtection="1">
      <alignment horizontal="center" vertical="center"/>
    </xf>
    <xf numFmtId="0" fontId="0" fillId="0" borderId="33" xfId="0" applyBorder="1" applyProtection="1">
      <protection locked="0"/>
    </xf>
    <xf numFmtId="0" fontId="6" fillId="0" borderId="35" xfId="0" applyFont="1" applyBorder="1" applyProtection="1">
      <protection locked="0"/>
    </xf>
    <xf numFmtId="0" fontId="0" fillId="0" borderId="18" xfId="0" applyBorder="1" applyProtection="1">
      <protection locked="0"/>
    </xf>
    <xf numFmtId="0" fontId="6" fillId="0" borderId="19" xfId="0" applyFont="1" applyBorder="1" applyProtection="1">
      <protection locked="0"/>
    </xf>
    <xf numFmtId="0" fontId="9" fillId="0" borderId="0" xfId="2" quotePrefix="1" applyNumberFormat="1" applyAlignment="1" applyProtection="1">
      <alignment horizontal="left" vertical="center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8" xfId="0" applyFont="1" applyBorder="1" applyProtection="1">
      <protection locked="0"/>
    </xf>
    <xf numFmtId="0" fontId="13" fillId="0" borderId="0" xfId="0" applyFont="1" applyAlignment="1">
      <alignment horizontal="center" vertical="center"/>
    </xf>
    <xf numFmtId="2" fontId="0" fillId="0" borderId="0" xfId="0" applyNumberFormat="1"/>
    <xf numFmtId="0" fontId="16" fillId="0" borderId="0" xfId="0" applyFont="1"/>
    <xf numFmtId="166" fontId="0" fillId="0" borderId="0" xfId="0" applyNumberFormat="1"/>
    <xf numFmtId="166" fontId="6" fillId="0" borderId="0" xfId="0" applyNumberFormat="1" applyFont="1"/>
    <xf numFmtId="2" fontId="6" fillId="0" borderId="0" xfId="0" applyNumberFormat="1" applyFont="1"/>
    <xf numFmtId="0" fontId="0" fillId="0" borderId="0" xfId="0" applyAlignment="1">
      <alignment horizontal="center" vertical="center"/>
    </xf>
    <xf numFmtId="0" fontId="0" fillId="0" borderId="16" xfId="0" applyBorder="1"/>
    <xf numFmtId="0" fontId="0" fillId="0" borderId="18" xfId="0" applyBorder="1"/>
    <xf numFmtId="0" fontId="0" fillId="0" borderId="24" xfId="0" applyBorder="1"/>
    <xf numFmtId="165" fontId="0" fillId="0" borderId="0" xfId="0" applyNumberFormat="1"/>
    <xf numFmtId="0" fontId="17" fillId="3" borderId="40" xfId="0" applyFont="1" applyFill="1" applyBorder="1" applyAlignment="1">
      <alignment horizontal="center" vertical="center"/>
    </xf>
    <xf numFmtId="0" fontId="17" fillId="3" borderId="41" xfId="0" applyFont="1" applyFill="1" applyBorder="1" applyAlignment="1">
      <alignment horizontal="center" vertical="center"/>
    </xf>
    <xf numFmtId="0" fontId="17" fillId="3" borderId="41" xfId="0" applyFont="1" applyFill="1" applyBorder="1" applyAlignment="1">
      <alignment horizontal="center" vertical="center" wrapText="1"/>
    </xf>
    <xf numFmtId="165" fontId="17" fillId="3" borderId="41" xfId="0" applyNumberFormat="1" applyFont="1" applyFill="1" applyBorder="1" applyAlignment="1">
      <alignment horizontal="center" vertical="center" wrapText="1"/>
    </xf>
    <xf numFmtId="165" fontId="17" fillId="3" borderId="42" xfId="0" applyNumberFormat="1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/>
    </xf>
    <xf numFmtId="0" fontId="0" fillId="0" borderId="0" xfId="0" quotePrefix="1"/>
    <xf numFmtId="20" fontId="0" fillId="0" borderId="0" xfId="0" quotePrefix="1" applyNumberFormat="1"/>
    <xf numFmtId="0" fontId="0" fillId="0" borderId="23" xfId="0" applyBorder="1"/>
    <xf numFmtId="20" fontId="0" fillId="0" borderId="50" xfId="0" applyNumberFormat="1" applyBorder="1"/>
    <xf numFmtId="20" fontId="0" fillId="0" borderId="49" xfId="0" applyNumberForma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20" fontId="0" fillId="0" borderId="52" xfId="0" applyNumberFormat="1" applyBorder="1"/>
    <xf numFmtId="0" fontId="6" fillId="0" borderId="61" xfId="0" applyFont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33" xfId="0" applyBorder="1"/>
    <xf numFmtId="0" fontId="20" fillId="8" borderId="35" xfId="0" applyFont="1" applyFill="1" applyBorder="1" applyAlignment="1">
      <alignment vertical="center" wrapText="1"/>
    </xf>
    <xf numFmtId="0" fontId="20" fillId="8" borderId="17" xfId="0" applyFont="1" applyFill="1" applyBorder="1" applyAlignment="1">
      <alignment vertical="center" wrapText="1"/>
    </xf>
    <xf numFmtId="0" fontId="6" fillId="0" borderId="16" xfId="0" applyFont="1" applyBorder="1"/>
    <xf numFmtId="0" fontId="20" fillId="8" borderId="19" xfId="0" applyFont="1" applyFill="1" applyBorder="1" applyAlignment="1">
      <alignment vertical="center" wrapText="1"/>
    </xf>
    <xf numFmtId="0" fontId="0" fillId="0" borderId="0" xfId="0" applyProtection="1">
      <protection hidden="1"/>
    </xf>
    <xf numFmtId="0" fontId="6" fillId="4" borderId="53" xfId="0" applyFont="1" applyFill="1" applyBorder="1" applyProtection="1">
      <protection hidden="1"/>
    </xf>
    <xf numFmtId="0" fontId="6" fillId="4" borderId="65" xfId="0" applyFont="1" applyFill="1" applyBorder="1" applyProtection="1">
      <protection hidden="1"/>
    </xf>
    <xf numFmtId="0" fontId="6" fillId="4" borderId="53" xfId="0" applyFont="1" applyFill="1" applyBorder="1" applyAlignment="1" applyProtection="1">
      <alignment horizontal="center"/>
      <protection hidden="1"/>
    </xf>
    <xf numFmtId="0" fontId="6" fillId="4" borderId="64" xfId="0" applyFont="1" applyFill="1" applyBorder="1" applyAlignment="1" applyProtection="1">
      <alignment horizontal="center"/>
      <protection hidden="1"/>
    </xf>
    <xf numFmtId="0" fontId="6" fillId="4" borderId="41" xfId="0" applyFont="1" applyFill="1" applyBorder="1" applyAlignment="1" applyProtection="1">
      <alignment horizontal="center" vertical="center" wrapText="1"/>
      <protection hidden="1"/>
    </xf>
    <xf numFmtId="0" fontId="6" fillId="4" borderId="41" xfId="0" applyFont="1" applyFill="1" applyBorder="1" applyAlignment="1" applyProtection="1">
      <alignment horizontal="center" vertical="center"/>
      <protection hidden="1"/>
    </xf>
    <xf numFmtId="0" fontId="6" fillId="4" borderId="63" xfId="0" applyFont="1" applyFill="1" applyBorder="1" applyAlignment="1" applyProtection="1">
      <alignment horizontal="center" vertical="center" wrapText="1"/>
      <protection hidden="1"/>
    </xf>
    <xf numFmtId="0" fontId="6" fillId="4" borderId="29" xfId="0" applyFont="1" applyFill="1" applyBorder="1" applyAlignment="1" applyProtection="1">
      <alignment horizontal="center" vertical="center" wrapText="1"/>
      <protection hidden="1"/>
    </xf>
    <xf numFmtId="0" fontId="6" fillId="7" borderId="41" xfId="0" applyFont="1" applyFill="1" applyBorder="1" applyAlignment="1" applyProtection="1">
      <alignment horizontal="center" vertical="center" wrapText="1"/>
      <protection hidden="1"/>
    </xf>
    <xf numFmtId="0" fontId="6" fillId="7" borderId="56" xfId="0" applyFont="1" applyFill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41" xfId="0" applyFont="1" applyBorder="1" applyAlignment="1" applyProtection="1">
      <alignment horizontal="center" vertical="center" wrapText="1"/>
      <protection hidden="1"/>
    </xf>
    <xf numFmtId="0" fontId="6" fillId="0" borderId="42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6" fillId="0" borderId="28" xfId="0" applyFont="1" applyBorder="1" applyProtection="1">
      <protection hidden="1"/>
    </xf>
    <xf numFmtId="0" fontId="6" fillId="0" borderId="29" xfId="0" applyFont="1" applyBorder="1" applyProtection="1">
      <protection hidden="1"/>
    </xf>
    <xf numFmtId="0" fontId="6" fillId="0" borderId="28" xfId="0" applyFont="1" applyBorder="1" applyAlignment="1" applyProtection="1">
      <alignment horizontal="center"/>
      <protection hidden="1"/>
    </xf>
    <xf numFmtId="0" fontId="6" fillId="0" borderId="30" xfId="0" applyFont="1" applyBorder="1" applyAlignment="1" applyProtection="1">
      <alignment horizontal="center"/>
      <protection hidden="1"/>
    </xf>
    <xf numFmtId="0" fontId="6" fillId="0" borderId="29" xfId="0" applyFont="1" applyBorder="1" applyAlignment="1" applyProtection="1">
      <alignment horizontal="center"/>
      <protection hidden="1"/>
    </xf>
    <xf numFmtId="0" fontId="6" fillId="0" borderId="61" xfId="0" applyFont="1" applyBorder="1" applyAlignment="1" applyProtection="1">
      <alignment horizontal="center"/>
      <protection hidden="1"/>
    </xf>
    <xf numFmtId="0" fontId="0" fillId="4" borderId="49" xfId="0" applyFill="1" applyBorder="1" applyProtection="1">
      <protection hidden="1"/>
    </xf>
    <xf numFmtId="166" fontId="0" fillId="3" borderId="49" xfId="0" applyNumberFormat="1" applyFill="1" applyBorder="1" applyProtection="1">
      <protection hidden="1"/>
    </xf>
    <xf numFmtId="166" fontId="0" fillId="4" borderId="49" xfId="0" applyNumberFormat="1" applyFill="1" applyBorder="1" applyProtection="1">
      <protection hidden="1"/>
    </xf>
    <xf numFmtId="166" fontId="0" fillId="7" borderId="52" xfId="0" applyNumberFormat="1" applyFill="1" applyBorder="1" applyProtection="1">
      <protection hidden="1"/>
    </xf>
    <xf numFmtId="166" fontId="0" fillId="7" borderId="49" xfId="0" applyNumberFormat="1" applyFill="1" applyBorder="1" applyProtection="1">
      <protection hidden="1"/>
    </xf>
    <xf numFmtId="0" fontId="0" fillId="7" borderId="50" xfId="0" applyFill="1" applyBorder="1" applyProtection="1">
      <protection hidden="1"/>
    </xf>
    <xf numFmtId="0" fontId="0" fillId="0" borderId="50" xfId="0" applyBorder="1" applyProtection="1">
      <protection hidden="1"/>
    </xf>
    <xf numFmtId="0" fontId="0" fillId="0" borderId="49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3" xfId="0" applyBorder="1" applyProtection="1">
      <protection hidden="1"/>
    </xf>
    <xf numFmtId="20" fontId="0" fillId="0" borderId="50" xfId="0" applyNumberFormat="1" applyBorder="1" applyProtection="1">
      <protection hidden="1"/>
    </xf>
    <xf numFmtId="20" fontId="0" fillId="0" borderId="49" xfId="0" applyNumberFormat="1" applyBorder="1" applyProtection="1">
      <protection hidden="1"/>
    </xf>
    <xf numFmtId="20" fontId="0" fillId="0" borderId="52" xfId="0" applyNumberFormat="1" applyBorder="1" applyProtection="1">
      <protection hidden="1"/>
    </xf>
    <xf numFmtId="0" fontId="0" fillId="0" borderId="20" xfId="0" applyBorder="1" applyProtection="1">
      <protection hidden="1"/>
    </xf>
    <xf numFmtId="0" fontId="0" fillId="4" borderId="46" xfId="0" applyFill="1" applyBorder="1" applyProtection="1">
      <protection hidden="1"/>
    </xf>
    <xf numFmtId="166" fontId="0" fillId="3" borderId="46" xfId="0" applyNumberFormat="1" applyFill="1" applyBorder="1" applyProtection="1">
      <protection hidden="1"/>
    </xf>
    <xf numFmtId="166" fontId="0" fillId="4" borderId="46" xfId="0" applyNumberFormat="1" applyFill="1" applyBorder="1" applyProtection="1">
      <protection hidden="1"/>
    </xf>
    <xf numFmtId="166" fontId="0" fillId="7" borderId="47" xfId="0" applyNumberFormat="1" applyFill="1" applyBorder="1" applyProtection="1">
      <protection hidden="1"/>
    </xf>
    <xf numFmtId="166" fontId="0" fillId="7" borderId="46" xfId="0" applyNumberFormat="1" applyFill="1" applyBorder="1" applyProtection="1">
      <protection hidden="1"/>
    </xf>
    <xf numFmtId="166" fontId="0" fillId="4" borderId="47" xfId="0" applyNumberFormat="1" applyFill="1" applyBorder="1" applyProtection="1">
      <protection hidden="1"/>
    </xf>
    <xf numFmtId="0" fontId="0" fillId="0" borderId="51" xfId="0" applyBorder="1" applyProtection="1">
      <protection hidden="1"/>
    </xf>
    <xf numFmtId="0" fontId="0" fillId="0" borderId="46" xfId="0" applyBorder="1" applyProtection="1">
      <protection hidden="1"/>
    </xf>
    <xf numFmtId="0" fontId="0" fillId="0" borderId="17" xfId="0" applyBorder="1" applyProtection="1">
      <protection hidden="1"/>
    </xf>
    <xf numFmtId="0" fontId="0" fillId="0" borderId="58" xfId="0" applyBorder="1" applyProtection="1">
      <protection hidden="1"/>
    </xf>
    <xf numFmtId="0" fontId="0" fillId="0" borderId="48" xfId="0" applyBorder="1" applyProtection="1">
      <protection hidden="1"/>
    </xf>
    <xf numFmtId="0" fontId="0" fillId="0" borderId="19" xfId="0" applyBorder="1" applyProtection="1">
      <protection hidden="1"/>
    </xf>
    <xf numFmtId="0" fontId="20" fillId="8" borderId="17" xfId="0" applyFont="1" applyFill="1" applyBorder="1" applyAlignment="1" applyProtection="1">
      <alignment vertical="center" wrapText="1"/>
      <protection locked="0"/>
    </xf>
    <xf numFmtId="165" fontId="0" fillId="5" borderId="46" xfId="0" applyNumberFormat="1" applyFill="1" applyBorder="1" applyProtection="1">
      <protection hidden="1"/>
    </xf>
    <xf numFmtId="165" fontId="0" fillId="5" borderId="17" xfId="0" applyNumberFormat="1" applyFill="1" applyBorder="1" applyProtection="1">
      <protection hidden="1"/>
    </xf>
    <xf numFmtId="165" fontId="0" fillId="5" borderId="48" xfId="0" applyNumberFormat="1" applyFill="1" applyBorder="1" applyProtection="1">
      <protection hidden="1"/>
    </xf>
    <xf numFmtId="165" fontId="0" fillId="5" borderId="19" xfId="0" applyNumberFormat="1" applyFill="1" applyBorder="1" applyProtection="1">
      <protection hidden="1"/>
    </xf>
    <xf numFmtId="20" fontId="0" fillId="10" borderId="49" xfId="0" applyNumberFormat="1" applyFill="1" applyBorder="1" applyProtection="1">
      <protection locked="0" hidden="1"/>
    </xf>
    <xf numFmtId="0" fontId="21" fillId="9" borderId="40" xfId="0" applyFont="1" applyFill="1" applyBorder="1" applyAlignment="1">
      <alignment horizontal="center" vertical="center"/>
    </xf>
    <xf numFmtId="0" fontId="21" fillId="9" borderId="56" xfId="0" applyFont="1" applyFill="1" applyBorder="1" applyAlignment="1">
      <alignment horizontal="center" vertical="center" wrapText="1"/>
    </xf>
    <xf numFmtId="0" fontId="21" fillId="9" borderId="41" xfId="0" applyFont="1" applyFill="1" applyBorder="1" applyAlignment="1">
      <alignment horizontal="center" vertical="center" wrapText="1"/>
    </xf>
    <xf numFmtId="165" fontId="0" fillId="5" borderId="34" xfId="0" applyNumberFormat="1" applyFill="1" applyBorder="1" applyProtection="1">
      <protection hidden="1"/>
    </xf>
    <xf numFmtId="165" fontId="0" fillId="5" borderId="35" xfId="0" applyNumberFormat="1" applyFill="1" applyBorder="1" applyProtection="1">
      <protection hidden="1"/>
    </xf>
    <xf numFmtId="0" fontId="0" fillId="14" borderId="33" xfId="0" applyFill="1" applyBorder="1" applyAlignment="1" applyProtection="1">
      <alignment horizontal="right"/>
      <protection hidden="1"/>
    </xf>
    <xf numFmtId="0" fontId="0" fillId="14" borderId="34" xfId="0" applyFill="1" applyBorder="1" applyProtection="1">
      <protection hidden="1"/>
    </xf>
    <xf numFmtId="165" fontId="0" fillId="14" borderId="34" xfId="0" applyNumberFormat="1" applyFill="1" applyBorder="1" applyProtection="1">
      <protection hidden="1"/>
    </xf>
    <xf numFmtId="165" fontId="0" fillId="14" borderId="35" xfId="0" applyNumberFormat="1" applyFill="1" applyBorder="1" applyProtection="1">
      <protection hidden="1"/>
    </xf>
    <xf numFmtId="0" fontId="0" fillId="14" borderId="23" xfId="0" applyFill="1" applyBorder="1" applyAlignment="1" applyProtection="1">
      <alignment horizontal="right"/>
      <protection hidden="1"/>
    </xf>
    <xf numFmtId="0" fontId="0" fillId="14" borderId="49" xfId="0" applyFill="1" applyBorder="1" applyProtection="1">
      <protection hidden="1"/>
    </xf>
    <xf numFmtId="165" fontId="0" fillId="14" borderId="46" xfId="0" applyNumberFormat="1" applyFill="1" applyBorder="1" applyProtection="1">
      <protection hidden="1"/>
    </xf>
    <xf numFmtId="165" fontId="0" fillId="14" borderId="17" xfId="0" applyNumberFormat="1" applyFill="1" applyBorder="1" applyProtection="1">
      <protection hidden="1"/>
    </xf>
    <xf numFmtId="0" fontId="0" fillId="14" borderId="37" xfId="0" applyFill="1" applyBorder="1" applyAlignment="1" applyProtection="1">
      <alignment horizontal="right"/>
      <protection hidden="1"/>
    </xf>
    <xf numFmtId="0" fontId="0" fillId="14" borderId="38" xfId="0" applyFill="1" applyBorder="1" applyProtection="1">
      <protection hidden="1"/>
    </xf>
    <xf numFmtId="165" fontId="0" fillId="14" borderId="48" xfId="0" applyNumberFormat="1" applyFill="1" applyBorder="1" applyProtection="1">
      <protection hidden="1"/>
    </xf>
    <xf numFmtId="165" fontId="0" fillId="14" borderId="19" xfId="0" applyNumberFormat="1" applyFill="1" applyBorder="1" applyProtection="1">
      <protection hidden="1"/>
    </xf>
    <xf numFmtId="0" fontId="22" fillId="13" borderId="40" xfId="0" applyFont="1" applyFill="1" applyBorder="1" applyAlignment="1">
      <alignment horizontal="center" vertical="center"/>
    </xf>
    <xf numFmtId="0" fontId="22" fillId="13" borderId="41" xfId="0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hidden="1"/>
    </xf>
    <xf numFmtId="14" fontId="0" fillId="0" borderId="0" xfId="0" applyNumberFormat="1" applyProtection="1">
      <protection hidden="1"/>
    </xf>
    <xf numFmtId="14" fontId="0" fillId="6" borderId="23" xfId="0" applyNumberFormat="1" applyFill="1" applyBorder="1" applyProtection="1">
      <protection hidden="1"/>
    </xf>
    <xf numFmtId="0" fontId="0" fillId="6" borderId="49" xfId="0" applyFill="1" applyBorder="1" applyAlignment="1" applyProtection="1">
      <alignment horizontal="center"/>
      <protection hidden="1"/>
    </xf>
    <xf numFmtId="166" fontId="0" fillId="6" borderId="49" xfId="0" applyNumberFormat="1" applyFill="1" applyBorder="1" applyProtection="1">
      <protection hidden="1"/>
    </xf>
    <xf numFmtId="165" fontId="0" fillId="6" borderId="49" xfId="0" applyNumberFormat="1" applyFill="1" applyBorder="1" applyProtection="1">
      <protection hidden="1"/>
    </xf>
    <xf numFmtId="165" fontId="0" fillId="6" borderId="24" xfId="0" applyNumberFormat="1" applyFill="1" applyBorder="1" applyProtection="1">
      <protection hidden="1"/>
    </xf>
    <xf numFmtId="14" fontId="0" fillId="6" borderId="16" xfId="0" applyNumberFormat="1" applyFill="1" applyBorder="1" applyProtection="1">
      <protection hidden="1"/>
    </xf>
    <xf numFmtId="0" fontId="0" fillId="6" borderId="46" xfId="0" applyFill="1" applyBorder="1" applyAlignment="1" applyProtection="1">
      <alignment horizontal="center"/>
      <protection hidden="1"/>
    </xf>
    <xf numFmtId="166" fontId="0" fillId="6" borderId="46" xfId="0" applyNumberFormat="1" applyFill="1" applyBorder="1" applyProtection="1">
      <protection hidden="1"/>
    </xf>
    <xf numFmtId="165" fontId="0" fillId="6" borderId="46" xfId="0" applyNumberFormat="1" applyFill="1" applyBorder="1" applyProtection="1">
      <protection hidden="1"/>
    </xf>
    <xf numFmtId="165" fontId="0" fillId="6" borderId="17" xfId="0" applyNumberFormat="1" applyFill="1" applyBorder="1" applyProtection="1">
      <protection hidden="1"/>
    </xf>
    <xf numFmtId="14" fontId="0" fillId="6" borderId="18" xfId="0" applyNumberFormat="1" applyFill="1" applyBorder="1" applyProtection="1">
      <protection hidden="1"/>
    </xf>
    <xf numFmtId="0" fontId="0" fillId="6" borderId="48" xfId="0" applyFill="1" applyBorder="1" applyAlignment="1" applyProtection="1">
      <alignment horizontal="center"/>
      <protection hidden="1"/>
    </xf>
    <xf numFmtId="166" fontId="0" fillId="6" borderId="48" xfId="0" applyNumberFormat="1" applyFill="1" applyBorder="1" applyProtection="1">
      <protection hidden="1"/>
    </xf>
    <xf numFmtId="165" fontId="0" fillId="6" borderId="48" xfId="0" applyNumberFormat="1" applyFill="1" applyBorder="1" applyProtection="1">
      <protection hidden="1"/>
    </xf>
    <xf numFmtId="165" fontId="0" fillId="6" borderId="19" xfId="0" applyNumberFormat="1" applyFill="1" applyBorder="1" applyProtection="1">
      <protection hidden="1"/>
    </xf>
    <xf numFmtId="14" fontId="0" fillId="5" borderId="33" xfId="0" applyNumberFormat="1" applyFill="1" applyBorder="1" applyProtection="1">
      <protection hidden="1"/>
    </xf>
    <xf numFmtId="0" fontId="0" fillId="5" borderId="34" xfId="0" applyFill="1" applyBorder="1" applyAlignment="1" applyProtection="1">
      <alignment horizontal="center"/>
      <protection hidden="1"/>
    </xf>
    <xf numFmtId="166" fontId="6" fillId="5" borderId="34" xfId="0" applyNumberFormat="1" applyFont="1" applyFill="1" applyBorder="1" applyProtection="1">
      <protection hidden="1"/>
    </xf>
    <xf numFmtId="14" fontId="0" fillId="5" borderId="16" xfId="0" applyNumberFormat="1" applyFill="1" applyBorder="1" applyProtection="1">
      <protection hidden="1"/>
    </xf>
    <xf numFmtId="0" fontId="0" fillId="5" borderId="46" xfId="0" applyFill="1" applyBorder="1" applyAlignment="1" applyProtection="1">
      <alignment horizontal="center"/>
      <protection hidden="1"/>
    </xf>
    <xf numFmtId="166" fontId="0" fillId="5" borderId="46" xfId="0" applyNumberFormat="1" applyFill="1" applyBorder="1" applyProtection="1">
      <protection hidden="1"/>
    </xf>
    <xf numFmtId="14" fontId="0" fillId="5" borderId="18" xfId="0" applyNumberFormat="1" applyFill="1" applyBorder="1" applyProtection="1">
      <protection hidden="1"/>
    </xf>
    <xf numFmtId="0" fontId="0" fillId="5" borderId="48" xfId="0" applyFill="1" applyBorder="1" applyAlignment="1" applyProtection="1">
      <alignment horizontal="center"/>
      <protection hidden="1"/>
    </xf>
    <xf numFmtId="166" fontId="0" fillId="5" borderId="48" xfId="0" applyNumberFormat="1" applyFill="1" applyBorder="1" applyProtection="1">
      <protection hidden="1"/>
    </xf>
    <xf numFmtId="14" fontId="0" fillId="6" borderId="54" xfId="0" applyNumberFormat="1" applyFill="1" applyBorder="1" applyProtection="1">
      <protection hidden="1"/>
    </xf>
    <xf numFmtId="0" fontId="0" fillId="6" borderId="53" xfId="0" applyFill="1" applyBorder="1" applyAlignment="1" applyProtection="1">
      <alignment horizontal="center"/>
      <protection hidden="1"/>
    </xf>
    <xf numFmtId="166" fontId="0" fillId="6" borderId="53" xfId="0" applyNumberFormat="1" applyFill="1" applyBorder="1" applyProtection="1">
      <protection hidden="1"/>
    </xf>
    <xf numFmtId="165" fontId="0" fillId="6" borderId="53" xfId="0" applyNumberFormat="1" applyFill="1" applyBorder="1" applyProtection="1">
      <protection hidden="1"/>
    </xf>
    <xf numFmtId="165" fontId="0" fillId="6" borderId="55" xfId="0" applyNumberFormat="1" applyFill="1" applyBorder="1" applyProtection="1">
      <protection hidden="1"/>
    </xf>
    <xf numFmtId="0" fontId="11" fillId="0" borderId="43" xfId="0" applyFont="1" applyBorder="1" applyAlignment="1" applyProtection="1">
      <alignment horizontal="center" vertical="center"/>
      <protection locked="0" hidden="1"/>
    </xf>
    <xf numFmtId="0" fontId="10" fillId="0" borderId="11" xfId="0" applyFont="1" applyBorder="1" applyAlignment="1" applyProtection="1">
      <alignment horizontal="center" vertical="center"/>
      <protection locked="0" hidden="1"/>
    </xf>
    <xf numFmtId="0" fontId="10" fillId="0" borderId="14" xfId="0" applyFont="1" applyBorder="1" applyAlignment="1" applyProtection="1">
      <alignment horizontal="center" vertical="center"/>
      <protection locked="0" hidden="1"/>
    </xf>
    <xf numFmtId="0" fontId="6" fillId="0" borderId="25" xfId="0" applyFont="1" applyBorder="1" applyAlignment="1" applyProtection="1">
      <alignment horizontal="center"/>
      <protection hidden="1"/>
    </xf>
    <xf numFmtId="0" fontId="6" fillId="0" borderId="27" xfId="0" applyFont="1" applyBorder="1" applyAlignment="1" applyProtection="1">
      <alignment horizontal="center"/>
      <protection hidden="1"/>
    </xf>
    <xf numFmtId="0" fontId="6" fillId="0" borderId="26" xfId="0" applyFont="1" applyBorder="1" applyAlignment="1" applyProtection="1">
      <alignment horizontal="center"/>
      <protection hidden="1"/>
    </xf>
    <xf numFmtId="164" fontId="10" fillId="0" borderId="43" xfId="1" applyNumberFormat="1" applyFont="1" applyBorder="1" applyAlignment="1" applyProtection="1">
      <alignment horizontal="center" vertical="center"/>
      <protection locked="0" hidden="1"/>
    </xf>
    <xf numFmtId="164" fontId="14" fillId="0" borderId="43" xfId="1" applyNumberFormat="1" applyFont="1" applyBorder="1" applyAlignment="1" applyProtection="1">
      <alignment horizontal="center" vertical="center"/>
      <protection locked="0" hidden="1"/>
    </xf>
    <xf numFmtId="20" fontId="10" fillId="0" borderId="43" xfId="1" applyNumberFormat="1" applyFont="1" applyBorder="1" applyAlignment="1" applyProtection="1">
      <alignment horizontal="center" vertical="center"/>
      <protection locked="0" hidden="1"/>
    </xf>
    <xf numFmtId="0" fontId="10" fillId="0" borderId="28" xfId="1" applyFont="1" applyBorder="1" applyAlignment="1" applyProtection="1">
      <alignment vertical="center"/>
      <protection locked="0" hidden="1"/>
    </xf>
    <xf numFmtId="0" fontId="10" fillId="0" borderId="30" xfId="1" applyFont="1" applyBorder="1" applyAlignment="1" applyProtection="1">
      <alignment vertical="center"/>
      <protection locked="0" hidden="1"/>
    </xf>
    <xf numFmtId="0" fontId="10" fillId="0" borderId="43" xfId="1" applyFont="1" applyBorder="1" applyAlignment="1" applyProtection="1">
      <alignment horizontal="center" vertical="center"/>
      <protection locked="0" hidden="1"/>
    </xf>
    <xf numFmtId="49" fontId="10" fillId="0" borderId="43" xfId="1" applyNumberFormat="1" applyFont="1" applyBorder="1" applyAlignment="1" applyProtection="1">
      <alignment horizontal="center" vertical="center"/>
      <protection locked="0" hidden="1"/>
    </xf>
    <xf numFmtId="165" fontId="10" fillId="2" borderId="43" xfId="0" applyNumberFormat="1" applyFont="1" applyFill="1" applyBorder="1" applyAlignment="1" applyProtection="1">
      <alignment horizontal="center" vertical="center" wrapText="1"/>
      <protection locked="0" hidden="1"/>
    </xf>
    <xf numFmtId="165" fontId="10" fillId="2" borderId="43" xfId="0" applyNumberFormat="1" applyFont="1" applyFill="1" applyBorder="1" applyAlignment="1" applyProtection="1">
      <alignment horizontal="center" vertical="center"/>
      <protection locked="0" hidden="1"/>
    </xf>
    <xf numFmtId="165" fontId="11" fillId="0" borderId="43" xfId="0" applyNumberFormat="1" applyFont="1" applyBorder="1" applyAlignment="1" applyProtection="1">
      <alignment horizontal="center" vertical="center"/>
      <protection locked="0" hidden="1"/>
    </xf>
    <xf numFmtId="49" fontId="11" fillId="0" borderId="43" xfId="0" applyNumberFormat="1" applyFont="1" applyBorder="1" applyAlignment="1" applyProtection="1">
      <alignment horizontal="center" vertical="center"/>
      <protection locked="0" hidden="1"/>
    </xf>
    <xf numFmtId="164" fontId="11" fillId="0" borderId="43" xfId="0" applyNumberFormat="1" applyFont="1" applyBorder="1" applyAlignment="1" applyProtection="1">
      <alignment horizontal="center" vertical="center"/>
      <protection locked="0" hidden="1"/>
    </xf>
    <xf numFmtId="0" fontId="12" fillId="0" borderId="43" xfId="0" applyFont="1" applyBorder="1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Protection="1">
      <protection locked="0" hidden="1"/>
    </xf>
    <xf numFmtId="0" fontId="0" fillId="0" borderId="16" xfId="0" applyBorder="1" applyProtection="1">
      <protection locked="0" hidden="1"/>
    </xf>
    <xf numFmtId="0" fontId="0" fillId="0" borderId="17" xfId="0" applyBorder="1" applyProtection="1">
      <protection locked="0" hidden="1"/>
    </xf>
    <xf numFmtId="20" fontId="0" fillId="0" borderId="57" xfId="0" applyNumberFormat="1" applyBorder="1" applyProtection="1">
      <protection locked="0" hidden="1"/>
    </xf>
    <xf numFmtId="20" fontId="0" fillId="0" borderId="34" xfId="0" applyNumberFormat="1" applyBorder="1" applyProtection="1">
      <protection locked="0" hidden="1"/>
    </xf>
    <xf numFmtId="20" fontId="0" fillId="0" borderId="35" xfId="0" applyNumberFormat="1" applyBorder="1" applyProtection="1">
      <protection locked="0" hidden="1"/>
    </xf>
    <xf numFmtId="0" fontId="0" fillId="0" borderId="18" xfId="0" applyBorder="1" applyProtection="1">
      <protection locked="0" hidden="1"/>
    </xf>
    <xf numFmtId="0" fontId="0" fillId="0" borderId="19" xfId="0" applyBorder="1" applyProtection="1">
      <protection locked="0" hidden="1"/>
    </xf>
    <xf numFmtId="0" fontId="0" fillId="0" borderId="23" xfId="0" applyBorder="1" applyProtection="1">
      <protection locked="0" hidden="1"/>
    </xf>
    <xf numFmtId="0" fontId="0" fillId="0" borderId="24" xfId="0" applyBorder="1" applyProtection="1">
      <protection locked="0" hidden="1"/>
    </xf>
    <xf numFmtId="20" fontId="0" fillId="0" borderId="50" xfId="0" applyNumberFormat="1" applyBorder="1" applyProtection="1">
      <protection locked="0" hidden="1"/>
    </xf>
    <xf numFmtId="20" fontId="0" fillId="0" borderId="49" xfId="0" applyNumberFormat="1" applyBorder="1" applyProtection="1">
      <protection locked="0" hidden="1"/>
    </xf>
    <xf numFmtId="20" fontId="0" fillId="0" borderId="52" xfId="0" applyNumberFormat="1" applyBorder="1" applyProtection="1">
      <protection locked="0" hidden="1"/>
    </xf>
    <xf numFmtId="0" fontId="0" fillId="0" borderId="20" xfId="0" applyBorder="1" applyProtection="1">
      <protection locked="0" hidden="1"/>
    </xf>
    <xf numFmtId="0" fontId="14" fillId="0" borderId="28" xfId="1" applyFont="1" applyBorder="1" applyAlignment="1" applyProtection="1">
      <alignment vertical="center"/>
      <protection locked="0" hidden="1"/>
    </xf>
    <xf numFmtId="0" fontId="14" fillId="0" borderId="30" xfId="1" applyFont="1" applyBorder="1" applyAlignment="1" applyProtection="1">
      <alignment vertical="center"/>
      <protection locked="0" hidden="1"/>
    </xf>
    <xf numFmtId="20" fontId="0" fillId="10" borderId="49" xfId="0" applyNumberFormat="1" applyFill="1" applyBorder="1" applyProtection="1">
      <protection hidden="1"/>
    </xf>
    <xf numFmtId="165" fontId="0" fillId="10" borderId="49" xfId="0" applyNumberFormat="1" applyFill="1" applyBorder="1" applyProtection="1">
      <protection hidden="1"/>
    </xf>
    <xf numFmtId="165" fontId="6" fillId="10" borderId="49" xfId="0" applyNumberFormat="1" applyFont="1" applyFill="1" applyBorder="1" applyProtection="1">
      <protection hidden="1"/>
    </xf>
    <xf numFmtId="14" fontId="0" fillId="10" borderId="50" xfId="0" applyNumberFormat="1" applyFill="1" applyBorder="1" applyAlignment="1" applyProtection="1">
      <alignment horizontal="right"/>
      <protection hidden="1"/>
    </xf>
    <xf numFmtId="14" fontId="0" fillId="10" borderId="51" xfId="0" applyNumberFormat="1" applyFill="1" applyBorder="1" applyProtection="1">
      <protection hidden="1"/>
    </xf>
    <xf numFmtId="14" fontId="19" fillId="10" borderId="51" xfId="0" applyNumberFormat="1" applyFont="1" applyFill="1" applyBorder="1" applyProtection="1">
      <protection hidden="1"/>
    </xf>
    <xf numFmtId="165" fontId="10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5" fontId="10" fillId="0" borderId="2" xfId="0" applyNumberFormat="1" applyFont="1" applyBorder="1" applyAlignment="1" applyProtection="1">
      <alignment horizontal="center" vertical="center"/>
      <protection locked="0"/>
    </xf>
    <xf numFmtId="165" fontId="6" fillId="14" borderId="34" xfId="0" applyNumberFormat="1" applyFont="1" applyFill="1" applyBorder="1" applyProtection="1">
      <protection locked="0" hidden="1"/>
    </xf>
    <xf numFmtId="165" fontId="6" fillId="14" borderId="46" xfId="0" applyNumberFormat="1" applyFont="1" applyFill="1" applyBorder="1" applyProtection="1">
      <protection locked="0" hidden="1"/>
    </xf>
    <xf numFmtId="165" fontId="6" fillId="14" borderId="48" xfId="0" applyNumberFormat="1" applyFont="1" applyFill="1" applyBorder="1" applyProtection="1">
      <protection locked="0" hidden="1"/>
    </xf>
    <xf numFmtId="0" fontId="24" fillId="0" borderId="2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33" xfId="0" applyFont="1" applyBorder="1" applyProtection="1">
      <protection locked="0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 applyProtection="1">
      <alignment horizontal="center" vertical="center"/>
      <protection locked="0" hidden="1"/>
    </xf>
    <xf numFmtId="0" fontId="2" fillId="0" borderId="13" xfId="0" applyFont="1" applyBorder="1" applyProtection="1">
      <protection locked="0" hidden="1"/>
    </xf>
    <xf numFmtId="165" fontId="10" fillId="0" borderId="9" xfId="0" applyNumberFormat="1" applyFont="1" applyBorder="1" applyAlignment="1" applyProtection="1">
      <alignment horizontal="center" vertical="center"/>
      <protection locked="0" hidden="1"/>
    </xf>
    <xf numFmtId="0" fontId="2" fillId="0" borderId="12" xfId="0" applyFont="1" applyBorder="1" applyProtection="1">
      <protection locked="0" hidden="1"/>
    </xf>
    <xf numFmtId="0" fontId="0" fillId="0" borderId="59" xfId="0" applyBorder="1" applyAlignment="1" applyProtection="1">
      <alignment horizontal="center"/>
      <protection hidden="1"/>
    </xf>
    <xf numFmtId="0" fontId="0" fillId="0" borderId="60" xfId="0" applyBorder="1" applyAlignment="1" applyProtection="1">
      <alignment horizontal="center"/>
      <protection hidden="1"/>
    </xf>
    <xf numFmtId="0" fontId="1" fillId="0" borderId="7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4" xfId="0" applyFont="1" applyBorder="1"/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 applyProtection="1">
      <alignment horizontal="left" vertical="center"/>
      <protection locked="0" hidden="1"/>
    </xf>
    <xf numFmtId="0" fontId="0" fillId="0" borderId="0" xfId="0" applyProtection="1">
      <protection locked="0" hidden="1"/>
    </xf>
    <xf numFmtId="0" fontId="2" fillId="0" borderId="1" xfId="0" applyFont="1" applyBorder="1" applyProtection="1">
      <protection locked="0" hidden="1"/>
    </xf>
    <xf numFmtId="165" fontId="10" fillId="0" borderId="11" xfId="0" applyNumberFormat="1" applyFont="1" applyBorder="1" applyAlignment="1" applyProtection="1">
      <alignment horizontal="center" vertical="center"/>
      <protection locked="0" hidden="1"/>
    </xf>
    <xf numFmtId="0" fontId="2" fillId="0" borderId="14" xfId="0" applyFont="1" applyBorder="1" applyProtection="1">
      <protection locked="0" hidden="1"/>
    </xf>
    <xf numFmtId="0" fontId="10" fillId="0" borderId="0" xfId="0" applyFont="1" applyAlignment="1" applyProtection="1">
      <alignment horizontal="center" vertical="center"/>
      <protection locked="0" hidden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13" xfId="0" applyFont="1" applyBorder="1"/>
    <xf numFmtId="0" fontId="1" fillId="0" borderId="7" xfId="0" applyFont="1" applyBorder="1" applyAlignment="1">
      <alignment horizontal="center" vertical="center" textRotation="90" wrapText="1"/>
    </xf>
    <xf numFmtId="0" fontId="2" fillId="0" borderId="12" xfId="0" applyFont="1" applyBorder="1"/>
    <xf numFmtId="0" fontId="1" fillId="0" borderId="0" xfId="0" applyFont="1" applyAlignment="1">
      <alignment horizontal="left" vertical="center"/>
    </xf>
    <xf numFmtId="0" fontId="9" fillId="0" borderId="1" xfId="2" applyBorder="1" applyAlignment="1">
      <alignment horizontal="left" vertical="center"/>
    </xf>
    <xf numFmtId="0" fontId="9" fillId="0" borderId="1" xfId="2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23" fillId="12" borderId="28" xfId="0" applyFont="1" applyFill="1" applyBorder="1" applyAlignment="1">
      <alignment horizontal="center" vertical="center" wrapText="1"/>
    </xf>
    <xf numFmtId="0" fontId="23" fillId="12" borderId="29" xfId="0" applyFont="1" applyFill="1" applyBorder="1" applyAlignment="1">
      <alignment horizontal="center" vertical="center" wrapText="1"/>
    </xf>
    <xf numFmtId="0" fontId="23" fillId="12" borderId="30" xfId="0" applyFont="1" applyFill="1" applyBorder="1" applyAlignment="1">
      <alignment horizontal="center" vertical="center" wrapText="1"/>
    </xf>
    <xf numFmtId="0" fontId="6" fillId="0" borderId="66" xfId="0" applyFont="1" applyBorder="1" applyAlignment="1" applyProtection="1">
      <alignment horizontal="center"/>
      <protection hidden="1"/>
    </xf>
    <xf numFmtId="0" fontId="6" fillId="0" borderId="67" xfId="0" applyFont="1" applyBorder="1" applyAlignment="1" applyProtection="1">
      <alignment horizontal="center"/>
      <protection hidden="1"/>
    </xf>
    <xf numFmtId="0" fontId="6" fillId="0" borderId="45" xfId="0" applyFont="1" applyBorder="1" applyAlignment="1" applyProtection="1">
      <alignment horizontal="center"/>
      <protection hidden="1"/>
    </xf>
    <xf numFmtId="0" fontId="23" fillId="11" borderId="63" xfId="0" applyFont="1" applyFill="1" applyBorder="1" applyAlignment="1">
      <alignment horizontal="center" vertical="center" wrapText="1"/>
    </xf>
    <xf numFmtId="0" fontId="23" fillId="11" borderId="29" xfId="0" applyFont="1" applyFill="1" applyBorder="1" applyAlignment="1">
      <alignment horizontal="center" vertical="center" wrapText="1"/>
    </xf>
    <xf numFmtId="0" fontId="23" fillId="11" borderId="56" xfId="0" applyFont="1" applyFill="1" applyBorder="1" applyAlignment="1">
      <alignment horizontal="center" vertical="center" wrapText="1"/>
    </xf>
    <xf numFmtId="0" fontId="6" fillId="4" borderId="59" xfId="0" applyFont="1" applyFill="1" applyBorder="1" applyAlignment="1" applyProtection="1">
      <alignment horizontal="center"/>
      <protection hidden="1"/>
    </xf>
    <xf numFmtId="0" fontId="6" fillId="4" borderId="62" xfId="0" applyFont="1" applyFill="1" applyBorder="1" applyAlignment="1" applyProtection="1">
      <alignment horizontal="center"/>
      <protection hidden="1"/>
    </xf>
    <xf numFmtId="0" fontId="18" fillId="3" borderId="28" xfId="0" applyFont="1" applyFill="1" applyBorder="1" applyAlignment="1">
      <alignment horizontal="center"/>
    </xf>
    <xf numFmtId="0" fontId="18" fillId="3" borderId="29" xfId="0" applyFont="1" applyFill="1" applyBorder="1" applyAlignment="1">
      <alignment horizontal="center"/>
    </xf>
    <xf numFmtId="0" fontId="18" fillId="3" borderId="30" xfId="0" applyFont="1" applyFill="1" applyBorder="1" applyAlignment="1">
      <alignment horizontal="center"/>
    </xf>
    <xf numFmtId="0" fontId="9" fillId="0" borderId="1" xfId="2" applyBorder="1" applyAlignment="1">
      <alignment horizontal="center" vertical="center"/>
    </xf>
    <xf numFmtId="0" fontId="9" fillId="0" borderId="1" xfId="2" applyBorder="1"/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1" fillId="0" borderId="8" xfId="0" applyFont="1" applyBorder="1" applyAlignment="1" applyProtection="1">
      <alignment horizontal="left" vertical="center"/>
      <protection locked="0" hidden="1"/>
    </xf>
    <xf numFmtId="0" fontId="2" fillId="0" borderId="8" xfId="0" applyFont="1" applyBorder="1" applyProtection="1">
      <protection locked="0" hidden="1"/>
    </xf>
    <xf numFmtId="0" fontId="0" fillId="0" borderId="28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"/>
      <fill>
        <gradientFill type="path">
          <stop position="0">
            <color rgb="FFFF9BFF"/>
          </stop>
          <stop position="1">
            <color rgb="FFFFCDE6"/>
          </stop>
        </gradient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"/>
      <fill>
        <gradientFill type="path">
          <stop position="0">
            <color rgb="FFFF9BFF"/>
          </stop>
          <stop position="1">
            <color rgb="FFFFCDE6"/>
          </stop>
        </gradient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"/>
      <fill>
        <gradientFill type="path">
          <stop position="0">
            <color rgb="FFFF9BFF"/>
          </stop>
          <stop position="1">
            <color rgb="FFFFCDE6"/>
          </stop>
        </gradient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"/>
      <fill>
        <gradientFill type="path">
          <stop position="0">
            <color rgb="FFFF9BFF"/>
          </stop>
          <stop position="1">
            <color rgb="FFFFCDE6"/>
          </stop>
        </gradient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5" formatCode="hh:mm"/>
      <fill>
        <gradientFill type="path">
          <stop position="0">
            <color rgb="FFFF9BFF"/>
          </stop>
          <stop position="1">
            <color rgb="FFFFCDE6"/>
          </stop>
        </gradient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5" formatCode="hh:mm"/>
      <fill>
        <gradientFill type="path">
          <stop position="0">
            <color rgb="FFFF9BFF"/>
          </stop>
          <stop position="1">
            <color rgb="FFFFCDE6"/>
          </stop>
        </gradient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5" formatCode="hh:mm"/>
      <fill>
        <gradientFill type="path">
          <stop position="0">
            <color rgb="FFFF9BFF"/>
          </stop>
          <stop position="1">
            <color rgb="FFFFCDE6"/>
          </stop>
        </gradient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7" formatCode="dd/mm/yyyy"/>
      <fill>
        <gradientFill type="path">
          <stop position="0">
            <color rgb="FFFF9BFF"/>
          </stop>
          <stop position="1">
            <color rgb="FFFFCDE6"/>
          </stop>
        </gradient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gradientFill type="path">
          <stop position="0">
            <color rgb="FFFF9BFF"/>
          </stop>
          <stop position="1">
            <color rgb="FFFFCDE6"/>
          </stop>
        </gradientFill>
      </fill>
      <alignment horizontal="general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gradientFill type="path" left="0.5" right="0.5" top="0.5" bottom="0.5">
          <stop position="0">
            <color rgb="FFFF99FF"/>
          </stop>
          <stop position="1">
            <color rgb="FFFF33CC"/>
          </stop>
        </gradient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66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fill>
        <patternFill>
          <bgColor rgb="FFFFFF00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</dxfs>
  <tableStyles count="2" defaultTableStyle="TableStyleMedium2" defaultPivotStyle="PivotStyleLight16">
    <tableStyle name="Estilo de tabla 1" pivot="0" count="2" xr9:uid="{00000000-0011-0000-FFFF-FFFF00000000}">
      <tableStyleElement type="firstRowStripe" dxfId="13"/>
      <tableStyleElement type="secondRowStripe" dxfId="12"/>
    </tableStyle>
    <tableStyle name="MySqlDefault" pivot="0" table="0" count="0" xr9:uid="{00000000-0011-0000-FFFF-FFFF01000000}"/>
  </tableStyles>
  <colors>
    <mruColors>
      <color rgb="FFF9B9E8"/>
      <color rgb="FFFF66FF"/>
      <color rgb="FFE668C2"/>
      <color rgb="FFFFC1FF"/>
      <color rgb="FFCC00CC"/>
      <color rgb="FFFF99FF"/>
      <color rgb="FFD60093"/>
      <color rgb="FFEE00A4"/>
      <color rgb="FFFF4FD1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409575</xdr:colOff>
      <xdr:row>21</xdr:row>
      <xdr:rowOff>114300</xdr:rowOff>
    </xdr:from>
    <xdr:ext cx="1809750" cy="190500"/>
    <xdr:sp macro="" textlink="">
      <xdr:nvSpPr>
        <xdr:cNvPr id="4" name="Shape 259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705350" y="4829175"/>
          <a:ext cx="1809750" cy="1905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371475</xdr:colOff>
      <xdr:row>5</xdr:row>
      <xdr:rowOff>85725</xdr:rowOff>
    </xdr:from>
    <xdr:ext cx="238125" cy="123825"/>
    <xdr:sp macro="" textlink="">
      <xdr:nvSpPr>
        <xdr:cNvPr id="8" name="Shape 2596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 flipV="1">
          <a:off x="6562725" y="1362075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16" name="Shape 15748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371475</xdr:colOff>
      <xdr:row>5</xdr:row>
      <xdr:rowOff>95250</xdr:rowOff>
    </xdr:from>
    <xdr:ext cx="238125" cy="123825"/>
    <xdr:sp macro="" textlink="">
      <xdr:nvSpPr>
        <xdr:cNvPr id="130" name="Shape 2596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 flipV="1">
          <a:off x="6486525" y="1343025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46" name="Shape 15748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371475</xdr:colOff>
      <xdr:row>5</xdr:row>
      <xdr:rowOff>95250</xdr:rowOff>
    </xdr:from>
    <xdr:ext cx="238125" cy="123825"/>
    <xdr:sp macro="" textlink="">
      <xdr:nvSpPr>
        <xdr:cNvPr id="160" name="Shape 2596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/>
      </xdr:nvSpPr>
      <xdr:spPr>
        <a:xfrm flipV="1">
          <a:off x="6486525" y="1343025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78" name="Shape 15748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381000</xdr:colOff>
      <xdr:row>5</xdr:row>
      <xdr:rowOff>85725</xdr:rowOff>
    </xdr:from>
    <xdr:ext cx="238125" cy="123825"/>
    <xdr:sp macro="" textlink="">
      <xdr:nvSpPr>
        <xdr:cNvPr id="192" name="Shape 2596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SpPr/>
      </xdr:nvSpPr>
      <xdr:spPr>
        <a:xfrm flipV="1">
          <a:off x="6496050" y="1333500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113" name="Shape 15748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390525</xdr:colOff>
      <xdr:row>5</xdr:row>
      <xdr:rowOff>114300</xdr:rowOff>
    </xdr:from>
    <xdr:ext cx="238125" cy="95249"/>
    <xdr:sp macro="" textlink="">
      <xdr:nvSpPr>
        <xdr:cNvPr id="227" name="Shape 2596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 flipV="1">
          <a:off x="6505575" y="1362075"/>
          <a:ext cx="238125" cy="95249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131" name="Shape 15748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381000</xdr:colOff>
      <xdr:row>5</xdr:row>
      <xdr:rowOff>95250</xdr:rowOff>
    </xdr:from>
    <xdr:ext cx="238125" cy="123825"/>
    <xdr:sp macro="" textlink="">
      <xdr:nvSpPr>
        <xdr:cNvPr id="245" name="Shape 2596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 flipV="1">
          <a:off x="6496050" y="1343025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143" name="Shape 15748">
          <a:extLst>
            <a:ext uri="{FF2B5EF4-FFF2-40B4-BE49-F238E27FC236}">
              <a16:creationId xmlns:a16="http://schemas.microsoft.com/office/drawing/2014/main" id="{00000000-0008-0000-0A00-00008F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390525</xdr:colOff>
      <xdr:row>5</xdr:row>
      <xdr:rowOff>95250</xdr:rowOff>
    </xdr:from>
    <xdr:ext cx="238125" cy="123825"/>
    <xdr:sp macro="" textlink="">
      <xdr:nvSpPr>
        <xdr:cNvPr id="257" name="Shape 2596">
          <a:extLst>
            <a:ext uri="{FF2B5EF4-FFF2-40B4-BE49-F238E27FC236}">
              <a16:creationId xmlns:a16="http://schemas.microsoft.com/office/drawing/2014/main" id="{00000000-0008-0000-0A00-000001010000}"/>
            </a:ext>
          </a:extLst>
        </xdr:cNvPr>
        <xdr:cNvSpPr/>
      </xdr:nvSpPr>
      <xdr:spPr>
        <a:xfrm flipV="1">
          <a:off x="6505575" y="1343025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261" name="Shape 15748">
          <a:extLst>
            <a:ext uri="{FF2B5EF4-FFF2-40B4-BE49-F238E27FC236}">
              <a16:creationId xmlns:a16="http://schemas.microsoft.com/office/drawing/2014/main" id="{00000000-0008-0000-0B00-00000501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602156</xdr:colOff>
      <xdr:row>5</xdr:row>
      <xdr:rowOff>87587</xdr:rowOff>
    </xdr:from>
    <xdr:ext cx="238125" cy="123825"/>
    <xdr:sp macro="" textlink="">
      <xdr:nvSpPr>
        <xdr:cNvPr id="375" name="Shape 2596">
          <a:extLst>
            <a:ext uri="{FF2B5EF4-FFF2-40B4-BE49-F238E27FC236}">
              <a16:creationId xmlns:a16="http://schemas.microsoft.com/office/drawing/2014/main" id="{00000000-0008-0000-0B00-000077010000}"/>
            </a:ext>
          </a:extLst>
        </xdr:cNvPr>
        <xdr:cNvSpPr/>
      </xdr:nvSpPr>
      <xdr:spPr>
        <a:xfrm flipV="1">
          <a:off x="6711294" y="1335690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266" name="Shape 15748">
          <a:extLst>
            <a:ext uri="{FF2B5EF4-FFF2-40B4-BE49-F238E27FC236}">
              <a16:creationId xmlns:a16="http://schemas.microsoft.com/office/drawing/2014/main" id="{00000000-0008-0000-0C00-00000A01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533819</xdr:colOff>
      <xdr:row>5</xdr:row>
      <xdr:rowOff>83736</xdr:rowOff>
    </xdr:from>
    <xdr:ext cx="238125" cy="123825"/>
    <xdr:sp macro="" textlink="">
      <xdr:nvSpPr>
        <xdr:cNvPr id="380" name="Shape 2596">
          <a:extLst>
            <a:ext uri="{FF2B5EF4-FFF2-40B4-BE49-F238E27FC236}">
              <a16:creationId xmlns:a16="http://schemas.microsoft.com/office/drawing/2014/main" id="{00000000-0008-0000-0C00-00007C010000}"/>
            </a:ext>
          </a:extLst>
        </xdr:cNvPr>
        <xdr:cNvSpPr/>
      </xdr:nvSpPr>
      <xdr:spPr>
        <a:xfrm flipV="1">
          <a:off x="6657033" y="1329313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274" name="Shape 15748">
          <a:extLst>
            <a:ext uri="{FF2B5EF4-FFF2-40B4-BE49-F238E27FC236}">
              <a16:creationId xmlns:a16="http://schemas.microsoft.com/office/drawing/2014/main" id="{00000000-0008-0000-0D00-00001201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635000</xdr:colOff>
      <xdr:row>5</xdr:row>
      <xdr:rowOff>114300</xdr:rowOff>
    </xdr:from>
    <xdr:ext cx="238125" cy="123825"/>
    <xdr:sp macro="" textlink="">
      <xdr:nvSpPr>
        <xdr:cNvPr id="388" name="Shape 2596">
          <a:extLst>
            <a:ext uri="{FF2B5EF4-FFF2-40B4-BE49-F238E27FC236}">
              <a16:creationId xmlns:a16="http://schemas.microsoft.com/office/drawing/2014/main" id="{00000000-0008-0000-0D00-000084010000}"/>
            </a:ext>
          </a:extLst>
        </xdr:cNvPr>
        <xdr:cNvSpPr/>
      </xdr:nvSpPr>
      <xdr:spPr>
        <a:xfrm flipV="1">
          <a:off x="6756400" y="1384300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279" name="Shape 15748">
          <a:extLst>
            <a:ext uri="{FF2B5EF4-FFF2-40B4-BE49-F238E27FC236}">
              <a16:creationId xmlns:a16="http://schemas.microsoft.com/office/drawing/2014/main" id="{00000000-0008-0000-0E00-00001701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622300</xdr:colOff>
      <xdr:row>5</xdr:row>
      <xdr:rowOff>101600</xdr:rowOff>
    </xdr:from>
    <xdr:ext cx="238125" cy="123825"/>
    <xdr:sp macro="" textlink="">
      <xdr:nvSpPr>
        <xdr:cNvPr id="393" name="Shape 2596">
          <a:extLst>
            <a:ext uri="{FF2B5EF4-FFF2-40B4-BE49-F238E27FC236}">
              <a16:creationId xmlns:a16="http://schemas.microsoft.com/office/drawing/2014/main" id="{00000000-0008-0000-0E00-000089010000}"/>
            </a:ext>
          </a:extLst>
        </xdr:cNvPr>
        <xdr:cNvSpPr/>
      </xdr:nvSpPr>
      <xdr:spPr>
        <a:xfrm flipV="1">
          <a:off x="6743700" y="1371600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21</xdr:row>
      <xdr:rowOff>88900</xdr:rowOff>
    </xdr:from>
    <xdr:ext cx="1809750" cy="190500"/>
    <xdr:sp macro="" textlink="">
      <xdr:nvSpPr>
        <xdr:cNvPr id="12928" name="Shape 12928">
          <a:extLst>
            <a:ext uri="{FF2B5EF4-FFF2-40B4-BE49-F238E27FC236}">
              <a16:creationId xmlns:a16="http://schemas.microsoft.com/office/drawing/2014/main" id="{00000000-0008-0000-0F00-000080320000}"/>
            </a:ext>
          </a:extLst>
        </xdr:cNvPr>
        <xdr:cNvSpPr/>
      </xdr:nvSpPr>
      <xdr:spPr>
        <a:xfrm>
          <a:off x="4464050" y="4927600"/>
          <a:ext cx="1809750" cy="1905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596900</xdr:colOff>
      <xdr:row>5</xdr:row>
      <xdr:rowOff>88900</xdr:rowOff>
    </xdr:from>
    <xdr:ext cx="238125" cy="123825"/>
    <xdr:sp macro="" textlink="">
      <xdr:nvSpPr>
        <xdr:cNvPr id="403" name="Shape 2596">
          <a:extLst>
            <a:ext uri="{FF2B5EF4-FFF2-40B4-BE49-F238E27FC236}">
              <a16:creationId xmlns:a16="http://schemas.microsoft.com/office/drawing/2014/main" id="{00000000-0008-0000-0F00-000093010000}"/>
            </a:ext>
          </a:extLst>
        </xdr:cNvPr>
        <xdr:cNvSpPr/>
      </xdr:nvSpPr>
      <xdr:spPr>
        <a:xfrm flipV="1">
          <a:off x="6718300" y="1358900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495300</xdr:colOff>
      <xdr:row>21</xdr:row>
      <xdr:rowOff>123825</xdr:rowOff>
    </xdr:from>
    <xdr:ext cx="1809750" cy="123825"/>
    <xdr:sp macro="" textlink="">
      <xdr:nvSpPr>
        <xdr:cNvPr id="13710" name="Shape 13710">
          <a:extLst>
            <a:ext uri="{FF2B5EF4-FFF2-40B4-BE49-F238E27FC236}">
              <a16:creationId xmlns:a16="http://schemas.microsoft.com/office/drawing/2014/main" id="{00000000-0008-0000-1000-00008E350000}"/>
            </a:ext>
          </a:extLst>
        </xdr:cNvPr>
        <xdr:cNvSpPr/>
      </xdr:nvSpPr>
      <xdr:spPr>
        <a:xfrm>
          <a:off x="4791075" y="4838700"/>
          <a:ext cx="1809750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371475</xdr:colOff>
      <xdr:row>5</xdr:row>
      <xdr:rowOff>95249</xdr:rowOff>
    </xdr:from>
    <xdr:ext cx="238125" cy="123825"/>
    <xdr:sp macro="" textlink="">
      <xdr:nvSpPr>
        <xdr:cNvPr id="408" name="Shape 2596">
          <a:extLst>
            <a:ext uri="{FF2B5EF4-FFF2-40B4-BE49-F238E27FC236}">
              <a16:creationId xmlns:a16="http://schemas.microsoft.com/office/drawing/2014/main" id="{00000000-0008-0000-1000-000098010000}"/>
            </a:ext>
          </a:extLst>
        </xdr:cNvPr>
        <xdr:cNvSpPr/>
      </xdr:nvSpPr>
      <xdr:spPr>
        <a:xfrm flipV="1">
          <a:off x="6486525" y="1343024"/>
          <a:ext cx="238125" cy="1238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15748" name="Shape 15748">
          <a:extLst>
            <a:ext uri="{FF2B5EF4-FFF2-40B4-BE49-F238E27FC236}">
              <a16:creationId xmlns:a16="http://schemas.microsoft.com/office/drawing/2014/main" id="{00000000-0008-0000-1100-0000843D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371475</xdr:colOff>
      <xdr:row>5</xdr:row>
      <xdr:rowOff>104775</xdr:rowOff>
    </xdr:from>
    <xdr:ext cx="238125" cy="95249"/>
    <xdr:sp macro="" textlink="">
      <xdr:nvSpPr>
        <xdr:cNvPr id="288" name="Shape 2596">
          <a:extLst>
            <a:ext uri="{FF2B5EF4-FFF2-40B4-BE49-F238E27FC236}">
              <a16:creationId xmlns:a16="http://schemas.microsoft.com/office/drawing/2014/main" id="{00000000-0008-0000-1100-000020010000}"/>
            </a:ext>
          </a:extLst>
        </xdr:cNvPr>
        <xdr:cNvSpPr/>
      </xdr:nvSpPr>
      <xdr:spPr>
        <a:xfrm flipV="1">
          <a:off x="6486525" y="1352550"/>
          <a:ext cx="238125" cy="95249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4722" name="Shape 14722">
          <a:extLst>
            <a:ext uri="{FF2B5EF4-FFF2-40B4-BE49-F238E27FC236}">
              <a16:creationId xmlns:a16="http://schemas.microsoft.com/office/drawing/2014/main" id="{00000000-0008-0000-1200-000082390000}"/>
            </a:ext>
          </a:extLst>
        </xdr:cNvPr>
        <xdr:cNvSpPr/>
      </xdr:nvSpPr>
      <xdr:spPr>
        <a:xfrm>
          <a:off x="0" y="0"/>
          <a:ext cx="1" cy="1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7" name="Shape 1574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9" name="Shape 1574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2" name="Shape 13708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6" name="Shape 12926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1" name="Shape 12932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5" name="Shape 11811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30" name="Shape 10951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36" name="Shape 9763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41" name="Shape 8739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46" name="Shape 7715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51" name="Shape 6691"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56" name="Shape 2595">
          <a:extLst>
            <a:ext uri="{FF2B5EF4-FFF2-40B4-BE49-F238E27FC236}">
              <a16:creationId xmlns:a16="http://schemas.microsoft.com/office/drawing/2014/main" id="{00000000-0008-0000-1200-000038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61" name="Shape 2595">
          <a:extLst>
            <a:ext uri="{FF2B5EF4-FFF2-40B4-BE49-F238E27FC236}">
              <a16:creationId xmlns:a16="http://schemas.microsoft.com/office/drawing/2014/main" id="{00000000-0008-0000-1200-00003D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66" name="Shape 5667">
          <a:extLst>
            <a:ext uri="{FF2B5EF4-FFF2-40B4-BE49-F238E27FC236}">
              <a16:creationId xmlns:a16="http://schemas.microsoft.com/office/drawing/2014/main" id="{00000000-0008-0000-1200-000042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71" name="Shape 3619">
          <a:extLst>
            <a:ext uri="{FF2B5EF4-FFF2-40B4-BE49-F238E27FC236}">
              <a16:creationId xmlns:a16="http://schemas.microsoft.com/office/drawing/2014/main" id="{00000000-0008-0000-1200-000047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76" name="Shape 2595">
          <a:extLst>
            <a:ext uri="{FF2B5EF4-FFF2-40B4-BE49-F238E27FC236}">
              <a16:creationId xmlns:a16="http://schemas.microsoft.com/office/drawing/2014/main" id="{00000000-0008-0000-1200-00004C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81" name="Shape 2595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86" name="Shape 2595">
          <a:extLst>
            <a:ext uri="{FF2B5EF4-FFF2-40B4-BE49-F238E27FC236}">
              <a16:creationId xmlns:a16="http://schemas.microsoft.com/office/drawing/2014/main" id="{00000000-0008-0000-1200-000056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91" name="Shape 2595">
          <a:extLst>
            <a:ext uri="{FF2B5EF4-FFF2-40B4-BE49-F238E27FC236}">
              <a16:creationId xmlns:a16="http://schemas.microsoft.com/office/drawing/2014/main" id="{00000000-0008-0000-1200-00005B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96" name="Shape 4643">
          <a:extLst>
            <a:ext uri="{FF2B5EF4-FFF2-40B4-BE49-F238E27FC236}">
              <a16:creationId xmlns:a16="http://schemas.microsoft.com/office/drawing/2014/main" id="{00000000-0008-0000-1200-000060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01" name="Shape 2595">
          <a:extLst>
            <a:ext uri="{FF2B5EF4-FFF2-40B4-BE49-F238E27FC236}">
              <a16:creationId xmlns:a16="http://schemas.microsoft.com/office/drawing/2014/main" id="{00000000-0008-0000-1200-000065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06" name="Shape 2595">
          <a:extLst>
            <a:ext uri="{FF2B5EF4-FFF2-40B4-BE49-F238E27FC236}">
              <a16:creationId xmlns:a16="http://schemas.microsoft.com/office/drawing/2014/main" id="{00000000-0008-0000-1200-00006A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11" name="Shape 3619">
          <a:extLst>
            <a:ext uri="{FF2B5EF4-FFF2-40B4-BE49-F238E27FC236}">
              <a16:creationId xmlns:a16="http://schemas.microsoft.com/office/drawing/2014/main" id="{00000000-0008-0000-1200-00006F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16" name="Shape 2595">
          <a:extLst>
            <a:ext uri="{FF2B5EF4-FFF2-40B4-BE49-F238E27FC236}">
              <a16:creationId xmlns:a16="http://schemas.microsoft.com/office/drawing/2014/main" id="{00000000-0008-0000-1200-000074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21" name="Shape 2595">
          <a:extLst>
            <a:ext uri="{FF2B5EF4-FFF2-40B4-BE49-F238E27FC236}">
              <a16:creationId xmlns:a16="http://schemas.microsoft.com/office/drawing/2014/main" id="{00000000-0008-0000-1200-000079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26" name="Shape 2595">
          <a:extLst>
            <a:ext uri="{FF2B5EF4-FFF2-40B4-BE49-F238E27FC236}">
              <a16:creationId xmlns:a16="http://schemas.microsoft.com/office/drawing/2014/main" id="{00000000-0008-0000-1200-00007E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31" name="Shape 2595">
          <a:extLst>
            <a:ext uri="{FF2B5EF4-FFF2-40B4-BE49-F238E27FC236}">
              <a16:creationId xmlns:a16="http://schemas.microsoft.com/office/drawing/2014/main" id="{00000000-0008-0000-1200-000083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36" name="Shape 2595">
          <a:extLst>
            <a:ext uri="{FF2B5EF4-FFF2-40B4-BE49-F238E27FC236}">
              <a16:creationId xmlns:a16="http://schemas.microsoft.com/office/drawing/2014/main" id="{00000000-0008-0000-1200-000088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41" name="Shape 2595">
          <a:extLst>
            <a:ext uri="{FF2B5EF4-FFF2-40B4-BE49-F238E27FC236}">
              <a16:creationId xmlns:a16="http://schemas.microsoft.com/office/drawing/2014/main" id="{00000000-0008-0000-1200-00008D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46" name="Shape 7715">
          <a:extLst>
            <a:ext uri="{FF2B5EF4-FFF2-40B4-BE49-F238E27FC236}">
              <a16:creationId xmlns:a16="http://schemas.microsoft.com/office/drawing/2014/main" id="{00000000-0008-0000-1200-000092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51" name="Shape 6691">
          <a:extLst>
            <a:ext uri="{FF2B5EF4-FFF2-40B4-BE49-F238E27FC236}">
              <a16:creationId xmlns:a16="http://schemas.microsoft.com/office/drawing/2014/main" id="{00000000-0008-0000-1200-000097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56" name="Shape 2595">
          <a:extLst>
            <a:ext uri="{FF2B5EF4-FFF2-40B4-BE49-F238E27FC236}">
              <a16:creationId xmlns:a16="http://schemas.microsoft.com/office/drawing/2014/main" id="{00000000-0008-0000-1200-00009C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61" name="Shape 2595">
          <a:extLst>
            <a:ext uri="{FF2B5EF4-FFF2-40B4-BE49-F238E27FC236}">
              <a16:creationId xmlns:a16="http://schemas.microsoft.com/office/drawing/2014/main" id="{00000000-0008-0000-1200-0000A1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66" name="Shape 5667">
          <a:extLst>
            <a:ext uri="{FF2B5EF4-FFF2-40B4-BE49-F238E27FC236}">
              <a16:creationId xmlns:a16="http://schemas.microsoft.com/office/drawing/2014/main" id="{00000000-0008-0000-1200-0000A6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71" name="Shape 3619">
          <a:extLst>
            <a:ext uri="{FF2B5EF4-FFF2-40B4-BE49-F238E27FC236}">
              <a16:creationId xmlns:a16="http://schemas.microsoft.com/office/drawing/2014/main" id="{00000000-0008-0000-1200-0000AB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76" name="Shape 2595">
          <a:extLst>
            <a:ext uri="{FF2B5EF4-FFF2-40B4-BE49-F238E27FC236}">
              <a16:creationId xmlns:a16="http://schemas.microsoft.com/office/drawing/2014/main" id="{00000000-0008-0000-1200-0000B0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81" name="Shape 2595">
          <a:extLst>
            <a:ext uri="{FF2B5EF4-FFF2-40B4-BE49-F238E27FC236}">
              <a16:creationId xmlns:a16="http://schemas.microsoft.com/office/drawing/2014/main" id="{00000000-0008-0000-1200-0000B5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86" name="Shape 2595">
          <a:extLst>
            <a:ext uri="{FF2B5EF4-FFF2-40B4-BE49-F238E27FC236}">
              <a16:creationId xmlns:a16="http://schemas.microsoft.com/office/drawing/2014/main" id="{00000000-0008-0000-1200-0000BA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91" name="Shape 2595">
          <a:extLst>
            <a:ext uri="{FF2B5EF4-FFF2-40B4-BE49-F238E27FC236}">
              <a16:creationId xmlns:a16="http://schemas.microsoft.com/office/drawing/2014/main" id="{00000000-0008-0000-1200-0000BF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196" name="Shape 4643">
          <a:extLst>
            <a:ext uri="{FF2B5EF4-FFF2-40B4-BE49-F238E27FC236}">
              <a16:creationId xmlns:a16="http://schemas.microsoft.com/office/drawing/2014/main" id="{00000000-0008-0000-1200-0000C4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01" name="Shape 2595">
          <a:extLst>
            <a:ext uri="{FF2B5EF4-FFF2-40B4-BE49-F238E27FC236}">
              <a16:creationId xmlns:a16="http://schemas.microsoft.com/office/drawing/2014/main" id="{00000000-0008-0000-1200-0000C9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06" name="Shape 2595">
          <a:extLst>
            <a:ext uri="{FF2B5EF4-FFF2-40B4-BE49-F238E27FC236}">
              <a16:creationId xmlns:a16="http://schemas.microsoft.com/office/drawing/2014/main" id="{00000000-0008-0000-1200-0000CE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11" name="Shape 3619">
          <a:extLst>
            <a:ext uri="{FF2B5EF4-FFF2-40B4-BE49-F238E27FC236}">
              <a16:creationId xmlns:a16="http://schemas.microsoft.com/office/drawing/2014/main" id="{00000000-0008-0000-1200-0000D3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16" name="Shape 2595">
          <a:extLst>
            <a:ext uri="{FF2B5EF4-FFF2-40B4-BE49-F238E27FC236}">
              <a16:creationId xmlns:a16="http://schemas.microsoft.com/office/drawing/2014/main" id="{00000000-0008-0000-1200-0000D8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21" name="Shape 2595">
          <a:extLst>
            <a:ext uri="{FF2B5EF4-FFF2-40B4-BE49-F238E27FC236}">
              <a16:creationId xmlns:a16="http://schemas.microsoft.com/office/drawing/2014/main" id="{00000000-0008-0000-1200-0000DD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26" name="Shape 2595">
          <a:extLst>
            <a:ext uri="{FF2B5EF4-FFF2-40B4-BE49-F238E27FC236}">
              <a16:creationId xmlns:a16="http://schemas.microsoft.com/office/drawing/2014/main" id="{00000000-0008-0000-1200-0000E2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31" name="Shape 2595">
          <a:extLst>
            <a:ext uri="{FF2B5EF4-FFF2-40B4-BE49-F238E27FC236}">
              <a16:creationId xmlns:a16="http://schemas.microsoft.com/office/drawing/2014/main" id="{00000000-0008-0000-1200-0000E7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36" name="Shape 2595">
          <a:extLst>
            <a:ext uri="{FF2B5EF4-FFF2-40B4-BE49-F238E27FC236}">
              <a16:creationId xmlns:a16="http://schemas.microsoft.com/office/drawing/2014/main" id="{00000000-0008-0000-1200-0000EC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47625</xdr:colOff>
      <xdr:row>5</xdr:row>
      <xdr:rowOff>0</xdr:rowOff>
    </xdr:from>
    <xdr:ext cx="38100" cy="304800"/>
    <xdr:sp macro="" textlink="">
      <xdr:nvSpPr>
        <xdr:cNvPr id="241" name="Shape 2595">
          <a:extLst>
            <a:ext uri="{FF2B5EF4-FFF2-40B4-BE49-F238E27FC236}">
              <a16:creationId xmlns:a16="http://schemas.microsoft.com/office/drawing/2014/main" id="{00000000-0008-0000-1200-0000F1000000}"/>
            </a:ext>
          </a:extLst>
        </xdr:cNvPr>
        <xdr:cNvSpPr/>
      </xdr:nvSpPr>
      <xdr:spPr>
        <a:xfrm>
          <a:off x="10344150" y="1247775"/>
          <a:ext cx="38100" cy="304800"/>
        </a:xfrm>
        <a:prstGeom prst="leftBrac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371475</xdr:colOff>
      <xdr:row>5</xdr:row>
      <xdr:rowOff>135255</xdr:rowOff>
    </xdr:from>
    <xdr:ext cx="257175" cy="64769"/>
    <xdr:sp macro="" textlink="">
      <xdr:nvSpPr>
        <xdr:cNvPr id="259" name="Shape 2596">
          <a:extLst>
            <a:ext uri="{FF2B5EF4-FFF2-40B4-BE49-F238E27FC236}">
              <a16:creationId xmlns:a16="http://schemas.microsoft.com/office/drawing/2014/main" id="{00000000-0008-0000-1200-000003010000}"/>
            </a:ext>
          </a:extLst>
        </xdr:cNvPr>
        <xdr:cNvSpPr/>
      </xdr:nvSpPr>
      <xdr:spPr>
        <a:xfrm flipV="1">
          <a:off x="6486525" y="1383030"/>
          <a:ext cx="257175" cy="64769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13" name="Shape 15748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361950</xdr:colOff>
      <xdr:row>5</xdr:row>
      <xdr:rowOff>114300</xdr:rowOff>
    </xdr:from>
    <xdr:ext cx="276225" cy="85725"/>
    <xdr:sp macro="" textlink="">
      <xdr:nvSpPr>
        <xdr:cNvPr id="263" name="Shape 2596">
          <a:extLst>
            <a:ext uri="{FF2B5EF4-FFF2-40B4-BE49-F238E27FC236}">
              <a16:creationId xmlns:a16="http://schemas.microsoft.com/office/drawing/2014/main" id="{00000000-0008-0000-1300-000007010000}"/>
            </a:ext>
          </a:extLst>
        </xdr:cNvPr>
        <xdr:cNvSpPr/>
      </xdr:nvSpPr>
      <xdr:spPr>
        <a:xfrm>
          <a:off x="6477000" y="1362075"/>
          <a:ext cx="276225" cy="857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17" name="Shape 15748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371475</xdr:colOff>
      <xdr:row>5</xdr:row>
      <xdr:rowOff>114300</xdr:rowOff>
    </xdr:from>
    <xdr:ext cx="276225" cy="85725"/>
    <xdr:sp macro="" textlink="">
      <xdr:nvSpPr>
        <xdr:cNvPr id="267" name="Shape 2596">
          <a:extLst>
            <a:ext uri="{FF2B5EF4-FFF2-40B4-BE49-F238E27FC236}">
              <a16:creationId xmlns:a16="http://schemas.microsoft.com/office/drawing/2014/main" id="{00000000-0008-0000-1400-00000B010000}"/>
            </a:ext>
          </a:extLst>
        </xdr:cNvPr>
        <xdr:cNvSpPr/>
      </xdr:nvSpPr>
      <xdr:spPr>
        <a:xfrm>
          <a:off x="6486525" y="1362075"/>
          <a:ext cx="276225" cy="857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21" name="Shape 1574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352426</xdr:colOff>
      <xdr:row>5</xdr:row>
      <xdr:rowOff>104775</xdr:rowOff>
    </xdr:from>
    <xdr:ext cx="285750" cy="95250"/>
    <xdr:sp macro="" textlink="">
      <xdr:nvSpPr>
        <xdr:cNvPr id="271" name="Shape 2596">
          <a:extLst>
            <a:ext uri="{FF2B5EF4-FFF2-40B4-BE49-F238E27FC236}">
              <a16:creationId xmlns:a16="http://schemas.microsoft.com/office/drawing/2014/main" id="{00000000-0008-0000-1500-00000F010000}"/>
            </a:ext>
          </a:extLst>
        </xdr:cNvPr>
        <xdr:cNvSpPr/>
      </xdr:nvSpPr>
      <xdr:spPr>
        <a:xfrm>
          <a:off x="6467476" y="1352550"/>
          <a:ext cx="285750" cy="9525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24" name="Shape 15748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381000</xdr:colOff>
      <xdr:row>5</xdr:row>
      <xdr:rowOff>114300</xdr:rowOff>
    </xdr:from>
    <xdr:ext cx="276225" cy="85725"/>
    <xdr:sp macro="" textlink="">
      <xdr:nvSpPr>
        <xdr:cNvPr id="274" name="Shape 2596">
          <a:extLst>
            <a:ext uri="{FF2B5EF4-FFF2-40B4-BE49-F238E27FC236}">
              <a16:creationId xmlns:a16="http://schemas.microsoft.com/office/drawing/2014/main" id="{00000000-0008-0000-1600-000012010000}"/>
            </a:ext>
          </a:extLst>
        </xdr:cNvPr>
        <xdr:cNvSpPr/>
      </xdr:nvSpPr>
      <xdr:spPr>
        <a:xfrm>
          <a:off x="6496050" y="1362075"/>
          <a:ext cx="276225" cy="857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34" name="Shape 1574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361950</xdr:colOff>
      <xdr:row>5</xdr:row>
      <xdr:rowOff>123825</xdr:rowOff>
    </xdr:from>
    <xdr:ext cx="276225" cy="85725"/>
    <xdr:sp macro="" textlink="">
      <xdr:nvSpPr>
        <xdr:cNvPr id="284" name="Shape 2596">
          <a:extLst>
            <a:ext uri="{FF2B5EF4-FFF2-40B4-BE49-F238E27FC236}">
              <a16:creationId xmlns:a16="http://schemas.microsoft.com/office/drawing/2014/main" id="{00000000-0008-0000-1700-00001C010000}"/>
            </a:ext>
          </a:extLst>
        </xdr:cNvPr>
        <xdr:cNvSpPr/>
      </xdr:nvSpPr>
      <xdr:spPr>
        <a:xfrm>
          <a:off x="6477000" y="1371600"/>
          <a:ext cx="276225" cy="8572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41" name="Shape 15748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491615</xdr:colOff>
      <xdr:row>5</xdr:row>
      <xdr:rowOff>92176</xdr:rowOff>
    </xdr:from>
    <xdr:ext cx="143386" cy="112662"/>
    <xdr:sp macro="" textlink="">
      <xdr:nvSpPr>
        <xdr:cNvPr id="291" name="Shape 2596">
          <a:extLst>
            <a:ext uri="{FF2B5EF4-FFF2-40B4-BE49-F238E27FC236}">
              <a16:creationId xmlns:a16="http://schemas.microsoft.com/office/drawing/2014/main" id="{00000000-0008-0000-1800-000023010000}"/>
            </a:ext>
          </a:extLst>
        </xdr:cNvPr>
        <xdr:cNvSpPr/>
      </xdr:nvSpPr>
      <xdr:spPr>
        <a:xfrm flipV="1">
          <a:off x="6616292" y="1331450"/>
          <a:ext cx="143386" cy="112662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51" name="Shape 15748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333375</xdr:colOff>
      <xdr:row>5</xdr:row>
      <xdr:rowOff>85725</xdr:rowOff>
    </xdr:from>
    <xdr:ext cx="314325" cy="142875"/>
    <xdr:sp macro="" textlink="">
      <xdr:nvSpPr>
        <xdr:cNvPr id="301" name="Shape 2596">
          <a:extLst>
            <a:ext uri="{FF2B5EF4-FFF2-40B4-BE49-F238E27FC236}">
              <a16:creationId xmlns:a16="http://schemas.microsoft.com/office/drawing/2014/main" id="{00000000-0008-0000-1900-00002D010000}"/>
            </a:ext>
          </a:extLst>
        </xdr:cNvPr>
        <xdr:cNvSpPr/>
      </xdr:nvSpPr>
      <xdr:spPr>
        <a:xfrm>
          <a:off x="6448425" y="1333500"/>
          <a:ext cx="314325" cy="14287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61" name="Shape 15748">
          <a:extLst>
            <a:ext uri="{FF2B5EF4-FFF2-40B4-BE49-F238E27FC236}">
              <a16:creationId xmlns:a16="http://schemas.microsoft.com/office/drawing/2014/main" id="{00000000-0008-0000-1A00-00003D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371475</xdr:colOff>
      <xdr:row>5</xdr:row>
      <xdr:rowOff>95250</xdr:rowOff>
    </xdr:from>
    <xdr:ext cx="238125" cy="104775"/>
    <xdr:sp macro="" textlink="">
      <xdr:nvSpPr>
        <xdr:cNvPr id="311" name="Shape 2596">
          <a:extLst>
            <a:ext uri="{FF2B5EF4-FFF2-40B4-BE49-F238E27FC236}">
              <a16:creationId xmlns:a16="http://schemas.microsoft.com/office/drawing/2014/main" id="{00000000-0008-0000-1A00-000037010000}"/>
            </a:ext>
          </a:extLst>
        </xdr:cNvPr>
        <xdr:cNvSpPr/>
      </xdr:nvSpPr>
      <xdr:spPr>
        <a:xfrm flipV="1">
          <a:off x="6486525" y="1343025"/>
          <a:ext cx="238125" cy="10477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65" name="Shape 15748">
          <a:extLst>
            <a:ext uri="{FF2B5EF4-FFF2-40B4-BE49-F238E27FC236}">
              <a16:creationId xmlns:a16="http://schemas.microsoft.com/office/drawing/2014/main" id="{00000000-0008-0000-1B00-000041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381000</xdr:colOff>
      <xdr:row>5</xdr:row>
      <xdr:rowOff>104775</xdr:rowOff>
    </xdr:from>
    <xdr:ext cx="238125" cy="104775"/>
    <xdr:sp macro="" textlink="">
      <xdr:nvSpPr>
        <xdr:cNvPr id="315" name="Shape 2596">
          <a:extLst>
            <a:ext uri="{FF2B5EF4-FFF2-40B4-BE49-F238E27FC236}">
              <a16:creationId xmlns:a16="http://schemas.microsoft.com/office/drawing/2014/main" id="{00000000-0008-0000-1B00-00003B010000}"/>
            </a:ext>
          </a:extLst>
        </xdr:cNvPr>
        <xdr:cNvSpPr/>
      </xdr:nvSpPr>
      <xdr:spPr>
        <a:xfrm flipV="1">
          <a:off x="6496050" y="1352550"/>
          <a:ext cx="238125" cy="10477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21</xdr:row>
      <xdr:rowOff>142875</xdr:rowOff>
    </xdr:from>
    <xdr:ext cx="1809750" cy="114300"/>
    <xdr:sp macro="" textlink="">
      <xdr:nvSpPr>
        <xdr:cNvPr id="75" name="Shape 15748">
          <a:extLst>
            <a:ext uri="{FF2B5EF4-FFF2-40B4-BE49-F238E27FC236}">
              <a16:creationId xmlns:a16="http://schemas.microsoft.com/office/drawing/2014/main" id="{00000000-0008-0000-1C00-00004B000000}"/>
            </a:ext>
          </a:extLst>
        </xdr:cNvPr>
        <xdr:cNvSpPr/>
      </xdr:nvSpPr>
      <xdr:spPr>
        <a:xfrm>
          <a:off x="4752975" y="4857750"/>
          <a:ext cx="1809750" cy="114300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381000</xdr:colOff>
      <xdr:row>5</xdr:row>
      <xdr:rowOff>104774</xdr:rowOff>
    </xdr:from>
    <xdr:ext cx="238125" cy="104775"/>
    <xdr:sp macro="" textlink="">
      <xdr:nvSpPr>
        <xdr:cNvPr id="308" name="Shape 2596">
          <a:extLst>
            <a:ext uri="{FF2B5EF4-FFF2-40B4-BE49-F238E27FC236}">
              <a16:creationId xmlns:a16="http://schemas.microsoft.com/office/drawing/2014/main" id="{00000000-0008-0000-1C00-000034010000}"/>
            </a:ext>
          </a:extLst>
        </xdr:cNvPr>
        <xdr:cNvSpPr/>
      </xdr:nvSpPr>
      <xdr:spPr>
        <a:xfrm flipV="1">
          <a:off x="6496050" y="1352549"/>
          <a:ext cx="238125" cy="104775"/>
        </a:xfrm>
        <a:prstGeom prst="chevron">
          <a:avLst/>
        </a:prstGeom>
        <a:solidFill>
          <a:srgbClr val="FFFF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:H508" totalsRowShown="0" headerRowDxfId="11" dataDxfId="9" headerRowBorderDxfId="10" tableBorderDxfId="8">
  <autoFilter ref="A3:H508" xr:uid="{00000000-0009-0000-0100-000001000000}"/>
  <tableColumns count="8">
    <tableColumn id="1" xr3:uid="{00000000-0010-0000-0000-000001000000}" name="Fecha" dataDxfId="7">
      <calculatedColumnFormula>A3+1</calculatedColumnFormula>
    </tableColumn>
    <tableColumn id="10" xr3:uid="{00000000-0010-0000-0000-00000A000000}" name="Horario _x000a_Presentación" dataDxfId="6">
      <calculatedColumnFormula>IF(G4=0,"",C4-"1:00")</calculatedColumnFormula>
    </tableColumn>
    <tableColumn id="2" xr3:uid="{00000000-0010-0000-0000-000002000000}" name="Primer _x000a_Despegue" dataDxfId="5">
      <calculatedColumnFormula>Q4</calculatedColumnFormula>
    </tableColumn>
    <tableColumn id="3" xr3:uid="{00000000-0010-0000-0000-000003000000}" name="Último _x000a_Aterrizaje" dataDxfId="4">
      <calculatedColumnFormula>R4</calculatedColumnFormula>
    </tableColumn>
    <tableColumn id="4" xr3:uid="{00000000-0010-0000-0000-000004000000}" name="TOTAL _x000a_TV DIURNO" dataDxfId="3">
      <calculatedColumnFormula>SUMIF(Consolidado!$A$6:$A$380,'TOTALES DIARIOS'!A4,Consolidado!$E$6:$E$380)</calculatedColumnFormula>
    </tableColumn>
    <tableColumn id="5" xr3:uid="{00000000-0010-0000-0000-000005000000}" name="TOTAL _x000a_TV NOCTURNO" dataDxfId="2">
      <calculatedColumnFormula>SUMIF(Consolidado!$A$6:$A$380,'TOTALES DIARIOS'!A4,Consolidado!$F$6:$F$380)</calculatedColumnFormula>
    </tableColumn>
    <tableColumn id="6" xr3:uid="{00000000-0010-0000-0000-000006000000}" name="Total _x000a_TV" dataDxfId="1">
      <calculatedColumnFormula>SUMIF(Consolidado!$A$6:$A$380,'TOTALES DIARIOS'!A4,Consolidado!$G$6:$G$380)</calculatedColumnFormula>
    </tableColumn>
    <tableColumn id="7" xr3:uid="{00000000-0010-0000-0000-000007000000}" name="Total _x000a_TSV" dataDxfId="0">
      <calculatedColumnFormula>IF(B4="",0,IF(B4&lt;D4,D4-B4+"0:30","24:00"-B4+D4+"0:30"))*24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elenbertora@flybond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I141"/>
  <sheetViews>
    <sheetView topLeftCell="A2" workbookViewId="0">
      <selection activeCell="B2" sqref="B2"/>
    </sheetView>
  </sheetViews>
  <sheetFormatPr baseColWidth="10" defaultRowHeight="13.2" x14ac:dyDescent="0.25"/>
  <cols>
    <col min="1" max="1" width="17.44140625" bestFit="1" customWidth="1"/>
    <col min="2" max="2" width="19" bestFit="1" customWidth="1"/>
    <col min="3" max="3" width="9.44140625" customWidth="1"/>
    <col min="4" max="4" width="13.88671875" bestFit="1" customWidth="1"/>
    <col min="5" max="5" width="24.6640625" bestFit="1" customWidth="1"/>
  </cols>
  <sheetData>
    <row r="1" spans="1:9" x14ac:dyDescent="0.25">
      <c r="A1" s="35" t="s">
        <v>41</v>
      </c>
      <c r="B1" s="36" t="s">
        <v>71</v>
      </c>
    </row>
    <row r="2" spans="1:9" ht="13.8" thickBot="1" x14ac:dyDescent="0.3">
      <c r="A2" s="37" t="s">
        <v>42</v>
      </c>
      <c r="B2" s="38" t="s">
        <v>72</v>
      </c>
    </row>
    <row r="7" spans="1:9" ht="13.8" thickBot="1" x14ac:dyDescent="0.3"/>
    <row r="8" spans="1:9" ht="13.8" thickBot="1" x14ac:dyDescent="0.3">
      <c r="A8" s="289" t="s">
        <v>31</v>
      </c>
      <c r="B8" s="285" t="s">
        <v>70</v>
      </c>
      <c r="C8" s="286"/>
      <c r="D8" s="288" t="s">
        <v>36</v>
      </c>
      <c r="E8" s="287"/>
      <c r="F8" s="286" t="s">
        <v>37</v>
      </c>
      <c r="G8" s="287"/>
      <c r="I8" s="60"/>
    </row>
    <row r="9" spans="1:9" ht="13.8" thickBot="1" x14ac:dyDescent="0.3">
      <c r="A9" s="290"/>
      <c r="B9" s="15" t="s">
        <v>38</v>
      </c>
      <c r="C9" s="16" t="s">
        <v>39</v>
      </c>
      <c r="D9" s="15" t="s">
        <v>38</v>
      </c>
      <c r="E9" s="17" t="s">
        <v>40</v>
      </c>
      <c r="F9" s="16" t="s">
        <v>38</v>
      </c>
      <c r="G9" s="17" t="s">
        <v>40</v>
      </c>
      <c r="I9" s="60"/>
    </row>
    <row r="10" spans="1:9" x14ac:dyDescent="0.25">
      <c r="A10" s="12" t="s">
        <v>32</v>
      </c>
      <c r="B10" s="18">
        <v>1221</v>
      </c>
      <c r="C10" s="19">
        <v>320</v>
      </c>
      <c r="D10" s="13">
        <v>0.375</v>
      </c>
      <c r="E10" s="14">
        <v>0.95833333333333337</v>
      </c>
      <c r="F10" s="13">
        <v>0.9590277777777777</v>
      </c>
      <c r="G10" s="14">
        <v>0.3743055555555555</v>
      </c>
      <c r="I10" s="60"/>
    </row>
    <row r="11" spans="1:9" x14ac:dyDescent="0.25">
      <c r="A11" s="10" t="s">
        <v>33</v>
      </c>
      <c r="B11" s="19">
        <v>321</v>
      </c>
      <c r="C11" s="19">
        <v>620</v>
      </c>
      <c r="D11" s="6">
        <v>0.41666666666666669</v>
      </c>
      <c r="E11" s="7">
        <v>0.875</v>
      </c>
      <c r="F11" s="6">
        <v>0.87569444444444444</v>
      </c>
      <c r="G11" s="7">
        <v>0.41597222222222219</v>
      </c>
      <c r="I11" s="61"/>
    </row>
    <row r="12" spans="1:9" x14ac:dyDescent="0.25">
      <c r="A12" s="10" t="s">
        <v>34</v>
      </c>
      <c r="B12" s="19">
        <v>621</v>
      </c>
      <c r="C12" s="19">
        <v>920</v>
      </c>
      <c r="D12" s="6">
        <v>0.41666666666666669</v>
      </c>
      <c r="E12" s="7">
        <v>0.89583333333333337</v>
      </c>
      <c r="F12" s="6">
        <v>0.8965277777777777</v>
      </c>
      <c r="G12" s="7">
        <v>0.41597222222222219</v>
      </c>
      <c r="I12" s="60"/>
    </row>
    <row r="13" spans="1:9" ht="13.8" thickBot="1" x14ac:dyDescent="0.3">
      <c r="A13" s="11" t="s">
        <v>35</v>
      </c>
      <c r="B13" s="24">
        <v>921</v>
      </c>
      <c r="C13" s="25">
        <v>1220</v>
      </c>
      <c r="D13" s="8">
        <v>0.35416666666666669</v>
      </c>
      <c r="E13" s="9">
        <v>0.9375</v>
      </c>
      <c r="F13" s="8">
        <v>0.93819444444444444</v>
      </c>
      <c r="G13" s="9">
        <v>0.35347222222222219</v>
      </c>
      <c r="I13" s="60"/>
    </row>
    <row r="15" spans="1:9" ht="13.8" thickBot="1" x14ac:dyDescent="0.3"/>
    <row r="16" spans="1:9" ht="13.8" thickBot="1" x14ac:dyDescent="0.3">
      <c r="A16" s="71" t="s">
        <v>45</v>
      </c>
      <c r="B16" s="72" t="s">
        <v>64</v>
      </c>
      <c r="D16" s="28" t="s">
        <v>69</v>
      </c>
      <c r="E16" s="29" t="s">
        <v>67</v>
      </c>
      <c r="F16" s="30" t="s">
        <v>68</v>
      </c>
    </row>
    <row r="17" spans="1:6" ht="14.4" thickBot="1" x14ac:dyDescent="0.3">
      <c r="A17" s="73" t="s">
        <v>43</v>
      </c>
      <c r="B17" s="74" t="s">
        <v>44</v>
      </c>
      <c r="D17" s="31" t="s">
        <v>65</v>
      </c>
      <c r="E17" s="32" t="s">
        <v>66</v>
      </c>
      <c r="F17" s="33" t="s">
        <v>2</v>
      </c>
    </row>
    <row r="18" spans="1:6" ht="14.4" thickBot="1" x14ac:dyDescent="0.3">
      <c r="A18" s="50" t="s">
        <v>115</v>
      </c>
      <c r="B18" s="75" t="s">
        <v>48</v>
      </c>
    </row>
    <row r="19" spans="1:6" ht="14.4" thickBot="1" x14ac:dyDescent="0.3">
      <c r="A19" s="50" t="s">
        <v>60</v>
      </c>
      <c r="B19" s="75" t="s">
        <v>61</v>
      </c>
      <c r="D19" s="291" t="s">
        <v>76</v>
      </c>
      <c r="E19" s="292"/>
    </row>
    <row r="20" spans="1:6" ht="14.4" thickBot="1" x14ac:dyDescent="0.3">
      <c r="A20" s="50" t="s">
        <v>46</v>
      </c>
      <c r="B20" s="75" t="s">
        <v>49</v>
      </c>
      <c r="D20" s="232" t="s">
        <v>77</v>
      </c>
      <c r="E20" s="233" t="s">
        <v>78</v>
      </c>
    </row>
    <row r="21" spans="1:6" ht="13.8" x14ac:dyDescent="0.25">
      <c r="A21" s="50" t="s">
        <v>116</v>
      </c>
      <c r="B21" s="75" t="s">
        <v>54</v>
      </c>
      <c r="D21" s="234" t="s">
        <v>330</v>
      </c>
      <c r="E21" s="36" t="s">
        <v>313</v>
      </c>
    </row>
    <row r="22" spans="1:6" ht="13.8" x14ac:dyDescent="0.25">
      <c r="A22" s="50" t="s">
        <v>117</v>
      </c>
      <c r="B22" s="75" t="s">
        <v>57</v>
      </c>
      <c r="D22" s="40" t="s">
        <v>331</v>
      </c>
      <c r="E22" s="41" t="s">
        <v>319</v>
      </c>
    </row>
    <row r="23" spans="1:6" ht="13.8" x14ac:dyDescent="0.25">
      <c r="A23" s="50" t="s">
        <v>118</v>
      </c>
      <c r="B23" s="75" t="s">
        <v>50</v>
      </c>
      <c r="D23" s="40" t="s">
        <v>332</v>
      </c>
      <c r="E23" s="41" t="s">
        <v>320</v>
      </c>
    </row>
    <row r="24" spans="1:6" ht="13.8" x14ac:dyDescent="0.25">
      <c r="A24" s="50" t="s">
        <v>52</v>
      </c>
      <c r="B24" s="75" t="s">
        <v>55</v>
      </c>
      <c r="D24" s="40" t="s">
        <v>333</v>
      </c>
      <c r="E24" s="41" t="s">
        <v>321</v>
      </c>
    </row>
    <row r="25" spans="1:6" ht="13.8" x14ac:dyDescent="0.25">
      <c r="A25" s="50" t="s">
        <v>119</v>
      </c>
      <c r="B25" s="75" t="s">
        <v>53</v>
      </c>
      <c r="D25" s="40" t="s">
        <v>334</v>
      </c>
      <c r="E25" s="41" t="s">
        <v>322</v>
      </c>
    </row>
    <row r="26" spans="1:6" ht="13.8" x14ac:dyDescent="0.25">
      <c r="A26" s="50" t="s">
        <v>47</v>
      </c>
      <c r="B26" s="75" t="s">
        <v>56</v>
      </c>
      <c r="D26" s="40" t="s">
        <v>335</v>
      </c>
      <c r="E26" s="41" t="s">
        <v>323</v>
      </c>
    </row>
    <row r="27" spans="1:6" ht="13.8" x14ac:dyDescent="0.25">
      <c r="A27" s="50" t="s">
        <v>120</v>
      </c>
      <c r="B27" s="75" t="s">
        <v>121</v>
      </c>
      <c r="D27" s="40" t="s">
        <v>336</v>
      </c>
      <c r="E27" s="41" t="s">
        <v>324</v>
      </c>
    </row>
    <row r="28" spans="1:6" ht="13.8" x14ac:dyDescent="0.25">
      <c r="A28" s="50" t="s">
        <v>122</v>
      </c>
      <c r="B28" s="75" t="s">
        <v>123</v>
      </c>
      <c r="D28" s="40" t="s">
        <v>337</v>
      </c>
      <c r="E28" s="41" t="s">
        <v>325</v>
      </c>
    </row>
    <row r="29" spans="1:6" ht="13.8" x14ac:dyDescent="0.25">
      <c r="A29" s="50" t="s">
        <v>124</v>
      </c>
      <c r="B29" s="75" t="s">
        <v>125</v>
      </c>
      <c r="D29" s="40" t="s">
        <v>338</v>
      </c>
      <c r="E29" s="41" t="s">
        <v>324</v>
      </c>
    </row>
    <row r="30" spans="1:6" ht="13.8" x14ac:dyDescent="0.25">
      <c r="A30" s="50" t="s">
        <v>126</v>
      </c>
      <c r="B30" s="75" t="s">
        <v>62</v>
      </c>
      <c r="D30" s="40" t="s">
        <v>339</v>
      </c>
      <c r="E30" s="41" t="s">
        <v>326</v>
      </c>
    </row>
    <row r="31" spans="1:6" ht="13.8" x14ac:dyDescent="0.25">
      <c r="A31" s="50" t="s">
        <v>58</v>
      </c>
      <c r="B31" s="75" t="s">
        <v>59</v>
      </c>
      <c r="D31" s="40" t="s">
        <v>340</v>
      </c>
      <c r="E31" s="41" t="s">
        <v>325</v>
      </c>
    </row>
    <row r="32" spans="1:6" ht="13.8" x14ac:dyDescent="0.25">
      <c r="A32" s="50" t="s">
        <v>127</v>
      </c>
      <c r="B32" s="75" t="s">
        <v>51</v>
      </c>
      <c r="D32" s="40" t="s">
        <v>341</v>
      </c>
      <c r="E32" s="41" t="s">
        <v>327</v>
      </c>
    </row>
    <row r="33" spans="1:5" ht="13.8" x14ac:dyDescent="0.25">
      <c r="A33" s="76" t="s">
        <v>128</v>
      </c>
      <c r="B33" s="75" t="s">
        <v>79</v>
      </c>
      <c r="D33" s="40" t="s">
        <v>342</v>
      </c>
      <c r="E33" s="41" t="s">
        <v>328</v>
      </c>
    </row>
    <row r="34" spans="1:5" ht="13.8" x14ac:dyDescent="0.25">
      <c r="A34" s="76" t="s">
        <v>129</v>
      </c>
      <c r="B34" s="75" t="s">
        <v>63</v>
      </c>
      <c r="D34" s="40" t="s">
        <v>343</v>
      </c>
      <c r="E34" s="41" t="s">
        <v>329</v>
      </c>
    </row>
    <row r="35" spans="1:5" ht="13.8" x14ac:dyDescent="0.25">
      <c r="A35" s="76" t="s">
        <v>130</v>
      </c>
      <c r="B35" s="75" t="s">
        <v>131</v>
      </c>
      <c r="D35" s="40" t="s">
        <v>344</v>
      </c>
      <c r="E35" s="41" t="s">
        <v>75</v>
      </c>
    </row>
    <row r="36" spans="1:5" ht="13.8" x14ac:dyDescent="0.25">
      <c r="A36" s="40" t="s">
        <v>314</v>
      </c>
      <c r="B36" s="125" t="s">
        <v>318</v>
      </c>
      <c r="D36" s="40" t="s">
        <v>345</v>
      </c>
      <c r="E36" s="41" t="s">
        <v>75</v>
      </c>
    </row>
    <row r="37" spans="1:5" ht="13.8" x14ac:dyDescent="0.25">
      <c r="A37" s="40" t="s">
        <v>315</v>
      </c>
      <c r="B37" s="125" t="s">
        <v>316</v>
      </c>
      <c r="D37" s="40" t="s">
        <v>346</v>
      </c>
      <c r="E37" s="41" t="s">
        <v>75</v>
      </c>
    </row>
    <row r="38" spans="1:5" ht="13.8" x14ac:dyDescent="0.25">
      <c r="A38" s="50" t="s">
        <v>170</v>
      </c>
      <c r="B38" s="75" t="s">
        <v>171</v>
      </c>
      <c r="D38" s="40" t="s">
        <v>347</v>
      </c>
      <c r="E38" s="41" t="s">
        <v>75</v>
      </c>
    </row>
    <row r="39" spans="1:5" ht="13.8" x14ac:dyDescent="0.25">
      <c r="A39" s="76" t="s">
        <v>132</v>
      </c>
      <c r="B39" s="75" t="s">
        <v>133</v>
      </c>
      <c r="D39" s="40" t="s">
        <v>348</v>
      </c>
      <c r="E39" s="41" t="s">
        <v>75</v>
      </c>
    </row>
    <row r="40" spans="1:5" ht="13.8" x14ac:dyDescent="0.25">
      <c r="A40" s="76" t="s">
        <v>134</v>
      </c>
      <c r="B40" s="75" t="s">
        <v>135</v>
      </c>
      <c r="D40" s="40" t="s">
        <v>349</v>
      </c>
      <c r="E40" s="41" t="s">
        <v>75</v>
      </c>
    </row>
    <row r="41" spans="1:5" ht="13.8" x14ac:dyDescent="0.25">
      <c r="A41" s="50" t="s">
        <v>136</v>
      </c>
      <c r="B41" s="75" t="s">
        <v>137</v>
      </c>
      <c r="D41" s="40" t="s">
        <v>350</v>
      </c>
      <c r="E41" s="41" t="s">
        <v>75</v>
      </c>
    </row>
    <row r="42" spans="1:5" ht="13.8" x14ac:dyDescent="0.25">
      <c r="A42" s="50" t="s">
        <v>138</v>
      </c>
      <c r="B42" s="75" t="s">
        <v>139</v>
      </c>
      <c r="D42" s="40" t="s">
        <v>351</v>
      </c>
      <c r="E42" s="41" t="s">
        <v>75</v>
      </c>
    </row>
    <row r="43" spans="1:5" ht="13.8" x14ac:dyDescent="0.25">
      <c r="A43" s="50" t="s">
        <v>140</v>
      </c>
      <c r="B43" s="75" t="s">
        <v>141</v>
      </c>
      <c r="D43" s="40" t="s">
        <v>352</v>
      </c>
      <c r="E43" s="41" t="s">
        <v>75</v>
      </c>
    </row>
    <row r="44" spans="1:5" ht="13.8" x14ac:dyDescent="0.25">
      <c r="A44" s="50" t="s">
        <v>142</v>
      </c>
      <c r="B44" s="75" t="s">
        <v>143</v>
      </c>
      <c r="D44" s="40" t="s">
        <v>353</v>
      </c>
      <c r="E44" s="41" t="s">
        <v>75</v>
      </c>
    </row>
    <row r="45" spans="1:5" ht="13.8" x14ac:dyDescent="0.25">
      <c r="A45" s="50" t="s">
        <v>144</v>
      </c>
      <c r="B45" s="75" t="s">
        <v>145</v>
      </c>
      <c r="D45" s="40" t="s">
        <v>354</v>
      </c>
      <c r="E45" s="41" t="s">
        <v>75</v>
      </c>
    </row>
    <row r="46" spans="1:5" ht="13.8" x14ac:dyDescent="0.25">
      <c r="A46" s="50" t="s">
        <v>146</v>
      </c>
      <c r="B46" s="75" t="s">
        <v>147</v>
      </c>
      <c r="D46" s="40" t="s">
        <v>355</v>
      </c>
      <c r="E46" s="41" t="s">
        <v>75</v>
      </c>
    </row>
    <row r="47" spans="1:5" ht="13.8" x14ac:dyDescent="0.25">
      <c r="A47" s="50" t="s">
        <v>148</v>
      </c>
      <c r="B47" s="75" t="s">
        <v>149</v>
      </c>
      <c r="D47" s="40" t="s">
        <v>356</v>
      </c>
      <c r="E47" s="41" t="s">
        <v>75</v>
      </c>
    </row>
    <row r="48" spans="1:5" ht="13.8" x14ac:dyDescent="0.25">
      <c r="A48" s="50" t="s">
        <v>150</v>
      </c>
      <c r="B48" s="75" t="s">
        <v>151</v>
      </c>
      <c r="D48" s="40" t="s">
        <v>357</v>
      </c>
      <c r="E48" s="41" t="s">
        <v>75</v>
      </c>
    </row>
    <row r="49" spans="1:5" ht="13.8" x14ac:dyDescent="0.25">
      <c r="A49" s="50" t="s">
        <v>152</v>
      </c>
      <c r="B49" s="75" t="s">
        <v>153</v>
      </c>
      <c r="D49" s="40" t="s">
        <v>358</v>
      </c>
      <c r="E49" s="41" t="s">
        <v>75</v>
      </c>
    </row>
    <row r="50" spans="1:5" ht="13.8" x14ac:dyDescent="0.25">
      <c r="A50" s="50" t="s">
        <v>154</v>
      </c>
      <c r="B50" s="75" t="s">
        <v>155</v>
      </c>
      <c r="D50" s="40" t="s">
        <v>359</v>
      </c>
      <c r="E50" s="41" t="s">
        <v>75</v>
      </c>
    </row>
    <row r="51" spans="1:5" ht="13.8" x14ac:dyDescent="0.25">
      <c r="A51" s="50" t="s">
        <v>156</v>
      </c>
      <c r="B51" s="75" t="s">
        <v>157</v>
      </c>
      <c r="D51" s="40" t="s">
        <v>360</v>
      </c>
      <c r="E51" s="41" t="s">
        <v>75</v>
      </c>
    </row>
    <row r="52" spans="1:5" ht="13.8" x14ac:dyDescent="0.25">
      <c r="A52" s="50" t="s">
        <v>158</v>
      </c>
      <c r="B52" s="75" t="s">
        <v>159</v>
      </c>
      <c r="D52" s="40" t="s">
        <v>361</v>
      </c>
      <c r="E52" s="41" t="s">
        <v>75</v>
      </c>
    </row>
    <row r="53" spans="1:5" ht="13.8" x14ac:dyDescent="0.25">
      <c r="A53" s="50" t="s">
        <v>160</v>
      </c>
      <c r="B53" s="75" t="s">
        <v>161</v>
      </c>
      <c r="D53" s="40" t="s">
        <v>362</v>
      </c>
      <c r="E53" s="41" t="s">
        <v>75</v>
      </c>
    </row>
    <row r="54" spans="1:5" ht="13.8" x14ac:dyDescent="0.25">
      <c r="A54" s="50" t="s">
        <v>162</v>
      </c>
      <c r="B54" s="75" t="s">
        <v>163</v>
      </c>
      <c r="D54" s="40" t="s">
        <v>363</v>
      </c>
      <c r="E54" s="41" t="s">
        <v>75</v>
      </c>
    </row>
    <row r="55" spans="1:5" ht="13.8" x14ac:dyDescent="0.25">
      <c r="A55" s="50" t="s">
        <v>164</v>
      </c>
      <c r="B55" s="75" t="s">
        <v>165</v>
      </c>
      <c r="D55" s="40" t="s">
        <v>364</v>
      </c>
      <c r="E55" s="41" t="s">
        <v>75</v>
      </c>
    </row>
    <row r="56" spans="1:5" ht="13.8" x14ac:dyDescent="0.25">
      <c r="A56" s="50" t="s">
        <v>166</v>
      </c>
      <c r="B56" s="75" t="s">
        <v>167</v>
      </c>
      <c r="D56" s="40" t="s">
        <v>365</v>
      </c>
      <c r="E56" s="41" t="s">
        <v>75</v>
      </c>
    </row>
    <row r="57" spans="1:5" ht="13.8" x14ac:dyDescent="0.25">
      <c r="A57" s="50" t="s">
        <v>168</v>
      </c>
      <c r="B57" s="75" t="s">
        <v>169</v>
      </c>
      <c r="D57" s="40" t="s">
        <v>366</v>
      </c>
      <c r="E57" s="41" t="s">
        <v>75</v>
      </c>
    </row>
    <row r="58" spans="1:5" ht="13.8" x14ac:dyDescent="0.25">
      <c r="A58" s="50" t="s">
        <v>172</v>
      </c>
      <c r="B58" s="75" t="s">
        <v>173</v>
      </c>
      <c r="D58" s="40" t="s">
        <v>367</v>
      </c>
      <c r="E58" s="41" t="s">
        <v>75</v>
      </c>
    </row>
    <row r="59" spans="1:5" ht="13.8" x14ac:dyDescent="0.25">
      <c r="A59" s="50" t="s">
        <v>174</v>
      </c>
      <c r="B59" s="75" t="s">
        <v>175</v>
      </c>
      <c r="D59" s="40" t="s">
        <v>368</v>
      </c>
      <c r="E59" s="41" t="s">
        <v>75</v>
      </c>
    </row>
    <row r="60" spans="1:5" ht="14.4" thickBot="1" x14ac:dyDescent="0.3">
      <c r="A60" s="50" t="s">
        <v>176</v>
      </c>
      <c r="B60" s="75" t="s">
        <v>177</v>
      </c>
      <c r="D60" s="42" t="s">
        <v>369</v>
      </c>
      <c r="E60" s="38" t="s">
        <v>75</v>
      </c>
    </row>
    <row r="61" spans="1:5" ht="13.8" x14ac:dyDescent="0.25">
      <c r="A61" s="50" t="s">
        <v>178</v>
      </c>
      <c r="B61" s="75" t="s">
        <v>179</v>
      </c>
    </row>
    <row r="62" spans="1:5" ht="13.8" x14ac:dyDescent="0.25">
      <c r="A62" s="50" t="s">
        <v>180</v>
      </c>
      <c r="B62" s="75" t="s">
        <v>181</v>
      </c>
    </row>
    <row r="63" spans="1:5" ht="13.8" x14ac:dyDescent="0.25">
      <c r="A63" s="50" t="s">
        <v>182</v>
      </c>
      <c r="B63" s="75" t="s">
        <v>183</v>
      </c>
    </row>
    <row r="64" spans="1:5" ht="13.8" x14ac:dyDescent="0.25">
      <c r="A64" s="50" t="s">
        <v>184</v>
      </c>
      <c r="B64" s="75" t="s">
        <v>185</v>
      </c>
    </row>
    <row r="65" spans="1:2" ht="13.8" x14ac:dyDescent="0.25">
      <c r="A65" s="50" t="s">
        <v>186</v>
      </c>
      <c r="B65" s="75" t="s">
        <v>187</v>
      </c>
    </row>
    <row r="66" spans="1:2" ht="13.8" x14ac:dyDescent="0.25">
      <c r="A66" s="50" t="s">
        <v>188</v>
      </c>
      <c r="B66" s="75" t="s">
        <v>189</v>
      </c>
    </row>
    <row r="67" spans="1:2" ht="13.8" x14ac:dyDescent="0.25">
      <c r="A67" s="50" t="s">
        <v>190</v>
      </c>
      <c r="B67" s="75" t="s">
        <v>191</v>
      </c>
    </row>
    <row r="68" spans="1:2" ht="13.8" x14ac:dyDescent="0.25">
      <c r="A68" s="50" t="s">
        <v>192</v>
      </c>
      <c r="B68" s="75" t="s">
        <v>193</v>
      </c>
    </row>
    <row r="69" spans="1:2" ht="13.8" x14ac:dyDescent="0.25">
      <c r="A69" s="50" t="s">
        <v>194</v>
      </c>
      <c r="B69" s="75" t="s">
        <v>195</v>
      </c>
    </row>
    <row r="70" spans="1:2" ht="13.8" x14ac:dyDescent="0.25">
      <c r="A70" s="50" t="s">
        <v>196</v>
      </c>
      <c r="B70" s="75" t="s">
        <v>197</v>
      </c>
    </row>
    <row r="71" spans="1:2" ht="13.8" x14ac:dyDescent="0.25">
      <c r="A71" s="50" t="s">
        <v>198</v>
      </c>
      <c r="B71" s="75" t="s">
        <v>199</v>
      </c>
    </row>
    <row r="72" spans="1:2" ht="13.8" x14ac:dyDescent="0.25">
      <c r="A72" s="50" t="s">
        <v>200</v>
      </c>
      <c r="B72" s="75" t="s">
        <v>201</v>
      </c>
    </row>
    <row r="73" spans="1:2" ht="13.8" x14ac:dyDescent="0.25">
      <c r="A73" s="50" t="s">
        <v>202</v>
      </c>
      <c r="B73" s="75" t="s">
        <v>203</v>
      </c>
    </row>
    <row r="74" spans="1:2" ht="13.8" x14ac:dyDescent="0.25">
      <c r="A74" s="50" t="s">
        <v>204</v>
      </c>
      <c r="B74" s="75" t="s">
        <v>205</v>
      </c>
    </row>
    <row r="75" spans="1:2" ht="13.8" x14ac:dyDescent="0.25">
      <c r="A75" s="50" t="s">
        <v>206</v>
      </c>
      <c r="B75" s="75" t="s">
        <v>207</v>
      </c>
    </row>
    <row r="76" spans="1:2" ht="13.8" x14ac:dyDescent="0.25">
      <c r="A76" s="50" t="s">
        <v>208</v>
      </c>
      <c r="B76" s="75" t="s">
        <v>209</v>
      </c>
    </row>
    <row r="77" spans="1:2" ht="13.8" x14ac:dyDescent="0.25">
      <c r="A77" s="50" t="s">
        <v>210</v>
      </c>
      <c r="B77" s="75" t="s">
        <v>211</v>
      </c>
    </row>
    <row r="78" spans="1:2" ht="13.8" x14ac:dyDescent="0.25">
      <c r="A78" s="50" t="s">
        <v>212</v>
      </c>
      <c r="B78" s="75" t="s">
        <v>213</v>
      </c>
    </row>
    <row r="79" spans="1:2" ht="13.8" x14ac:dyDescent="0.25">
      <c r="A79" s="50" t="s">
        <v>214</v>
      </c>
      <c r="B79" s="75" t="s">
        <v>215</v>
      </c>
    </row>
    <row r="80" spans="1:2" ht="13.8" x14ac:dyDescent="0.25">
      <c r="A80" s="50" t="s">
        <v>216</v>
      </c>
      <c r="B80" s="75" t="s">
        <v>217</v>
      </c>
    </row>
    <row r="81" spans="1:2" ht="13.8" x14ac:dyDescent="0.25">
      <c r="A81" s="50" t="s">
        <v>218</v>
      </c>
      <c r="B81" s="75" t="s">
        <v>219</v>
      </c>
    </row>
    <row r="82" spans="1:2" ht="13.8" x14ac:dyDescent="0.25">
      <c r="A82" s="50" t="s">
        <v>220</v>
      </c>
      <c r="B82" s="75" t="s">
        <v>221</v>
      </c>
    </row>
    <row r="83" spans="1:2" ht="13.8" x14ac:dyDescent="0.25">
      <c r="A83" s="50" t="s">
        <v>222</v>
      </c>
      <c r="B83" s="75" t="s">
        <v>223</v>
      </c>
    </row>
    <row r="84" spans="1:2" ht="13.8" x14ac:dyDescent="0.25">
      <c r="A84" s="50" t="s">
        <v>224</v>
      </c>
      <c r="B84" s="75" t="s">
        <v>225</v>
      </c>
    </row>
    <row r="85" spans="1:2" ht="13.8" x14ac:dyDescent="0.25">
      <c r="A85" s="50" t="s">
        <v>226</v>
      </c>
      <c r="B85" s="75" t="s">
        <v>227</v>
      </c>
    </row>
    <row r="86" spans="1:2" ht="13.8" x14ac:dyDescent="0.25">
      <c r="A86" s="50" t="s">
        <v>228</v>
      </c>
      <c r="B86" s="75" t="s">
        <v>229</v>
      </c>
    </row>
    <row r="87" spans="1:2" ht="13.8" x14ac:dyDescent="0.25">
      <c r="A87" s="50" t="s">
        <v>230</v>
      </c>
      <c r="B87" s="75" t="s">
        <v>231</v>
      </c>
    </row>
    <row r="88" spans="1:2" ht="13.8" x14ac:dyDescent="0.25">
      <c r="A88" s="50" t="s">
        <v>232</v>
      </c>
      <c r="B88" s="75" t="s">
        <v>233</v>
      </c>
    </row>
    <row r="89" spans="1:2" ht="13.8" x14ac:dyDescent="0.25">
      <c r="A89" s="50" t="s">
        <v>234</v>
      </c>
      <c r="B89" s="75" t="s">
        <v>235</v>
      </c>
    </row>
    <row r="90" spans="1:2" ht="13.8" x14ac:dyDescent="0.25">
      <c r="A90" s="50" t="s">
        <v>236</v>
      </c>
      <c r="B90" s="75" t="s">
        <v>237</v>
      </c>
    </row>
    <row r="91" spans="1:2" ht="13.8" x14ac:dyDescent="0.25">
      <c r="A91" s="50" t="s">
        <v>238</v>
      </c>
      <c r="B91" s="75" t="s">
        <v>239</v>
      </c>
    </row>
    <row r="92" spans="1:2" ht="13.8" x14ac:dyDescent="0.25">
      <c r="A92" s="50" t="s">
        <v>240</v>
      </c>
      <c r="B92" s="75" t="s">
        <v>241</v>
      </c>
    </row>
    <row r="93" spans="1:2" ht="13.8" x14ac:dyDescent="0.25">
      <c r="A93" s="50" t="s">
        <v>242</v>
      </c>
      <c r="B93" s="75" t="s">
        <v>243</v>
      </c>
    </row>
    <row r="94" spans="1:2" ht="13.8" x14ac:dyDescent="0.25">
      <c r="A94" s="50" t="s">
        <v>244</v>
      </c>
      <c r="B94" s="75" t="s">
        <v>245</v>
      </c>
    </row>
    <row r="95" spans="1:2" ht="13.8" x14ac:dyDescent="0.25">
      <c r="A95" s="50" t="s">
        <v>246</v>
      </c>
      <c r="B95" s="75" t="s">
        <v>247</v>
      </c>
    </row>
    <row r="96" spans="1:2" ht="13.8" x14ac:dyDescent="0.25">
      <c r="A96" s="50" t="s">
        <v>248</v>
      </c>
      <c r="B96" s="75" t="s">
        <v>249</v>
      </c>
    </row>
    <row r="97" spans="1:2" ht="13.8" x14ac:dyDescent="0.25">
      <c r="A97" s="50" t="s">
        <v>250</v>
      </c>
      <c r="B97" s="75" t="s">
        <v>251</v>
      </c>
    </row>
    <row r="98" spans="1:2" ht="13.8" x14ac:dyDescent="0.25">
      <c r="A98" s="50" t="s">
        <v>252</v>
      </c>
      <c r="B98" s="75" t="s">
        <v>253</v>
      </c>
    </row>
    <row r="99" spans="1:2" ht="13.8" x14ac:dyDescent="0.25">
      <c r="A99" s="50" t="s">
        <v>254</v>
      </c>
      <c r="B99" s="75" t="s">
        <v>255</v>
      </c>
    </row>
    <row r="100" spans="1:2" ht="13.8" x14ac:dyDescent="0.25">
      <c r="A100" s="50" t="s">
        <v>256</v>
      </c>
      <c r="B100" s="75" t="s">
        <v>257</v>
      </c>
    </row>
    <row r="101" spans="1:2" ht="13.8" x14ac:dyDescent="0.25">
      <c r="A101" s="50" t="s">
        <v>258</v>
      </c>
      <c r="B101" s="75" t="s">
        <v>259</v>
      </c>
    </row>
    <row r="102" spans="1:2" ht="13.8" x14ac:dyDescent="0.25">
      <c r="A102" s="50" t="s">
        <v>260</v>
      </c>
      <c r="B102" s="75" t="s">
        <v>261</v>
      </c>
    </row>
    <row r="103" spans="1:2" ht="13.8" x14ac:dyDescent="0.25">
      <c r="A103" s="50" t="s">
        <v>262</v>
      </c>
      <c r="B103" s="75" t="s">
        <v>263</v>
      </c>
    </row>
    <row r="104" spans="1:2" ht="13.8" x14ac:dyDescent="0.25">
      <c r="A104" s="50" t="s">
        <v>264</v>
      </c>
      <c r="B104" s="75" t="s">
        <v>265</v>
      </c>
    </row>
    <row r="105" spans="1:2" ht="13.8" x14ac:dyDescent="0.25">
      <c r="A105" s="50" t="s">
        <v>266</v>
      </c>
      <c r="B105" s="75" t="s">
        <v>267</v>
      </c>
    </row>
    <row r="106" spans="1:2" ht="13.8" x14ac:dyDescent="0.25">
      <c r="A106" s="50" t="s">
        <v>268</v>
      </c>
      <c r="B106" s="75" t="s">
        <v>269</v>
      </c>
    </row>
    <row r="107" spans="1:2" ht="13.8" x14ac:dyDescent="0.25">
      <c r="A107" s="50" t="s">
        <v>270</v>
      </c>
      <c r="B107" s="75" t="s">
        <v>271</v>
      </c>
    </row>
    <row r="108" spans="1:2" ht="13.8" x14ac:dyDescent="0.25">
      <c r="A108" s="50" t="s">
        <v>272</v>
      </c>
      <c r="B108" s="75" t="s">
        <v>273</v>
      </c>
    </row>
    <row r="109" spans="1:2" ht="13.8" x14ac:dyDescent="0.25">
      <c r="A109" s="50" t="s">
        <v>274</v>
      </c>
      <c r="B109" s="75" t="s">
        <v>275</v>
      </c>
    </row>
    <row r="110" spans="1:2" ht="13.8" x14ac:dyDescent="0.25">
      <c r="A110" s="50" t="s">
        <v>276</v>
      </c>
      <c r="B110" s="75" t="s">
        <v>277</v>
      </c>
    </row>
    <row r="111" spans="1:2" ht="13.8" x14ac:dyDescent="0.25">
      <c r="A111" s="50" t="s">
        <v>278</v>
      </c>
      <c r="B111" s="75" t="s">
        <v>279</v>
      </c>
    </row>
    <row r="112" spans="1:2" ht="13.8" x14ac:dyDescent="0.25">
      <c r="A112" s="50" t="s">
        <v>280</v>
      </c>
      <c r="B112" s="75" t="s">
        <v>281</v>
      </c>
    </row>
    <row r="113" spans="1:2" ht="13.8" x14ac:dyDescent="0.25">
      <c r="A113" s="50" t="s">
        <v>282</v>
      </c>
      <c r="B113" s="75" t="s">
        <v>283</v>
      </c>
    </row>
    <row r="114" spans="1:2" ht="13.8" x14ac:dyDescent="0.25">
      <c r="A114" s="50" t="s">
        <v>284</v>
      </c>
      <c r="B114" s="75" t="s">
        <v>285</v>
      </c>
    </row>
    <row r="115" spans="1:2" ht="13.8" x14ac:dyDescent="0.25">
      <c r="A115" s="50" t="s">
        <v>286</v>
      </c>
      <c r="B115" s="75" t="s">
        <v>287</v>
      </c>
    </row>
    <row r="116" spans="1:2" ht="13.8" x14ac:dyDescent="0.25">
      <c r="A116" s="50" t="s">
        <v>288</v>
      </c>
      <c r="B116" s="75" t="s">
        <v>289</v>
      </c>
    </row>
    <row r="117" spans="1:2" ht="13.8" x14ac:dyDescent="0.25">
      <c r="A117" s="50" t="s">
        <v>290</v>
      </c>
      <c r="B117" s="75" t="s">
        <v>291</v>
      </c>
    </row>
    <row r="118" spans="1:2" ht="13.8" x14ac:dyDescent="0.25">
      <c r="A118" s="50" t="s">
        <v>292</v>
      </c>
      <c r="B118" s="75" t="s">
        <v>293</v>
      </c>
    </row>
    <row r="119" spans="1:2" ht="13.8" x14ac:dyDescent="0.25">
      <c r="A119" s="50" t="s">
        <v>294</v>
      </c>
      <c r="B119" s="75" t="s">
        <v>295</v>
      </c>
    </row>
    <row r="120" spans="1:2" ht="13.8" x14ac:dyDescent="0.25">
      <c r="A120" s="50" t="s">
        <v>296</v>
      </c>
      <c r="B120" s="75" t="s">
        <v>295</v>
      </c>
    </row>
    <row r="121" spans="1:2" ht="13.8" x14ac:dyDescent="0.25">
      <c r="A121" s="50" t="s">
        <v>297</v>
      </c>
      <c r="B121" s="75" t="s">
        <v>298</v>
      </c>
    </row>
    <row r="122" spans="1:2" ht="13.8" x14ac:dyDescent="0.25">
      <c r="A122" s="50" t="s">
        <v>299</v>
      </c>
      <c r="B122" s="75" t="s">
        <v>300</v>
      </c>
    </row>
    <row r="123" spans="1:2" ht="13.8" x14ac:dyDescent="0.25">
      <c r="A123" s="50" t="s">
        <v>301</v>
      </c>
      <c r="B123" s="75" t="s">
        <v>302</v>
      </c>
    </row>
    <row r="124" spans="1:2" ht="14.4" thickBot="1" x14ac:dyDescent="0.3">
      <c r="A124" s="51" t="s">
        <v>303</v>
      </c>
      <c r="B124" s="77" t="s">
        <v>304</v>
      </c>
    </row>
    <row r="125" spans="1:2" ht="13.8" x14ac:dyDescent="0.25">
      <c r="A125" s="40" t="s">
        <v>305</v>
      </c>
      <c r="B125" s="125" t="s">
        <v>306</v>
      </c>
    </row>
    <row r="126" spans="1:2" ht="13.8" x14ac:dyDescent="0.25">
      <c r="A126" s="40" t="s">
        <v>305</v>
      </c>
      <c r="B126" s="125" t="s">
        <v>306</v>
      </c>
    </row>
    <row r="127" spans="1:2" ht="13.8" x14ac:dyDescent="0.25">
      <c r="A127" s="40" t="s">
        <v>305</v>
      </c>
      <c r="B127" s="125" t="s">
        <v>306</v>
      </c>
    </row>
    <row r="128" spans="1:2" ht="13.8" x14ac:dyDescent="0.25">
      <c r="A128" s="40" t="s">
        <v>305</v>
      </c>
      <c r="B128" s="125" t="s">
        <v>306</v>
      </c>
    </row>
    <row r="129" spans="1:2" ht="13.8" x14ac:dyDescent="0.25">
      <c r="A129" s="40" t="s">
        <v>305</v>
      </c>
      <c r="B129" s="125" t="s">
        <v>306</v>
      </c>
    </row>
    <row r="130" spans="1:2" ht="13.8" x14ac:dyDescent="0.25">
      <c r="A130" s="40" t="s">
        <v>305</v>
      </c>
      <c r="B130" s="125" t="s">
        <v>306</v>
      </c>
    </row>
    <row r="131" spans="1:2" ht="13.8" x14ac:dyDescent="0.25">
      <c r="A131" s="40" t="s">
        <v>305</v>
      </c>
      <c r="B131" s="125" t="s">
        <v>306</v>
      </c>
    </row>
    <row r="132" spans="1:2" ht="13.8" x14ac:dyDescent="0.25">
      <c r="A132" s="40" t="s">
        <v>305</v>
      </c>
      <c r="B132" s="125" t="s">
        <v>306</v>
      </c>
    </row>
    <row r="133" spans="1:2" ht="13.8" x14ac:dyDescent="0.25">
      <c r="A133" s="40" t="s">
        <v>305</v>
      </c>
      <c r="B133" s="125" t="s">
        <v>306</v>
      </c>
    </row>
    <row r="134" spans="1:2" ht="13.8" x14ac:dyDescent="0.25">
      <c r="A134" s="40" t="s">
        <v>305</v>
      </c>
      <c r="B134" s="125" t="s">
        <v>306</v>
      </c>
    </row>
    <row r="135" spans="1:2" ht="13.8" x14ac:dyDescent="0.25">
      <c r="A135" s="40" t="s">
        <v>305</v>
      </c>
      <c r="B135" s="125" t="s">
        <v>306</v>
      </c>
    </row>
    <row r="136" spans="1:2" ht="13.8" x14ac:dyDescent="0.25">
      <c r="A136" s="40" t="s">
        <v>305</v>
      </c>
      <c r="B136" s="125" t="s">
        <v>306</v>
      </c>
    </row>
    <row r="137" spans="1:2" ht="13.8" x14ac:dyDescent="0.25">
      <c r="A137" s="40" t="s">
        <v>305</v>
      </c>
      <c r="B137" s="125" t="s">
        <v>306</v>
      </c>
    </row>
    <row r="138" spans="1:2" ht="13.8" x14ac:dyDescent="0.25">
      <c r="A138" s="40" t="s">
        <v>305</v>
      </c>
      <c r="B138" s="125" t="s">
        <v>306</v>
      </c>
    </row>
    <row r="139" spans="1:2" ht="13.8" x14ac:dyDescent="0.25">
      <c r="A139" s="40" t="s">
        <v>305</v>
      </c>
      <c r="B139" s="125" t="s">
        <v>306</v>
      </c>
    </row>
    <row r="140" spans="1:2" ht="13.8" x14ac:dyDescent="0.25">
      <c r="A140" s="40" t="s">
        <v>305</v>
      </c>
      <c r="B140" s="125" t="s">
        <v>306</v>
      </c>
    </row>
    <row r="141" spans="1:2" ht="13.8" x14ac:dyDescent="0.25">
      <c r="A141" s="40" t="s">
        <v>305</v>
      </c>
      <c r="B141" s="125" t="s">
        <v>306</v>
      </c>
    </row>
  </sheetData>
  <sheetProtection formatCells="0" formatColumns="0" formatRows="0"/>
  <sortState xmlns:xlrd2="http://schemas.microsoft.com/office/spreadsheetml/2017/richdata2" ref="A17:B31">
    <sortCondition ref="B17:B31"/>
  </sortState>
  <mergeCells count="5">
    <mergeCell ref="B8:C8"/>
    <mergeCell ref="F8:G8"/>
    <mergeCell ref="D8:E8"/>
    <mergeCell ref="A8:A9"/>
    <mergeCell ref="D19:E19"/>
  </mergeCells>
  <hyperlinks>
    <hyperlink ref="E17" r:id="rId1" xr:uid="{00000000-0004-0000-0000-000000000000}"/>
  </hyperlinks>
  <pageMargins left="0.7" right="0.7" top="0.75" bottom="0.75" header="0.3" footer="0.3"/>
  <pageSetup paperSize="9" scale="37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3"/>
  <sheetViews>
    <sheetView workbookViewId="0">
      <selection activeCell="H8" sqref="H8"/>
    </sheetView>
  </sheetViews>
  <sheetFormatPr baseColWidth="10" defaultColWidth="11.44140625" defaultRowHeight="13.2" x14ac:dyDescent="0.25"/>
  <cols>
    <col min="1" max="4" width="14.88671875" customWidth="1"/>
    <col min="6" max="6" width="12.33203125" style="78" hidden="1" customWidth="1"/>
  </cols>
  <sheetData>
    <row r="1" spans="1:6" ht="13.8" thickBot="1" x14ac:dyDescent="0.3">
      <c r="A1" s="23"/>
    </row>
    <row r="2" spans="1:6" ht="21" customHeight="1" thickBot="1" x14ac:dyDescent="0.3">
      <c r="A2" s="293" t="s">
        <v>99</v>
      </c>
      <c r="B2" s="294"/>
      <c r="C2" s="294"/>
      <c r="D2" s="294"/>
      <c r="E2" s="295"/>
    </row>
    <row r="3" spans="1:6" ht="10.5" customHeight="1" thickBot="1" x14ac:dyDescent="0.3"/>
    <row r="4" spans="1:6" s="49" customFormat="1" ht="27" customHeight="1" thickBot="1" x14ac:dyDescent="0.3">
      <c r="A4" s="148" t="s">
        <v>80</v>
      </c>
      <c r="B4" s="149" t="s">
        <v>21</v>
      </c>
      <c r="C4" s="149" t="s">
        <v>94</v>
      </c>
      <c r="D4" s="149" t="s">
        <v>95</v>
      </c>
      <c r="E4" s="149" t="s">
        <v>308</v>
      </c>
      <c r="F4" s="150" t="s">
        <v>93</v>
      </c>
    </row>
    <row r="5" spans="1:6" ht="13.5" customHeight="1" x14ac:dyDescent="0.25">
      <c r="A5" s="136">
        <f t="shared" ref="A5:A40" si="0">YEAR(F5)</f>
        <v>2024</v>
      </c>
      <c r="B5" s="137">
        <f t="shared" ref="B5:B40" si="1">MONTH(F5)</f>
        <v>1</v>
      </c>
      <c r="C5" s="228">
        <f>SUMIFS('TOTALES DIARIOS'!$G$4:$G$508,'TOTALES DIARIOS'!$L$4:$L$508,'TOTALES MENSUALES'!B5,'TOTALES DIARIOS'!$K$4:$K$508,'TOTALES MENSUALES'!A5)</f>
        <v>1.5</v>
      </c>
      <c r="D5" s="138">
        <f>SUMIFS('TOTALES DIARIOS'!$H$4:$H$508,'TOTALES DIARIOS'!$L$4:$L$508,'TOTALES MENSUALES'!B5,'TOTALES DIARIOS'!$K$4:$K$508,'TOTALES MENSUALES'!A5)</f>
        <v>2.5</v>
      </c>
      <c r="E5" s="139">
        <f t="shared" ref="E5:E40" si="2">IF(C5&gt;45,C5-45,0)</f>
        <v>0</v>
      </c>
      <c r="F5" s="151">
        <f>DATEVALUE(CONCATENATE(1,"/",MONTH('TOTALES DIARIOS'!A4),"/",YEAR('TOTALES DIARIOS'!A4)))</f>
        <v>45292</v>
      </c>
    </row>
    <row r="6" spans="1:6" ht="13.5" customHeight="1" x14ac:dyDescent="0.25">
      <c r="A6" s="140">
        <f t="shared" si="0"/>
        <v>2024</v>
      </c>
      <c r="B6" s="141">
        <f t="shared" si="1"/>
        <v>2</v>
      </c>
      <c r="C6" s="229">
        <f>SUMIFS('TOTALES DIARIOS'!$G$4:$G$508,'TOTALES DIARIOS'!$L$4:$L$508,'TOTALES MENSUALES'!B6,'TOTALES DIARIOS'!$K$4:$K$508,'TOTALES MENSUALES'!A6)</f>
        <v>0</v>
      </c>
      <c r="D6" s="142">
        <f>SUMIFS('TOTALES DIARIOS'!$H$4:$H$508,'TOTALES DIARIOS'!$L$4:$L$508,'TOTALES MENSUALES'!B6,'TOTALES DIARIOS'!$K$4:$K$508,'TOTALES MENSUALES'!A6)</f>
        <v>0</v>
      </c>
      <c r="E6" s="143">
        <f t="shared" si="2"/>
        <v>0</v>
      </c>
      <c r="F6" s="151">
        <f>DATE(A5,B5,32)</f>
        <v>45323</v>
      </c>
    </row>
    <row r="7" spans="1:6" ht="13.5" customHeight="1" x14ac:dyDescent="0.25">
      <c r="A7" s="140">
        <f t="shared" si="0"/>
        <v>2024</v>
      </c>
      <c r="B7" s="141">
        <f t="shared" si="1"/>
        <v>3</v>
      </c>
      <c r="C7" s="229">
        <f>SUMIFS('TOTALES DIARIOS'!$G$4:$G$508,'TOTALES DIARIOS'!$L$4:$L$508,'TOTALES MENSUALES'!B7,'TOTALES DIARIOS'!$K$4:$K$508,'TOTALES MENSUALES'!A7)</f>
        <v>0</v>
      </c>
      <c r="D7" s="142">
        <f>SUMIFS('TOTALES DIARIOS'!$H$4:$H$508,'TOTALES DIARIOS'!$L$4:$L$508,'TOTALES MENSUALES'!B7,'TOTALES DIARIOS'!$K$4:$K$508,'TOTALES MENSUALES'!A7)</f>
        <v>0</v>
      </c>
      <c r="E7" s="143">
        <f t="shared" si="2"/>
        <v>0</v>
      </c>
      <c r="F7" s="151">
        <f t="shared" ref="F7:F19" si="3">F6+31</f>
        <v>45354</v>
      </c>
    </row>
    <row r="8" spans="1:6" ht="13.5" customHeight="1" x14ac:dyDescent="0.25">
      <c r="A8" s="140">
        <f t="shared" si="0"/>
        <v>2024</v>
      </c>
      <c r="B8" s="141">
        <f t="shared" si="1"/>
        <v>4</v>
      </c>
      <c r="C8" s="229">
        <f>SUMIFS('TOTALES DIARIOS'!$G$4:$G$508,'TOTALES DIARIOS'!$L$4:$L$508,'TOTALES MENSUALES'!B8,'TOTALES DIARIOS'!$K$4:$K$508,'TOTALES MENSUALES'!A8)</f>
        <v>0</v>
      </c>
      <c r="D8" s="142">
        <f>SUMIFS('TOTALES DIARIOS'!$H$4:$H$508,'TOTALES DIARIOS'!$L$4:$L$508,'TOTALES MENSUALES'!B8,'TOTALES DIARIOS'!$K$4:$K$508,'TOTALES MENSUALES'!A8)</f>
        <v>0</v>
      </c>
      <c r="E8" s="143">
        <f t="shared" si="2"/>
        <v>0</v>
      </c>
      <c r="F8" s="151">
        <f t="shared" si="3"/>
        <v>45385</v>
      </c>
    </row>
    <row r="9" spans="1:6" x14ac:dyDescent="0.25">
      <c r="A9" s="140">
        <f t="shared" si="0"/>
        <v>2024</v>
      </c>
      <c r="B9" s="141">
        <f t="shared" si="1"/>
        <v>5</v>
      </c>
      <c r="C9" s="229">
        <f>SUMIFS('TOTALES DIARIOS'!$G$4:$G$508,'TOTALES DIARIOS'!$L$4:$L$508,'TOTALES MENSUALES'!B9,'TOTALES DIARIOS'!$K$4:$K$508,'TOTALES MENSUALES'!A9)</f>
        <v>0</v>
      </c>
      <c r="D9" s="142">
        <f>SUMIFS('TOTALES DIARIOS'!$H$4:$H$508,'TOTALES DIARIOS'!$L$4:$L$508,'TOTALES MENSUALES'!B9,'TOTALES DIARIOS'!$K$4:$K$508,'TOTALES MENSUALES'!A9)</f>
        <v>0</v>
      </c>
      <c r="E9" s="143">
        <f t="shared" si="2"/>
        <v>0</v>
      </c>
      <c r="F9" s="151">
        <f t="shared" si="3"/>
        <v>45416</v>
      </c>
    </row>
    <row r="10" spans="1:6" x14ac:dyDescent="0.25">
      <c r="A10" s="140">
        <f t="shared" si="0"/>
        <v>2024</v>
      </c>
      <c r="B10" s="141">
        <f t="shared" si="1"/>
        <v>6</v>
      </c>
      <c r="C10" s="229">
        <f>SUMIFS('TOTALES DIARIOS'!$G$4:$G$508,'TOTALES DIARIOS'!$L$4:$L$508,'TOTALES MENSUALES'!B10,'TOTALES DIARIOS'!$K$4:$K$508,'TOTALES MENSUALES'!A10)</f>
        <v>0</v>
      </c>
      <c r="D10" s="142">
        <f>SUMIFS('TOTALES DIARIOS'!$H$4:$H$508,'TOTALES DIARIOS'!$L$4:$L$508,'TOTALES MENSUALES'!B10,'TOTALES DIARIOS'!$K$4:$K$508,'TOTALES MENSUALES'!A10)</f>
        <v>0</v>
      </c>
      <c r="E10" s="143">
        <f t="shared" si="2"/>
        <v>0</v>
      </c>
      <c r="F10" s="151">
        <f t="shared" si="3"/>
        <v>45447</v>
      </c>
    </row>
    <row r="11" spans="1:6" x14ac:dyDescent="0.25">
      <c r="A11" s="140">
        <f t="shared" si="0"/>
        <v>2024</v>
      </c>
      <c r="B11" s="141">
        <f t="shared" si="1"/>
        <v>7</v>
      </c>
      <c r="C11" s="229">
        <f>SUMIFS('TOTALES DIARIOS'!$G$4:$G$508,'TOTALES DIARIOS'!$L$4:$L$508,'TOTALES MENSUALES'!B11,'TOTALES DIARIOS'!$K$4:$K$508,'TOTALES MENSUALES'!A11)</f>
        <v>0</v>
      </c>
      <c r="D11" s="142">
        <f>SUMIFS('TOTALES DIARIOS'!$H$4:$H$508,'TOTALES DIARIOS'!$L$4:$L$508,'TOTALES MENSUALES'!B11,'TOTALES DIARIOS'!$K$4:$K$508,'TOTALES MENSUALES'!A11)</f>
        <v>0</v>
      </c>
      <c r="E11" s="143">
        <f t="shared" si="2"/>
        <v>0</v>
      </c>
      <c r="F11" s="151">
        <f t="shared" si="3"/>
        <v>45478</v>
      </c>
    </row>
    <row r="12" spans="1:6" x14ac:dyDescent="0.25">
      <c r="A12" s="140">
        <f t="shared" si="0"/>
        <v>2024</v>
      </c>
      <c r="B12" s="141">
        <f t="shared" si="1"/>
        <v>8</v>
      </c>
      <c r="C12" s="229">
        <f>SUMIFS('TOTALES DIARIOS'!$G$4:$G$508,'TOTALES DIARIOS'!$L$4:$L$508,'TOTALES MENSUALES'!B12,'TOTALES DIARIOS'!$K$4:$K$508,'TOTALES MENSUALES'!A12)</f>
        <v>0</v>
      </c>
      <c r="D12" s="142">
        <f>SUMIFS('TOTALES DIARIOS'!$H$4:$H$508,'TOTALES DIARIOS'!$L$4:$L$508,'TOTALES MENSUALES'!B12,'TOTALES DIARIOS'!$K$4:$K$508,'TOTALES MENSUALES'!A12)</f>
        <v>0</v>
      </c>
      <c r="E12" s="143">
        <f t="shared" si="2"/>
        <v>0</v>
      </c>
      <c r="F12" s="151">
        <f t="shared" si="3"/>
        <v>45509</v>
      </c>
    </row>
    <row r="13" spans="1:6" x14ac:dyDescent="0.25">
      <c r="A13" s="140">
        <f t="shared" si="0"/>
        <v>2024</v>
      </c>
      <c r="B13" s="141">
        <f t="shared" si="1"/>
        <v>9</v>
      </c>
      <c r="C13" s="229">
        <f>SUMIFS('TOTALES DIARIOS'!$G$4:$G$508,'TOTALES DIARIOS'!$L$4:$L$508,'TOTALES MENSUALES'!B13,'TOTALES DIARIOS'!$K$4:$K$508,'TOTALES MENSUALES'!A13)</f>
        <v>0</v>
      </c>
      <c r="D13" s="142">
        <f>SUMIFS('TOTALES DIARIOS'!$H$4:$H$508,'TOTALES DIARIOS'!$L$4:$L$508,'TOTALES MENSUALES'!B13,'TOTALES DIARIOS'!$K$4:$K$508,'TOTALES MENSUALES'!A13)</f>
        <v>0</v>
      </c>
      <c r="E13" s="143">
        <f t="shared" si="2"/>
        <v>0</v>
      </c>
      <c r="F13" s="151">
        <f t="shared" si="3"/>
        <v>45540</v>
      </c>
    </row>
    <row r="14" spans="1:6" x14ac:dyDescent="0.25">
      <c r="A14" s="140">
        <f t="shared" si="0"/>
        <v>2024</v>
      </c>
      <c r="B14" s="141">
        <f t="shared" si="1"/>
        <v>10</v>
      </c>
      <c r="C14" s="229">
        <f>SUMIFS('TOTALES DIARIOS'!$G$4:$G$508,'TOTALES DIARIOS'!$L$4:$L$508,'TOTALES MENSUALES'!B14,'TOTALES DIARIOS'!$K$4:$K$508,'TOTALES MENSUALES'!A14)</f>
        <v>0</v>
      </c>
      <c r="D14" s="142">
        <f>SUMIFS('TOTALES DIARIOS'!$H$4:$H$508,'TOTALES DIARIOS'!$L$4:$L$508,'TOTALES MENSUALES'!B14,'TOTALES DIARIOS'!$K$4:$K$508,'TOTALES MENSUALES'!A14)</f>
        <v>0</v>
      </c>
      <c r="E14" s="143">
        <f t="shared" si="2"/>
        <v>0</v>
      </c>
      <c r="F14" s="151">
        <f t="shared" si="3"/>
        <v>45571</v>
      </c>
    </row>
    <row r="15" spans="1:6" x14ac:dyDescent="0.25">
      <c r="A15" s="140">
        <f t="shared" si="0"/>
        <v>2024</v>
      </c>
      <c r="B15" s="141">
        <f t="shared" si="1"/>
        <v>11</v>
      </c>
      <c r="C15" s="229">
        <f>SUMIFS('TOTALES DIARIOS'!$G$4:$G$508,'TOTALES DIARIOS'!$L$4:$L$508,'TOTALES MENSUALES'!B15,'TOTALES DIARIOS'!$K$4:$K$508,'TOTALES MENSUALES'!A15)</f>
        <v>0</v>
      </c>
      <c r="D15" s="142">
        <f>SUMIFS('TOTALES DIARIOS'!$H$4:$H$508,'TOTALES DIARIOS'!$L$4:$L$508,'TOTALES MENSUALES'!B15,'TOTALES DIARIOS'!$K$4:$K$508,'TOTALES MENSUALES'!A15)</f>
        <v>0</v>
      </c>
      <c r="E15" s="143">
        <f t="shared" si="2"/>
        <v>0</v>
      </c>
      <c r="F15" s="151">
        <f t="shared" si="3"/>
        <v>45602</v>
      </c>
    </row>
    <row r="16" spans="1:6" x14ac:dyDescent="0.25">
      <c r="A16" s="140">
        <f t="shared" si="0"/>
        <v>2024</v>
      </c>
      <c r="B16" s="141">
        <f t="shared" si="1"/>
        <v>12</v>
      </c>
      <c r="C16" s="229">
        <f>SUMIFS('TOTALES DIARIOS'!$G$4:$G$508,'TOTALES DIARIOS'!$L$4:$L$508,'TOTALES MENSUALES'!B16,'TOTALES DIARIOS'!$K$4:$K$508,'TOTALES MENSUALES'!A16)</f>
        <v>0</v>
      </c>
      <c r="D16" s="142">
        <f>SUMIFS('TOTALES DIARIOS'!$H$4:$H$508,'TOTALES DIARIOS'!$L$4:$L$508,'TOTALES MENSUALES'!B16,'TOTALES DIARIOS'!$K$4:$K$508,'TOTALES MENSUALES'!A16)</f>
        <v>0</v>
      </c>
      <c r="E16" s="143">
        <f t="shared" si="2"/>
        <v>0</v>
      </c>
      <c r="F16" s="151">
        <f t="shared" si="3"/>
        <v>45633</v>
      </c>
    </row>
    <row r="17" spans="1:6" x14ac:dyDescent="0.25">
      <c r="A17" s="140">
        <f t="shared" si="0"/>
        <v>2025</v>
      </c>
      <c r="B17" s="141">
        <f t="shared" si="1"/>
        <v>1</v>
      </c>
      <c r="C17" s="229">
        <f>SUMIFS('TOTALES DIARIOS'!$G$4:$G$508,'TOTALES DIARIOS'!$L$4:$L$508,'TOTALES MENSUALES'!B17,'TOTALES DIARIOS'!$K$4:$K$508,'TOTALES MENSUALES'!A17)</f>
        <v>0</v>
      </c>
      <c r="D17" s="142">
        <f>SUMIFS('TOTALES DIARIOS'!$H$4:$H$508,'TOTALES DIARIOS'!$L$4:$L$508,'TOTALES MENSUALES'!B17,'TOTALES DIARIOS'!$K$4:$K$508,'TOTALES MENSUALES'!A17)</f>
        <v>0</v>
      </c>
      <c r="E17" s="143">
        <f t="shared" si="2"/>
        <v>0</v>
      </c>
      <c r="F17" s="151">
        <f t="shared" si="3"/>
        <v>45664</v>
      </c>
    </row>
    <row r="18" spans="1:6" x14ac:dyDescent="0.25">
      <c r="A18" s="140">
        <f t="shared" si="0"/>
        <v>2025</v>
      </c>
      <c r="B18" s="141">
        <f t="shared" si="1"/>
        <v>2</v>
      </c>
      <c r="C18" s="229">
        <f>SUMIFS('TOTALES DIARIOS'!$G$4:$G$508,'TOTALES DIARIOS'!$L$4:$L$508,'TOTALES MENSUALES'!B18,'TOTALES DIARIOS'!$K$4:$K$508,'TOTALES MENSUALES'!A18)</f>
        <v>0</v>
      </c>
      <c r="D18" s="142">
        <f>SUMIFS('TOTALES DIARIOS'!$H$4:$H$508,'TOTALES DIARIOS'!$L$4:$L$508,'TOTALES MENSUALES'!B18,'TOTALES DIARIOS'!$K$4:$K$508,'TOTALES MENSUALES'!A18)</f>
        <v>0</v>
      </c>
      <c r="E18" s="143">
        <f t="shared" si="2"/>
        <v>0</v>
      </c>
      <c r="F18" s="151">
        <f t="shared" si="3"/>
        <v>45695</v>
      </c>
    </row>
    <row r="19" spans="1:6" x14ac:dyDescent="0.25">
      <c r="A19" s="140">
        <f t="shared" si="0"/>
        <v>2025</v>
      </c>
      <c r="B19" s="141">
        <f t="shared" si="1"/>
        <v>3</v>
      </c>
      <c r="C19" s="229">
        <f>SUMIFS('TOTALES DIARIOS'!$G$4:$G$508,'TOTALES DIARIOS'!$L$4:$L$508,'TOTALES MENSUALES'!B19,'TOTALES DIARIOS'!$K$4:$K$508,'TOTALES MENSUALES'!A19)</f>
        <v>0</v>
      </c>
      <c r="D19" s="142">
        <f>SUMIFS('TOTALES DIARIOS'!$H$4:$H$508,'TOTALES DIARIOS'!$L$4:$L$508,'TOTALES MENSUALES'!B19,'TOTALES DIARIOS'!$K$4:$K$508,'TOTALES MENSUALES'!A19)</f>
        <v>0</v>
      </c>
      <c r="E19" s="143">
        <f t="shared" si="2"/>
        <v>0</v>
      </c>
      <c r="F19" s="151">
        <f t="shared" si="3"/>
        <v>45726</v>
      </c>
    </row>
    <row r="20" spans="1:6" x14ac:dyDescent="0.25">
      <c r="A20" s="140">
        <f t="shared" si="0"/>
        <v>2025</v>
      </c>
      <c r="B20" s="141">
        <f t="shared" si="1"/>
        <v>4</v>
      </c>
      <c r="C20" s="229">
        <f>SUMIFS('TOTALES DIARIOS'!$G$4:$G$508,'TOTALES DIARIOS'!$L$4:$L$508,'TOTALES MENSUALES'!B20,'TOTALES DIARIOS'!$K$4:$K$508,'TOTALES MENSUALES'!A20)</f>
        <v>0</v>
      </c>
      <c r="D20" s="142">
        <f>SUMIFS('TOTALES DIARIOS'!$H$4:$H$508,'TOTALES DIARIOS'!$L$4:$L$508,'TOTALES MENSUALES'!B20,'TOTALES DIARIOS'!$K$4:$K$508,'TOTALES MENSUALES'!A20)</f>
        <v>0</v>
      </c>
      <c r="E20" s="143">
        <f t="shared" si="2"/>
        <v>0</v>
      </c>
      <c r="F20" s="151">
        <f t="shared" ref="F20:F40" si="4">F19+31</f>
        <v>45757</v>
      </c>
    </row>
    <row r="21" spans="1:6" x14ac:dyDescent="0.25">
      <c r="A21" s="140">
        <f t="shared" si="0"/>
        <v>2025</v>
      </c>
      <c r="B21" s="141">
        <f t="shared" si="1"/>
        <v>5</v>
      </c>
      <c r="C21" s="229">
        <f>SUMIFS('TOTALES DIARIOS'!$G$4:$G$508,'TOTALES DIARIOS'!$L$4:$L$508,'TOTALES MENSUALES'!B21,'TOTALES DIARIOS'!$K$4:$K$508,'TOTALES MENSUALES'!A21)</f>
        <v>0</v>
      </c>
      <c r="D21" s="142">
        <f>SUMIFS('TOTALES DIARIOS'!$H$4:$H$508,'TOTALES DIARIOS'!$L$4:$L$508,'TOTALES MENSUALES'!B21,'TOTALES DIARIOS'!$K$4:$K$508,'TOTALES MENSUALES'!A21)</f>
        <v>0</v>
      </c>
      <c r="E21" s="143">
        <f t="shared" si="2"/>
        <v>0</v>
      </c>
      <c r="F21" s="151">
        <f t="shared" si="4"/>
        <v>45788</v>
      </c>
    </row>
    <row r="22" spans="1:6" x14ac:dyDescent="0.25">
      <c r="A22" s="140">
        <f t="shared" si="0"/>
        <v>2025</v>
      </c>
      <c r="B22" s="141">
        <f t="shared" si="1"/>
        <v>6</v>
      </c>
      <c r="C22" s="229">
        <f>SUMIFS('TOTALES DIARIOS'!$G$4:$G$508,'TOTALES DIARIOS'!$L$4:$L$508,'TOTALES MENSUALES'!B22,'TOTALES DIARIOS'!$K$4:$K$508,'TOTALES MENSUALES'!A22)</f>
        <v>0</v>
      </c>
      <c r="D22" s="142">
        <f>SUMIFS('TOTALES DIARIOS'!$H$4:$H$508,'TOTALES DIARIOS'!$L$4:$L$508,'TOTALES MENSUALES'!B22,'TOTALES DIARIOS'!$K$4:$K$508,'TOTALES MENSUALES'!A22)</f>
        <v>0</v>
      </c>
      <c r="E22" s="143">
        <f t="shared" si="2"/>
        <v>0</v>
      </c>
      <c r="F22" s="151">
        <f t="shared" si="4"/>
        <v>45819</v>
      </c>
    </row>
    <row r="23" spans="1:6" x14ac:dyDescent="0.25">
      <c r="A23" s="140">
        <f t="shared" si="0"/>
        <v>2025</v>
      </c>
      <c r="B23" s="141">
        <f t="shared" si="1"/>
        <v>7</v>
      </c>
      <c r="C23" s="229">
        <f>SUMIFS('TOTALES DIARIOS'!$G$4:$G$508,'TOTALES DIARIOS'!$L$4:$L$508,'TOTALES MENSUALES'!B23,'TOTALES DIARIOS'!$K$4:$K$508,'TOTALES MENSUALES'!A23)</f>
        <v>0</v>
      </c>
      <c r="D23" s="142">
        <f>SUMIFS('TOTALES DIARIOS'!$H$4:$H$508,'TOTALES DIARIOS'!$L$4:$L$508,'TOTALES MENSUALES'!B23,'TOTALES DIARIOS'!$K$4:$K$508,'TOTALES MENSUALES'!A23)</f>
        <v>0</v>
      </c>
      <c r="E23" s="143">
        <f t="shared" si="2"/>
        <v>0</v>
      </c>
      <c r="F23" s="151">
        <f t="shared" si="4"/>
        <v>45850</v>
      </c>
    </row>
    <row r="24" spans="1:6" x14ac:dyDescent="0.25">
      <c r="A24" s="140">
        <f t="shared" si="0"/>
        <v>2025</v>
      </c>
      <c r="B24" s="141">
        <f t="shared" si="1"/>
        <v>8</v>
      </c>
      <c r="C24" s="229">
        <f>SUMIFS('TOTALES DIARIOS'!$G$4:$G$508,'TOTALES DIARIOS'!$L$4:$L$508,'TOTALES MENSUALES'!B24,'TOTALES DIARIOS'!$K$4:$K$508,'TOTALES MENSUALES'!A24)</f>
        <v>0</v>
      </c>
      <c r="D24" s="142">
        <f>SUMIFS('TOTALES DIARIOS'!$H$4:$H$508,'TOTALES DIARIOS'!$L$4:$L$508,'TOTALES MENSUALES'!B24,'TOTALES DIARIOS'!$K$4:$K$508,'TOTALES MENSUALES'!A24)</f>
        <v>0</v>
      </c>
      <c r="E24" s="143">
        <f t="shared" si="2"/>
        <v>0</v>
      </c>
      <c r="F24" s="151">
        <f t="shared" si="4"/>
        <v>45881</v>
      </c>
    </row>
    <row r="25" spans="1:6" x14ac:dyDescent="0.25">
      <c r="A25" s="140">
        <f t="shared" si="0"/>
        <v>2025</v>
      </c>
      <c r="B25" s="141">
        <f t="shared" si="1"/>
        <v>9</v>
      </c>
      <c r="C25" s="229">
        <f>SUMIFS('TOTALES DIARIOS'!$G$4:$G$508,'TOTALES DIARIOS'!$L$4:$L$508,'TOTALES MENSUALES'!B25,'TOTALES DIARIOS'!$K$4:$K$508,'TOTALES MENSUALES'!A25)</f>
        <v>0</v>
      </c>
      <c r="D25" s="142">
        <f>SUMIFS('TOTALES DIARIOS'!$H$4:$H$508,'TOTALES DIARIOS'!$L$4:$L$508,'TOTALES MENSUALES'!B25,'TOTALES DIARIOS'!$K$4:$K$508,'TOTALES MENSUALES'!A25)</f>
        <v>0</v>
      </c>
      <c r="E25" s="143">
        <f t="shared" si="2"/>
        <v>0</v>
      </c>
      <c r="F25" s="151">
        <f t="shared" si="4"/>
        <v>45912</v>
      </c>
    </row>
    <row r="26" spans="1:6" x14ac:dyDescent="0.25">
      <c r="A26" s="140">
        <f t="shared" si="0"/>
        <v>2025</v>
      </c>
      <c r="B26" s="141">
        <f t="shared" si="1"/>
        <v>10</v>
      </c>
      <c r="C26" s="229">
        <f>SUMIFS('TOTALES DIARIOS'!$G$4:$G$508,'TOTALES DIARIOS'!$L$4:$L$508,'TOTALES MENSUALES'!B26,'TOTALES DIARIOS'!$K$4:$K$508,'TOTALES MENSUALES'!A26)</f>
        <v>0</v>
      </c>
      <c r="D26" s="142">
        <f>SUMIFS('TOTALES DIARIOS'!$H$4:$H$508,'TOTALES DIARIOS'!$L$4:$L$508,'TOTALES MENSUALES'!B26,'TOTALES DIARIOS'!$K$4:$K$508,'TOTALES MENSUALES'!A26)</f>
        <v>0</v>
      </c>
      <c r="E26" s="143">
        <f t="shared" si="2"/>
        <v>0</v>
      </c>
      <c r="F26" s="151">
        <f t="shared" si="4"/>
        <v>45943</v>
      </c>
    </row>
    <row r="27" spans="1:6" x14ac:dyDescent="0.25">
      <c r="A27" s="140">
        <f t="shared" si="0"/>
        <v>2025</v>
      </c>
      <c r="B27" s="141">
        <f t="shared" si="1"/>
        <v>11</v>
      </c>
      <c r="C27" s="229">
        <f>SUMIFS('TOTALES DIARIOS'!$G$4:$G$508,'TOTALES DIARIOS'!$L$4:$L$508,'TOTALES MENSUALES'!B27,'TOTALES DIARIOS'!$K$4:$K$508,'TOTALES MENSUALES'!A27)</f>
        <v>0</v>
      </c>
      <c r="D27" s="142">
        <f>SUMIFS('TOTALES DIARIOS'!$H$4:$H$508,'TOTALES DIARIOS'!$L$4:$L$508,'TOTALES MENSUALES'!B27,'TOTALES DIARIOS'!$K$4:$K$508,'TOTALES MENSUALES'!A27)</f>
        <v>0</v>
      </c>
      <c r="E27" s="143">
        <f t="shared" si="2"/>
        <v>0</v>
      </c>
      <c r="F27" s="151">
        <f t="shared" si="4"/>
        <v>45974</v>
      </c>
    </row>
    <row r="28" spans="1:6" x14ac:dyDescent="0.25">
      <c r="A28" s="140">
        <f t="shared" si="0"/>
        <v>2025</v>
      </c>
      <c r="B28" s="141">
        <f t="shared" si="1"/>
        <v>12</v>
      </c>
      <c r="C28" s="229">
        <f>SUMIFS('TOTALES DIARIOS'!$G$4:$G$508,'TOTALES DIARIOS'!$L$4:$L$508,'TOTALES MENSUALES'!B28,'TOTALES DIARIOS'!$K$4:$K$508,'TOTALES MENSUALES'!A28)</f>
        <v>0</v>
      </c>
      <c r="D28" s="142">
        <f>SUMIFS('TOTALES DIARIOS'!$H$4:$H$508,'TOTALES DIARIOS'!$L$4:$L$508,'TOTALES MENSUALES'!B28,'TOTALES DIARIOS'!$K$4:$K$508,'TOTALES MENSUALES'!A28)</f>
        <v>0</v>
      </c>
      <c r="E28" s="143">
        <f t="shared" si="2"/>
        <v>0</v>
      </c>
      <c r="F28" s="151">
        <f t="shared" si="4"/>
        <v>46005</v>
      </c>
    </row>
    <row r="29" spans="1:6" x14ac:dyDescent="0.25">
      <c r="A29" s="140">
        <f t="shared" si="0"/>
        <v>2026</v>
      </c>
      <c r="B29" s="141">
        <f t="shared" si="1"/>
        <v>1</v>
      </c>
      <c r="C29" s="229">
        <f>SUMIFS('TOTALES DIARIOS'!$G$4:$G$508,'TOTALES DIARIOS'!$L$4:$L$508,'TOTALES MENSUALES'!B29,'TOTALES DIARIOS'!$K$4:$K$508,'TOTALES MENSUALES'!A29)</f>
        <v>0</v>
      </c>
      <c r="D29" s="142">
        <f>SUMIFS('TOTALES DIARIOS'!$H$4:$H$508,'TOTALES DIARIOS'!$L$4:$L$508,'TOTALES MENSUALES'!B29,'TOTALES DIARIOS'!$K$4:$K$508,'TOTALES MENSUALES'!A29)</f>
        <v>0</v>
      </c>
      <c r="E29" s="143">
        <f t="shared" si="2"/>
        <v>0</v>
      </c>
      <c r="F29" s="151">
        <f t="shared" si="4"/>
        <v>46036</v>
      </c>
    </row>
    <row r="30" spans="1:6" x14ac:dyDescent="0.25">
      <c r="A30" s="140">
        <f t="shared" si="0"/>
        <v>2026</v>
      </c>
      <c r="B30" s="141">
        <f t="shared" si="1"/>
        <v>2</v>
      </c>
      <c r="C30" s="229">
        <f>SUMIFS('TOTALES DIARIOS'!$G$4:$G$508,'TOTALES DIARIOS'!$L$4:$L$508,'TOTALES MENSUALES'!B30,'TOTALES DIARIOS'!$K$4:$K$508,'TOTALES MENSUALES'!A30)</f>
        <v>0</v>
      </c>
      <c r="D30" s="142">
        <f>SUMIFS('TOTALES DIARIOS'!$H$4:$H$508,'TOTALES DIARIOS'!$L$4:$L$508,'TOTALES MENSUALES'!B30,'TOTALES DIARIOS'!$K$4:$K$508,'TOTALES MENSUALES'!A30)</f>
        <v>0</v>
      </c>
      <c r="E30" s="143">
        <f t="shared" si="2"/>
        <v>0</v>
      </c>
      <c r="F30" s="151">
        <f t="shared" si="4"/>
        <v>46067</v>
      </c>
    </row>
    <row r="31" spans="1:6" x14ac:dyDescent="0.25">
      <c r="A31" s="140">
        <f t="shared" si="0"/>
        <v>2026</v>
      </c>
      <c r="B31" s="141">
        <f t="shared" si="1"/>
        <v>3</v>
      </c>
      <c r="C31" s="229">
        <f>SUMIFS('TOTALES DIARIOS'!$G$4:$G$508,'TOTALES DIARIOS'!$L$4:$L$508,'TOTALES MENSUALES'!B31,'TOTALES DIARIOS'!$K$4:$K$508,'TOTALES MENSUALES'!A31)</f>
        <v>0</v>
      </c>
      <c r="D31" s="142">
        <f>SUMIFS('TOTALES DIARIOS'!$H$4:$H$508,'TOTALES DIARIOS'!$L$4:$L$508,'TOTALES MENSUALES'!B31,'TOTALES DIARIOS'!$K$4:$K$508,'TOTALES MENSUALES'!A31)</f>
        <v>0</v>
      </c>
      <c r="E31" s="143">
        <f t="shared" si="2"/>
        <v>0</v>
      </c>
      <c r="F31" s="151">
        <f t="shared" si="4"/>
        <v>46098</v>
      </c>
    </row>
    <row r="32" spans="1:6" x14ac:dyDescent="0.25">
      <c r="A32" s="140">
        <f t="shared" si="0"/>
        <v>2026</v>
      </c>
      <c r="B32" s="141">
        <f t="shared" si="1"/>
        <v>4</v>
      </c>
      <c r="C32" s="229">
        <f>SUMIFS('TOTALES DIARIOS'!$G$4:$G$508,'TOTALES DIARIOS'!$L$4:$L$508,'TOTALES MENSUALES'!B32,'TOTALES DIARIOS'!$K$4:$K$508,'TOTALES MENSUALES'!A32)</f>
        <v>0</v>
      </c>
      <c r="D32" s="142">
        <f>SUMIFS('TOTALES DIARIOS'!$H$4:$H$508,'TOTALES DIARIOS'!$L$4:$L$508,'TOTALES MENSUALES'!B32,'TOTALES DIARIOS'!$K$4:$K$508,'TOTALES MENSUALES'!A32)</f>
        <v>0</v>
      </c>
      <c r="E32" s="143">
        <f t="shared" si="2"/>
        <v>0</v>
      </c>
      <c r="F32" s="151">
        <f t="shared" si="4"/>
        <v>46129</v>
      </c>
    </row>
    <row r="33" spans="1:6" x14ac:dyDescent="0.25">
      <c r="A33" s="140">
        <f t="shared" si="0"/>
        <v>2026</v>
      </c>
      <c r="B33" s="141">
        <f t="shared" si="1"/>
        <v>5</v>
      </c>
      <c r="C33" s="229">
        <f>SUMIFS('TOTALES DIARIOS'!$G$4:$G$508,'TOTALES DIARIOS'!$L$4:$L$508,'TOTALES MENSUALES'!B33,'TOTALES DIARIOS'!$K$4:$K$508,'TOTALES MENSUALES'!A33)</f>
        <v>0</v>
      </c>
      <c r="D33" s="142">
        <f>SUMIFS('TOTALES DIARIOS'!$H$4:$H$508,'TOTALES DIARIOS'!$L$4:$L$508,'TOTALES MENSUALES'!B33,'TOTALES DIARIOS'!$K$4:$K$508,'TOTALES MENSUALES'!A33)</f>
        <v>0</v>
      </c>
      <c r="E33" s="143">
        <f t="shared" si="2"/>
        <v>0</v>
      </c>
      <c r="F33" s="151">
        <f t="shared" si="4"/>
        <v>46160</v>
      </c>
    </row>
    <row r="34" spans="1:6" x14ac:dyDescent="0.25">
      <c r="A34" s="140">
        <f t="shared" si="0"/>
        <v>2026</v>
      </c>
      <c r="B34" s="141">
        <f t="shared" si="1"/>
        <v>6</v>
      </c>
      <c r="C34" s="229">
        <f>SUMIFS('TOTALES DIARIOS'!$G$4:$G$508,'TOTALES DIARIOS'!$L$4:$L$508,'TOTALES MENSUALES'!B34,'TOTALES DIARIOS'!$K$4:$K$508,'TOTALES MENSUALES'!A34)</f>
        <v>0</v>
      </c>
      <c r="D34" s="142">
        <f>SUMIFS('TOTALES DIARIOS'!$H$4:$H$508,'TOTALES DIARIOS'!$L$4:$L$508,'TOTALES MENSUALES'!B34,'TOTALES DIARIOS'!$K$4:$K$508,'TOTALES MENSUALES'!A34)</f>
        <v>0</v>
      </c>
      <c r="E34" s="143">
        <f t="shared" si="2"/>
        <v>0</v>
      </c>
      <c r="F34" s="151">
        <f t="shared" si="4"/>
        <v>46191</v>
      </c>
    </row>
    <row r="35" spans="1:6" x14ac:dyDescent="0.25">
      <c r="A35" s="140">
        <f t="shared" si="0"/>
        <v>2026</v>
      </c>
      <c r="B35" s="141">
        <f t="shared" si="1"/>
        <v>7</v>
      </c>
      <c r="C35" s="229">
        <f>SUMIFS('TOTALES DIARIOS'!$G$4:$G$508,'TOTALES DIARIOS'!$L$4:$L$508,'TOTALES MENSUALES'!B35,'TOTALES DIARIOS'!$K$4:$K$508,'TOTALES MENSUALES'!A35)</f>
        <v>0</v>
      </c>
      <c r="D35" s="142">
        <f>SUMIFS('TOTALES DIARIOS'!$H$4:$H$508,'TOTALES DIARIOS'!$L$4:$L$508,'TOTALES MENSUALES'!B35,'TOTALES DIARIOS'!$K$4:$K$508,'TOTALES MENSUALES'!A35)</f>
        <v>0</v>
      </c>
      <c r="E35" s="143">
        <f t="shared" si="2"/>
        <v>0</v>
      </c>
      <c r="F35" s="151">
        <f t="shared" si="4"/>
        <v>46222</v>
      </c>
    </row>
    <row r="36" spans="1:6" x14ac:dyDescent="0.25">
      <c r="A36" s="140">
        <f t="shared" si="0"/>
        <v>2026</v>
      </c>
      <c r="B36" s="141">
        <f t="shared" si="1"/>
        <v>8</v>
      </c>
      <c r="C36" s="229">
        <f>SUMIFS('TOTALES DIARIOS'!$G$4:$G$508,'TOTALES DIARIOS'!$L$4:$L$508,'TOTALES MENSUALES'!B36,'TOTALES DIARIOS'!$K$4:$K$508,'TOTALES MENSUALES'!A36)</f>
        <v>0</v>
      </c>
      <c r="D36" s="142">
        <f>SUMIFS('TOTALES DIARIOS'!$H$4:$H$508,'TOTALES DIARIOS'!$L$4:$L$508,'TOTALES MENSUALES'!B36,'TOTALES DIARIOS'!$K$4:$K$508,'TOTALES MENSUALES'!A36)</f>
        <v>0</v>
      </c>
      <c r="E36" s="143">
        <f t="shared" si="2"/>
        <v>0</v>
      </c>
      <c r="F36" s="151">
        <f t="shared" si="4"/>
        <v>46253</v>
      </c>
    </row>
    <row r="37" spans="1:6" x14ac:dyDescent="0.25">
      <c r="A37" s="140">
        <f t="shared" si="0"/>
        <v>2026</v>
      </c>
      <c r="B37" s="141">
        <f t="shared" si="1"/>
        <v>9</v>
      </c>
      <c r="C37" s="229">
        <f>SUMIFS('TOTALES DIARIOS'!$G$4:$G$508,'TOTALES DIARIOS'!$L$4:$L$508,'TOTALES MENSUALES'!B37,'TOTALES DIARIOS'!$K$4:$K$508,'TOTALES MENSUALES'!A37)</f>
        <v>0</v>
      </c>
      <c r="D37" s="142">
        <f>SUMIFS('TOTALES DIARIOS'!$H$4:$H$508,'TOTALES DIARIOS'!$L$4:$L$508,'TOTALES MENSUALES'!B37,'TOTALES DIARIOS'!$K$4:$K$508,'TOTALES MENSUALES'!A37)</f>
        <v>0</v>
      </c>
      <c r="E37" s="143">
        <f t="shared" si="2"/>
        <v>0</v>
      </c>
      <c r="F37" s="151">
        <f t="shared" si="4"/>
        <v>46284</v>
      </c>
    </row>
    <row r="38" spans="1:6" x14ac:dyDescent="0.25">
      <c r="A38" s="140">
        <f t="shared" si="0"/>
        <v>2026</v>
      </c>
      <c r="B38" s="141">
        <f t="shared" si="1"/>
        <v>10</v>
      </c>
      <c r="C38" s="229">
        <f>SUMIFS('TOTALES DIARIOS'!$G$4:$G$508,'TOTALES DIARIOS'!$L$4:$L$508,'TOTALES MENSUALES'!B38,'TOTALES DIARIOS'!$K$4:$K$508,'TOTALES MENSUALES'!A38)</f>
        <v>0</v>
      </c>
      <c r="D38" s="142">
        <f>SUMIFS('TOTALES DIARIOS'!$H$4:$H$508,'TOTALES DIARIOS'!$L$4:$L$508,'TOTALES MENSUALES'!B38,'TOTALES DIARIOS'!$K$4:$K$508,'TOTALES MENSUALES'!A38)</f>
        <v>0</v>
      </c>
      <c r="E38" s="143">
        <f t="shared" si="2"/>
        <v>0</v>
      </c>
      <c r="F38" s="151">
        <f t="shared" si="4"/>
        <v>46315</v>
      </c>
    </row>
    <row r="39" spans="1:6" x14ac:dyDescent="0.25">
      <c r="A39" s="140">
        <f t="shared" si="0"/>
        <v>2026</v>
      </c>
      <c r="B39" s="141">
        <f t="shared" si="1"/>
        <v>11</v>
      </c>
      <c r="C39" s="229">
        <f>SUMIFS('TOTALES DIARIOS'!$G$4:$G$508,'TOTALES DIARIOS'!$L$4:$L$508,'TOTALES MENSUALES'!B39,'TOTALES DIARIOS'!$K$4:$K$508,'TOTALES MENSUALES'!A39)</f>
        <v>0</v>
      </c>
      <c r="D39" s="142">
        <f>SUMIFS('TOTALES DIARIOS'!$H$4:$H$508,'TOTALES DIARIOS'!$L$4:$L$508,'TOTALES MENSUALES'!B39,'TOTALES DIARIOS'!$K$4:$K$508,'TOTALES MENSUALES'!A39)</f>
        <v>0</v>
      </c>
      <c r="E39" s="143">
        <f t="shared" si="2"/>
        <v>0</v>
      </c>
      <c r="F39" s="151">
        <f t="shared" si="4"/>
        <v>46346</v>
      </c>
    </row>
    <row r="40" spans="1:6" ht="13.8" thickBot="1" x14ac:dyDescent="0.3">
      <c r="A40" s="144">
        <f t="shared" si="0"/>
        <v>2026</v>
      </c>
      <c r="B40" s="145">
        <f t="shared" si="1"/>
        <v>12</v>
      </c>
      <c r="C40" s="230">
        <f>SUMIFS('TOTALES DIARIOS'!$G$4:$G$508,'TOTALES DIARIOS'!$L$4:$L$508,'TOTALES MENSUALES'!B40,'TOTALES DIARIOS'!$K$4:$K$508,'TOTALES MENSUALES'!A40)</f>
        <v>0</v>
      </c>
      <c r="D40" s="146">
        <f>SUMIFS('TOTALES DIARIOS'!$H$4:$H$508,'TOTALES DIARIOS'!$L$4:$L$508,'TOTALES MENSUALES'!B40,'TOTALES DIARIOS'!$K$4:$K$508,'TOTALES MENSUALES'!A40)</f>
        <v>0</v>
      </c>
      <c r="E40" s="147">
        <f t="shared" si="2"/>
        <v>0</v>
      </c>
      <c r="F40" s="151">
        <f t="shared" si="4"/>
        <v>46377</v>
      </c>
    </row>
    <row r="41" spans="1:6" x14ac:dyDescent="0.25">
      <c r="C41" s="44"/>
      <c r="D41" s="44"/>
      <c r="F41" s="151"/>
    </row>
    <row r="42" spans="1:6" x14ac:dyDescent="0.25">
      <c r="C42" s="44"/>
      <c r="D42" s="44"/>
      <c r="F42" s="151"/>
    </row>
    <row r="43" spans="1:6" x14ac:dyDescent="0.25">
      <c r="C43" s="44"/>
      <c r="D43" s="44"/>
      <c r="F43" s="151"/>
    </row>
  </sheetData>
  <sheetProtection sheet="1" objects="1" scenarios="1"/>
  <mergeCells count="1">
    <mergeCell ref="A2:E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508"/>
  <sheetViews>
    <sheetView topLeftCell="A306" workbookViewId="0">
      <selection activeCell="E331" sqref="E331"/>
    </sheetView>
  </sheetViews>
  <sheetFormatPr baseColWidth="10" defaultColWidth="11.44140625" defaultRowHeight="13.2" x14ac:dyDescent="0.25"/>
  <cols>
    <col min="1" max="1" width="11.5546875" customWidth="1"/>
    <col min="2" max="2" width="13.5546875" customWidth="1"/>
    <col min="3" max="3" width="11.44140625" customWidth="1"/>
    <col min="4" max="4" width="14.44140625" customWidth="1"/>
    <col min="5" max="5" width="19.33203125" customWidth="1"/>
    <col min="6" max="6" width="19.6640625" customWidth="1"/>
    <col min="7" max="8" width="11.44140625" customWidth="1"/>
    <col min="9" max="10" width="10.5546875" style="78" hidden="1" customWidth="1"/>
    <col min="11" max="12" width="11.44140625" style="78" hidden="1" customWidth="1"/>
    <col min="13" max="13" width="17.5546875" style="78" hidden="1" customWidth="1"/>
    <col min="14" max="19" width="20.6640625" style="78" hidden="1" customWidth="1"/>
    <col min="20" max="20" width="25.6640625" style="78" hidden="1" customWidth="1"/>
    <col min="21" max="21" width="17.88671875" style="78" hidden="1" customWidth="1"/>
    <col min="22" max="22" width="31.6640625" style="78" hidden="1" customWidth="1"/>
    <col min="23" max="25" width="11.44140625" style="78" hidden="1" customWidth="1"/>
    <col min="26" max="29" width="12.5546875" style="78" hidden="1" customWidth="1"/>
    <col min="30" max="31" width="11.44140625" style="78" hidden="1" customWidth="1"/>
    <col min="32" max="33" width="11.44140625" style="78" customWidth="1"/>
    <col min="34" max="16384" width="11.44140625" style="78"/>
  </cols>
  <sheetData>
    <row r="1" spans="1:31" ht="34.5" customHeight="1" thickBot="1" x14ac:dyDescent="0.3">
      <c r="A1" s="299" t="s">
        <v>98</v>
      </c>
      <c r="B1" s="300"/>
      <c r="C1" s="300"/>
      <c r="D1" s="300"/>
      <c r="E1" s="300"/>
      <c r="F1" s="300"/>
      <c r="G1" s="300"/>
      <c r="H1" s="301"/>
    </row>
    <row r="2" spans="1:31" ht="13.8" thickBot="1" x14ac:dyDescent="0.3">
      <c r="C2" s="23"/>
      <c r="I2" s="79" t="s">
        <v>97</v>
      </c>
      <c r="J2" s="79"/>
      <c r="K2" s="79"/>
      <c r="L2" s="80"/>
      <c r="M2" s="302" t="s">
        <v>111</v>
      </c>
      <c r="N2" s="303"/>
      <c r="O2" s="303"/>
      <c r="P2" s="303"/>
      <c r="Q2" s="81"/>
      <c r="R2" s="81"/>
      <c r="S2" s="82"/>
      <c r="T2" s="296" t="s">
        <v>101</v>
      </c>
      <c r="U2" s="297"/>
      <c r="V2" s="298"/>
      <c r="AA2" s="246" t="s">
        <v>36</v>
      </c>
      <c r="AB2" s="247"/>
      <c r="AC2" s="246" t="s">
        <v>37</v>
      </c>
      <c r="AD2" s="247"/>
    </row>
    <row r="3" spans="1:31" s="92" customFormat="1" ht="48" customHeight="1" thickBot="1" x14ac:dyDescent="0.3">
      <c r="A3" s="131" t="s">
        <v>87</v>
      </c>
      <c r="B3" s="132" t="s">
        <v>309</v>
      </c>
      <c r="C3" s="133" t="s">
        <v>88</v>
      </c>
      <c r="D3" s="133" t="s">
        <v>310</v>
      </c>
      <c r="E3" s="133" t="s">
        <v>311</v>
      </c>
      <c r="F3" s="133" t="s">
        <v>312</v>
      </c>
      <c r="G3" s="133" t="s">
        <v>89</v>
      </c>
      <c r="H3" s="133" t="s">
        <v>90</v>
      </c>
      <c r="I3" s="83" t="s">
        <v>96</v>
      </c>
      <c r="J3" s="83" t="s">
        <v>103</v>
      </c>
      <c r="K3" s="83" t="s">
        <v>80</v>
      </c>
      <c r="L3" s="83" t="s">
        <v>21</v>
      </c>
      <c r="M3" s="84" t="s">
        <v>104</v>
      </c>
      <c r="N3" s="85" t="s">
        <v>105</v>
      </c>
      <c r="O3" s="85" t="s">
        <v>107</v>
      </c>
      <c r="P3" s="86" t="s">
        <v>106</v>
      </c>
      <c r="Q3" s="87" t="s">
        <v>110</v>
      </c>
      <c r="R3" s="87" t="s">
        <v>108</v>
      </c>
      <c r="S3" s="88" t="s">
        <v>307</v>
      </c>
      <c r="T3" s="89" t="s">
        <v>91</v>
      </c>
      <c r="U3" s="90" t="s">
        <v>92</v>
      </c>
      <c r="V3" s="91" t="s">
        <v>100</v>
      </c>
      <c r="Y3" s="93" t="s">
        <v>113</v>
      </c>
      <c r="Z3" s="94" t="s">
        <v>114</v>
      </c>
      <c r="AA3" s="95" t="s">
        <v>38</v>
      </c>
      <c r="AB3" s="96" t="s">
        <v>40</v>
      </c>
      <c r="AC3" s="97" t="s">
        <v>38</v>
      </c>
      <c r="AD3" s="97" t="s">
        <v>40</v>
      </c>
      <c r="AE3" s="98" t="s">
        <v>112</v>
      </c>
    </row>
    <row r="4" spans="1:31" x14ac:dyDescent="0.25">
      <c r="A4" s="220">
        <f>Consolidado!A6</f>
        <v>45292</v>
      </c>
      <c r="B4" s="130">
        <f t="shared" ref="B4:B67" si="0">IF(G4=0,"",C4-"1:00")</f>
        <v>0</v>
      </c>
      <c r="C4" s="217">
        <f t="shared" ref="C4:D67" si="1">Q4</f>
        <v>4.1666666666666664E-2</v>
      </c>
      <c r="D4" s="217">
        <f t="shared" si="1"/>
        <v>8.3333333333333329E-2</v>
      </c>
      <c r="E4" s="218">
        <f>SUMIF(Consolidado!$A$6:$A$380,'TOTALES DIARIOS'!A4,Consolidado!$E$6:$E$380)</f>
        <v>0</v>
      </c>
      <c r="F4" s="218">
        <f>SUMIF(Consolidado!$A$6:$A$380,'TOTALES DIARIOS'!A4,Consolidado!$F$6:$F$380)</f>
        <v>1.5</v>
      </c>
      <c r="G4" s="218">
        <f>SUMIF(Consolidado!$A$6:$A$380,'TOTALES DIARIOS'!A4,Consolidado!$G$6:$G$380)</f>
        <v>1.5</v>
      </c>
      <c r="H4" s="219">
        <f t="shared" ref="H4:H67" si="2">IF(B4="",0,IF(B4&lt;D4,D4-B4+"0:30","24:00"-B4+D4+"0:30"))*24</f>
        <v>2.5</v>
      </c>
      <c r="I4" s="99">
        <f t="shared" ref="I4:I67" si="3">IF(G4&lt;&gt;0,1,0)</f>
        <v>1</v>
      </c>
      <c r="J4" s="99">
        <f t="shared" ref="J4:J67" si="4">IF(H4=0,0,IF((D4-"3:30")&gt;(C4-"3:30"),1,2))</f>
        <v>1</v>
      </c>
      <c r="K4" s="99">
        <f t="shared" ref="K4:K67" si="5">YEAR(A4)</f>
        <v>2024</v>
      </c>
      <c r="L4" s="99">
        <f t="shared" ref="L4:L67" si="6">MONTH(A4)</f>
        <v>1</v>
      </c>
      <c r="M4" s="100">
        <f t="array" ref="M4">MIN(IF(Consolidado!$A$6:$A$1000='TOTALES DIARIOS'!A4,IF(Consolidado!$C$6:$C$1000&gt;TIMEVALUE("07:00"),Consolidado!$C$6:$C$1000,1)))</f>
        <v>1</v>
      </c>
      <c r="N4" s="101">
        <f t="array" ref="N4">MIN(IF(Consolidado!$A$6:$A$1000='TOTALES DIARIOS'!A4,IF(Consolidado!$C$6:$C$1000&lt;=M4,Consolidado!$C$6:$C$1000,1)))</f>
        <v>4.1666666666666664E-2</v>
      </c>
      <c r="O4" s="101">
        <f t="array" ref="O4">MAX(IF(Consolidado!$A$6:$A$1000='TOTALES DIARIOS'!A4,IF(Consolidado!$D$6:$D$1000&gt;=M4,Consolidado!$D$6:$D$1000,0)))</f>
        <v>0</v>
      </c>
      <c r="P4" s="102">
        <f t="array" ref="P4">MAX(IF(Consolidado!$A$6:$A$1000='TOTALES DIARIOS'!A4,IF(Consolidado!$D$6:$D$1000&lt;=M4,Consolidado!$D$6:$D$1000,0)))</f>
        <v>8.3333333333333329E-2</v>
      </c>
      <c r="Q4" s="103">
        <f t="shared" ref="Q4:Q7" si="7">IF(M4&lt;&gt;1,MAX(M4,N4),N4)</f>
        <v>4.1666666666666664E-2</v>
      </c>
      <c r="R4" s="103">
        <f>IF(O4=0,P4,IF(P4=0,O4,MIN(P4,O4)))</f>
        <v>8.3333333333333329E-2</v>
      </c>
      <c r="S4" s="104" t="str">
        <f t="shared" ref="S4:S67" si="8">IF(D4&gt;AB4,"SI","NO")</f>
        <v>NO</v>
      </c>
      <c r="T4" s="105">
        <v>2</v>
      </c>
      <c r="U4" s="106">
        <v>8</v>
      </c>
      <c r="V4" s="107">
        <v>10</v>
      </c>
      <c r="Y4" s="108" t="str">
        <f t="shared" ref="Y4:Y18" si="9">CONCATENATE(REPT("0",2-LEN(DAY(A4))),DAY(A4))</f>
        <v>01</v>
      </c>
      <c r="Z4" s="107" t="str">
        <f t="shared" ref="Z4:Z18" si="10">CONCATENATE(REPT("0",2-LEN(MONTH(A4))),MONTH(A4))</f>
        <v>01</v>
      </c>
      <c r="AA4" s="109">
        <f>IFERROR(VLOOKUP(AE4,Parametros!$A$10:$G$13,4,0),0)</f>
        <v>0.375</v>
      </c>
      <c r="AB4" s="110">
        <f>IFERROR(VLOOKUP(AE4,Parametros!$A$10:$G$13,5,0),0)</f>
        <v>0.95833333333333337</v>
      </c>
      <c r="AC4" s="110">
        <f>IFERROR(VLOOKUP(AE4,Parametros!$A$10:$G$13,6,0),0)</f>
        <v>0.9590277777777777</v>
      </c>
      <c r="AD4" s="111">
        <f>IFERROR(VLOOKUP(AE4,Parametros!$A$10:$G$13,7,0),0)</f>
        <v>0.3743055555555555</v>
      </c>
      <c r="AE4" s="112" t="str">
        <f>IF(AND(VALUE(CONCATENATE(Z4,Y4))&gt;=Parametros!$B$11,VALUE(CONCATENATE(Z4,Y4))&lt;=Parametros!$C$11),Parametros!$A$11,IF(AND(VALUE(CONCATENATE(Z4,Y4))&gt;=Parametros!$B$12,VALUE(CONCATENATE(Z4,Y4))&lt;=Parametros!$C$12),Parametros!$A$12,IF(AND(VALUE(CONCATENATE(Z4,Y4))&gt;=Parametros!$B$13,VALUE(CONCATENATE(Z4,Y4))&lt;=Parametros!$C$13),Parametros!$A$13,Parametros!$A$10)))</f>
        <v>Verano</v>
      </c>
    </row>
    <row r="5" spans="1:31" x14ac:dyDescent="0.25">
      <c r="A5" s="221">
        <f>IFERROR(A4+1,"")</f>
        <v>45293</v>
      </c>
      <c r="B5" s="130" t="str">
        <f t="shared" si="0"/>
        <v/>
      </c>
      <c r="C5" s="217">
        <f t="shared" si="1"/>
        <v>0</v>
      </c>
      <c r="D5" s="217">
        <f t="shared" si="1"/>
        <v>0</v>
      </c>
      <c r="E5" s="218">
        <f>SUMIF(Consolidado!$A$6:$A$380,'TOTALES DIARIOS'!A5,Consolidado!$E$6:$E$380)</f>
        <v>0</v>
      </c>
      <c r="F5" s="218">
        <f>SUMIF(Consolidado!$A$6:$A$380,'TOTALES DIARIOS'!A5,Consolidado!$F$6:$F$380)</f>
        <v>0</v>
      </c>
      <c r="G5" s="218">
        <f>SUMIF(Consolidado!$A$6:$A$380,'TOTALES DIARIOS'!A5,Consolidado!$G$6:$G$380)</f>
        <v>0</v>
      </c>
      <c r="H5" s="219">
        <f t="shared" si="2"/>
        <v>0</v>
      </c>
      <c r="I5" s="99">
        <f t="shared" si="3"/>
        <v>0</v>
      </c>
      <c r="J5" s="99">
        <f t="shared" si="4"/>
        <v>0</v>
      </c>
      <c r="K5" s="113">
        <f t="shared" si="5"/>
        <v>2024</v>
      </c>
      <c r="L5" s="113">
        <f t="shared" si="6"/>
        <v>1</v>
      </c>
      <c r="M5" s="114">
        <f t="array" ref="M5">MIN(IF(Consolidado!$A$6:$A$1000='TOTALES DIARIOS'!A5,IF(Consolidado!$C$6:$C$1000&gt;TIMEVALUE("07:00"),Consolidado!$C$6:$C$1000,1)))</f>
        <v>0</v>
      </c>
      <c r="N5" s="115">
        <f t="array" ref="N5">MIN(IF(Consolidado!$A$6:$A$1000='TOTALES DIARIOS'!A5,IF(Consolidado!$C$6:$C$1000&lt;=M5,Consolidado!$C$6:$C$1000,1)))</f>
        <v>0</v>
      </c>
      <c r="O5" s="115">
        <f t="array" ref="O5">MAX(IF(Consolidado!$A$6:$A$1000='TOTALES DIARIOS'!A5,IF(Consolidado!$D$6:$D$1000&gt;=M5,Consolidado!$D$6:$D$1000,0)))</f>
        <v>0</v>
      </c>
      <c r="P5" s="116">
        <f t="array" ref="P5">MAX(IF(Consolidado!$A$6:$A$1000='TOTALES DIARIOS'!A5,IF(Consolidado!$D$6:$D$1000&lt;=M5,Consolidado!$D$6:$D$1000,0)))</f>
        <v>0</v>
      </c>
      <c r="Q5" s="117">
        <f t="shared" si="7"/>
        <v>0</v>
      </c>
      <c r="R5" s="117">
        <f>IF(O5=0,P5,IF(P5=0,O5,MIN(P5,O5)))</f>
        <v>0</v>
      </c>
      <c r="S5" s="104" t="str">
        <f t="shared" si="8"/>
        <v>NO</v>
      </c>
      <c r="T5" s="105">
        <v>3</v>
      </c>
      <c r="U5" s="106">
        <v>8</v>
      </c>
      <c r="V5" s="107">
        <v>10</v>
      </c>
      <c r="Y5" s="108" t="str">
        <f t="shared" si="9"/>
        <v>02</v>
      </c>
      <c r="Z5" s="107" t="str">
        <f t="shared" si="10"/>
        <v>01</v>
      </c>
      <c r="AA5" s="109">
        <f>IFERROR(VLOOKUP(AE5,Parametros!$A$10:$G$13,4,0),0)</f>
        <v>0.375</v>
      </c>
      <c r="AB5" s="110">
        <f>IFERROR(VLOOKUP(AE5,Parametros!$A$10:$G$13,5,0),0)</f>
        <v>0.95833333333333337</v>
      </c>
      <c r="AC5" s="110">
        <f>IFERROR(VLOOKUP(AE5,Parametros!$A$10:$G$13,6,0),0)</f>
        <v>0.9590277777777777</v>
      </c>
      <c r="AD5" s="111">
        <f>IFERROR(VLOOKUP(AE5,Parametros!$A$10:$G$13,7,0),0)</f>
        <v>0.3743055555555555</v>
      </c>
      <c r="AE5" s="112" t="str">
        <f>IF(AND(VALUE(CONCATENATE(Z5,Y5))&gt;=Parametros!$B$11,VALUE(CONCATENATE(Z5,Y5))&lt;=Parametros!$C$11),Parametros!$A$11,IF(AND(VALUE(CONCATENATE(Z5,Y5))&gt;=Parametros!$B$12,VALUE(CONCATENATE(Z5,Y5))&lt;=Parametros!$C$12),Parametros!$A$12,IF(AND(VALUE(CONCATENATE(Z5,Y5))&gt;=Parametros!$B$13,VALUE(CONCATENATE(Z5,Y5))&lt;=Parametros!$C$13),Parametros!$A$13,Parametros!$A$10)))</f>
        <v>Verano</v>
      </c>
    </row>
    <row r="6" spans="1:31" x14ac:dyDescent="0.25">
      <c r="A6" s="222">
        <f t="shared" ref="A6:A69" si="11">IFERROR(A5+1,"")</f>
        <v>45294</v>
      </c>
      <c r="B6" s="130" t="str">
        <f t="shared" si="0"/>
        <v/>
      </c>
      <c r="C6" s="217">
        <f t="shared" si="1"/>
        <v>0</v>
      </c>
      <c r="D6" s="217">
        <f t="shared" si="1"/>
        <v>0</v>
      </c>
      <c r="E6" s="218">
        <f>SUMIF(Consolidado!$A$6:$A$380,'TOTALES DIARIOS'!A6,Consolidado!$E$6:$E$380)</f>
        <v>0</v>
      </c>
      <c r="F6" s="218">
        <f>SUMIF(Consolidado!$A$6:$A$380,'TOTALES DIARIOS'!A6,Consolidado!$F$6:$F$380)</f>
        <v>0</v>
      </c>
      <c r="G6" s="218">
        <f>SUMIF(Consolidado!$A$6:$A$380,'TOTALES DIARIOS'!A6,Consolidado!$G$6:$G$380)</f>
        <v>0</v>
      </c>
      <c r="H6" s="219">
        <f t="shared" si="2"/>
        <v>0</v>
      </c>
      <c r="I6" s="99">
        <f t="shared" si="3"/>
        <v>0</v>
      </c>
      <c r="J6" s="99">
        <f t="shared" si="4"/>
        <v>0</v>
      </c>
      <c r="K6" s="113">
        <f t="shared" si="5"/>
        <v>2024</v>
      </c>
      <c r="L6" s="113">
        <f t="shared" si="6"/>
        <v>1</v>
      </c>
      <c r="M6" s="114">
        <f t="array" ref="M6">MIN(IF(Consolidado!$A$6:$A$1000='TOTALES DIARIOS'!A6,IF(Consolidado!$C$6:$C$1000&gt;TIMEVALUE("07:00"),Consolidado!$C$6:$C$1000,1)))</f>
        <v>0</v>
      </c>
      <c r="N6" s="115">
        <f t="array" ref="N6">MIN(IF(Consolidado!$A$6:$A$1000='TOTALES DIARIOS'!A6,IF(Consolidado!$C$6:$C$1000&lt;=M6,Consolidado!$C$6:$C$1000,1)))</f>
        <v>0</v>
      </c>
      <c r="O6" s="115">
        <f t="array" ref="O6">MAX(IF(Consolidado!$A$6:$A$1000='TOTALES DIARIOS'!A6,IF(Consolidado!$D$6:$D$1000&gt;=M6,Consolidado!$D$6:$D$1000,0)))</f>
        <v>0</v>
      </c>
      <c r="P6" s="116">
        <f t="array" ref="P6">MAX(IF(Consolidado!$A$6:$A$1000='TOTALES DIARIOS'!A6,IF(Consolidado!$D$6:$D$1000&lt;=M6,Consolidado!$D$6:$D$1000,0)))</f>
        <v>0</v>
      </c>
      <c r="Q6" s="117">
        <f t="shared" si="7"/>
        <v>0</v>
      </c>
      <c r="R6" s="117">
        <f>IF(O6=0,P6,IF(P6=0,O6,MIN(P6,O6)))</f>
        <v>0</v>
      </c>
      <c r="S6" s="104" t="str">
        <f t="shared" si="8"/>
        <v>NO</v>
      </c>
      <c r="T6" s="105">
        <v>4</v>
      </c>
      <c r="U6" s="106">
        <v>8</v>
      </c>
      <c r="V6" s="107">
        <v>10</v>
      </c>
      <c r="Y6" s="108" t="str">
        <f t="shared" si="9"/>
        <v>03</v>
      </c>
      <c r="Z6" s="107" t="str">
        <f t="shared" si="10"/>
        <v>01</v>
      </c>
      <c r="AA6" s="109">
        <f>IFERROR(VLOOKUP(AE6,Parametros!$A$10:$G$13,4,0),0)</f>
        <v>0.375</v>
      </c>
      <c r="AB6" s="110">
        <f>IFERROR(VLOOKUP(AE6,Parametros!$A$10:$G$13,5,0),0)</f>
        <v>0.95833333333333337</v>
      </c>
      <c r="AC6" s="110">
        <f>IFERROR(VLOOKUP(AE6,Parametros!$A$10:$G$13,6,0),0)</f>
        <v>0.9590277777777777</v>
      </c>
      <c r="AD6" s="111">
        <f>IFERROR(VLOOKUP(AE6,Parametros!$A$10:$G$13,7,0),0)</f>
        <v>0.3743055555555555</v>
      </c>
      <c r="AE6" s="112" t="str">
        <f>IF(AND(VALUE(CONCATENATE(Z6,Y6))&gt;=Parametros!$B$11,VALUE(CONCATENATE(Z6,Y6))&lt;=Parametros!$C$11),Parametros!$A$11,IF(AND(VALUE(CONCATENATE(Z6,Y6))&gt;=Parametros!$B$12,VALUE(CONCATENATE(Z6,Y6))&lt;=Parametros!$C$12),Parametros!$A$12,IF(AND(VALUE(CONCATENATE(Z6,Y6))&gt;=Parametros!$B$13,VALUE(CONCATENATE(Z6,Y6))&lt;=Parametros!$C$13),Parametros!$A$13,Parametros!$A$10)))</f>
        <v>Verano</v>
      </c>
    </row>
    <row r="7" spans="1:31" ht="102.75" customHeight="1" x14ac:dyDescent="0.25">
      <c r="A7" s="221">
        <f t="shared" si="11"/>
        <v>45295</v>
      </c>
      <c r="B7" s="130" t="str">
        <f t="shared" si="0"/>
        <v/>
      </c>
      <c r="C7" s="217">
        <f t="shared" si="1"/>
        <v>0</v>
      </c>
      <c r="D7" s="217">
        <f t="shared" si="1"/>
        <v>0</v>
      </c>
      <c r="E7" s="218">
        <f>SUMIF(Consolidado!$A$6:$A$380,'TOTALES DIARIOS'!A7,Consolidado!$E$6:$E$380)</f>
        <v>0</v>
      </c>
      <c r="F7" s="218">
        <f>SUMIF(Consolidado!$A$6:$A$380,'TOTALES DIARIOS'!A7,Consolidado!$F$6:$F$380)</f>
        <v>0</v>
      </c>
      <c r="G7" s="219">
        <f>SUMIF(Consolidado!$A$6:$A$380,'TOTALES DIARIOS'!A7,Consolidado!$G$6:$G$380)</f>
        <v>0</v>
      </c>
      <c r="H7" s="219">
        <f t="shared" si="2"/>
        <v>0</v>
      </c>
      <c r="I7" s="99">
        <f t="shared" si="3"/>
        <v>0</v>
      </c>
      <c r="J7" s="99">
        <f t="shared" si="4"/>
        <v>0</v>
      </c>
      <c r="K7" s="113">
        <f t="shared" si="5"/>
        <v>2024</v>
      </c>
      <c r="L7" s="113">
        <f t="shared" si="6"/>
        <v>1</v>
      </c>
      <c r="M7" s="114">
        <f t="array" ref="M7">MIN(IF(Consolidado!$A$6:$A$1000='TOTALES DIARIOS'!A7,IF(Consolidado!$C$6:$C$1000&gt;TIMEVALUE("07:00"),Consolidado!$C$6:$C$1000,1)))</f>
        <v>0</v>
      </c>
      <c r="N7" s="115">
        <f t="array" ref="N7">MIN(IF(Consolidado!$A$6:$A$1000='TOTALES DIARIOS'!A7,IF(Consolidado!$C$6:$C$1000&lt;=M7,Consolidado!$C$6:$C$1000,1)))</f>
        <v>0</v>
      </c>
      <c r="O7" s="117">
        <f t="array" ref="O7">MAX(IF(Consolidado!$A$6:$A$1000='TOTALES DIARIOS'!A7,IF(Consolidado!$D$6:$D$1000&gt;=M7,Consolidado!$D$6:$D$1000,0)))</f>
        <v>0</v>
      </c>
      <c r="P7" s="118">
        <f t="array" ref="P7">MAX(IF(Consolidado!$A$6:$A$1000='TOTALES DIARIOS'!A7,IF(Consolidado!$D$6:$D$1000&lt;=M7,Consolidado!$D$6:$D$1000,0)))</f>
        <v>0</v>
      </c>
      <c r="Q7" s="117">
        <f t="shared" si="7"/>
        <v>0</v>
      </c>
      <c r="R7" s="117">
        <f t="shared" ref="R7:R70" si="12">IF(O7=0,P7,IF(P7=0,O7,MIN(P7,O7)))</f>
        <v>0</v>
      </c>
      <c r="S7" s="104" t="str">
        <f t="shared" si="8"/>
        <v>NO</v>
      </c>
      <c r="T7" s="105">
        <v>5</v>
      </c>
      <c r="U7" s="106">
        <v>8</v>
      </c>
      <c r="V7" s="107">
        <v>10</v>
      </c>
      <c r="Y7" s="108" t="str">
        <f t="shared" si="9"/>
        <v>04</v>
      </c>
      <c r="Z7" s="107" t="str">
        <f t="shared" si="10"/>
        <v>01</v>
      </c>
      <c r="AA7" s="109">
        <f>IFERROR(VLOOKUP(AE7,Parametros!$A$10:$G$13,4,0),0)</f>
        <v>0.375</v>
      </c>
      <c r="AB7" s="110">
        <f>IFERROR(VLOOKUP(AE7,Parametros!$A$10:$G$13,5,0),0)</f>
        <v>0.95833333333333337</v>
      </c>
      <c r="AC7" s="110">
        <f>IFERROR(VLOOKUP(AE7,Parametros!$A$10:$G$13,6,0),0)</f>
        <v>0.9590277777777777</v>
      </c>
      <c r="AD7" s="111">
        <f>IFERROR(VLOOKUP(AE7,Parametros!$A$10:$G$13,7,0),0)</f>
        <v>0.3743055555555555</v>
      </c>
      <c r="AE7" s="112" t="str">
        <f>IF(AND(VALUE(CONCATENATE(Z7,Y7))&gt;=Parametros!$B$11,VALUE(CONCATENATE(Z7,Y7))&lt;=Parametros!$C$11),Parametros!$A$11,IF(AND(VALUE(CONCATENATE(Z7,Y7))&gt;=Parametros!$B$12,VALUE(CONCATENATE(Z7,Y7))&lt;=Parametros!$C$12),Parametros!$A$12,IF(AND(VALUE(CONCATENATE(Z7,Y7))&gt;=Parametros!$B$13,VALUE(CONCATENATE(Z7,Y7))&lt;=Parametros!$C$13),Parametros!$A$13,Parametros!$A$10)))</f>
        <v>Verano</v>
      </c>
    </row>
    <row r="8" spans="1:31" ht="34.5" customHeight="1" x14ac:dyDescent="0.25">
      <c r="A8" s="221">
        <f t="shared" si="11"/>
        <v>45296</v>
      </c>
      <c r="B8" s="130" t="str">
        <f t="shared" si="0"/>
        <v/>
      </c>
      <c r="C8" s="217">
        <f t="shared" si="1"/>
        <v>0</v>
      </c>
      <c r="D8" s="217">
        <f t="shared" si="1"/>
        <v>0</v>
      </c>
      <c r="E8" s="218">
        <f>SUMIF(Consolidado!$A$6:$A$380,'TOTALES DIARIOS'!A8,Consolidado!$E$6:$E$380)</f>
        <v>0</v>
      </c>
      <c r="F8" s="218">
        <f>SUMIF(Consolidado!$A$6:$A$380,'TOTALES DIARIOS'!A8,Consolidado!$F$6:$F$380)</f>
        <v>0</v>
      </c>
      <c r="G8" s="218">
        <f>SUMIF(Consolidado!$A$6:$A$380,'TOTALES DIARIOS'!A8,Consolidado!$G$6:$G$380)</f>
        <v>0</v>
      </c>
      <c r="H8" s="219">
        <f t="shared" si="2"/>
        <v>0</v>
      </c>
      <c r="I8" s="99">
        <f t="shared" si="3"/>
        <v>0</v>
      </c>
      <c r="J8" s="99">
        <f t="shared" si="4"/>
        <v>0</v>
      </c>
      <c r="K8" s="113">
        <f t="shared" si="5"/>
        <v>2024</v>
      </c>
      <c r="L8" s="113">
        <f t="shared" si="6"/>
        <v>1</v>
      </c>
      <c r="M8" s="115">
        <f t="array" ref="M8">MIN(IF(Consolidado!$A$6:$A$1000='TOTALES DIARIOS'!A8,IF(Consolidado!$C$6:$C$1000&gt;TIMEVALUE("07:00"),Consolidado!$C$6:$C$1000,1)))</f>
        <v>0</v>
      </c>
      <c r="N8" s="114">
        <f t="array" ref="N8">MIN(IF(Consolidado!$A$6:$A$1000='TOTALES DIARIOS'!A8,IF(Consolidado!$C$6:$C$1000&lt;=M8,Consolidado!$C$6:$C$1000,1)))</f>
        <v>0</v>
      </c>
      <c r="O8" s="115">
        <f t="array" ref="O8">MAX(IF(Consolidado!$A$6:$A$1000='TOTALES DIARIOS'!A8,IF(Consolidado!$D$6:$D$1000&gt;=M8,Consolidado!$D$6:$D$1000,0)))</f>
        <v>0</v>
      </c>
      <c r="P8" s="116">
        <f t="array" ref="P8">MAX(IF(Consolidado!$A$6:$A$1000='TOTALES DIARIOS'!A8,IF(Consolidado!$D$6:$D$1000&lt;=M8,Consolidado!$D$6:$D$1000,0)))</f>
        <v>0</v>
      </c>
      <c r="Q8" s="117">
        <f>IF(M8&lt;&gt;1,MAX(M8,N8),N8)</f>
        <v>0</v>
      </c>
      <c r="R8" s="117">
        <f t="shared" si="12"/>
        <v>0</v>
      </c>
      <c r="S8" s="104" t="str">
        <f t="shared" si="8"/>
        <v>NO</v>
      </c>
      <c r="T8" s="105">
        <v>6</v>
      </c>
      <c r="U8" s="106">
        <v>8</v>
      </c>
      <c r="V8" s="107">
        <v>10</v>
      </c>
      <c r="Y8" s="108" t="str">
        <f t="shared" si="9"/>
        <v>05</v>
      </c>
      <c r="Z8" s="107" t="str">
        <f t="shared" si="10"/>
        <v>01</v>
      </c>
      <c r="AA8" s="109">
        <f>IFERROR(VLOOKUP(AE8,Parametros!$A$10:$G$13,4,0),0)</f>
        <v>0.375</v>
      </c>
      <c r="AB8" s="110">
        <f>IFERROR(VLOOKUP(AE8,Parametros!$A$10:$G$13,5,0),0)</f>
        <v>0.95833333333333337</v>
      </c>
      <c r="AC8" s="110">
        <f>IFERROR(VLOOKUP(AE8,Parametros!$A$10:$G$13,6,0),0)</f>
        <v>0.9590277777777777</v>
      </c>
      <c r="AD8" s="111">
        <f>IFERROR(VLOOKUP(AE8,Parametros!$A$10:$G$13,7,0),0)</f>
        <v>0.3743055555555555</v>
      </c>
      <c r="AE8" s="112" t="str">
        <f>IF(AND(VALUE(CONCATENATE(Z8,Y8))&gt;=Parametros!$B$11,VALUE(CONCATENATE(Z8,Y8))&lt;=Parametros!$C$11),Parametros!$A$11,IF(AND(VALUE(CONCATENATE(Z8,Y8))&gt;=Parametros!$B$12,VALUE(CONCATENATE(Z8,Y8))&lt;=Parametros!$C$12),Parametros!$A$12,IF(AND(VALUE(CONCATENATE(Z8,Y8))&gt;=Parametros!$B$13,VALUE(CONCATENATE(Z8,Y8))&lt;=Parametros!$C$13),Parametros!$A$13,Parametros!$A$10)))</f>
        <v>Verano</v>
      </c>
    </row>
    <row r="9" spans="1:31" x14ac:dyDescent="0.25">
      <c r="A9" s="221">
        <f t="shared" si="11"/>
        <v>45297</v>
      </c>
      <c r="B9" s="130" t="str">
        <f t="shared" si="0"/>
        <v/>
      </c>
      <c r="C9" s="217">
        <f t="shared" si="1"/>
        <v>0</v>
      </c>
      <c r="D9" s="217">
        <f t="shared" si="1"/>
        <v>0</v>
      </c>
      <c r="E9" s="218">
        <f>SUMIF(Consolidado!$A$6:$A$380,'TOTALES DIARIOS'!A9,Consolidado!$E$6:$E$380)</f>
        <v>0</v>
      </c>
      <c r="F9" s="218">
        <f>SUMIF(Consolidado!$A$6:$A$380,'TOTALES DIARIOS'!A9,Consolidado!$F$6:$F$380)</f>
        <v>0</v>
      </c>
      <c r="G9" s="218">
        <f>SUMIF(Consolidado!$A$6:$A$380,'TOTALES DIARIOS'!A9,Consolidado!$G$6:$G$380)</f>
        <v>0</v>
      </c>
      <c r="H9" s="219">
        <f t="shared" si="2"/>
        <v>0</v>
      </c>
      <c r="I9" s="99">
        <f t="shared" si="3"/>
        <v>0</v>
      </c>
      <c r="J9" s="99">
        <f t="shared" si="4"/>
        <v>0</v>
      </c>
      <c r="K9" s="113">
        <f t="shared" si="5"/>
        <v>2024</v>
      </c>
      <c r="L9" s="113">
        <f t="shared" si="6"/>
        <v>1</v>
      </c>
      <c r="M9" s="115">
        <f t="array" ref="M9">MIN(IF(Consolidado!$A$6:$A$1000='TOTALES DIARIOS'!A9,IF(Consolidado!$C$6:$C$1000&gt;TIMEVALUE("07:00"),Consolidado!$C$6:$C$1000,1)))</f>
        <v>0</v>
      </c>
      <c r="N9" s="115">
        <f t="array" ref="N9">MIN(IF(Consolidado!$A$6:$A$1000='TOTALES DIARIOS'!A9,IF(Consolidado!$C$6:$C$1000&lt;=M9,Consolidado!$C$6:$C$1000,1)))</f>
        <v>0</v>
      </c>
      <c r="O9" s="115">
        <f t="array" ref="O9">MAX(IF(Consolidado!$A$6:$A$1000='TOTALES DIARIOS'!A9,IF(Consolidado!$D$6:$D$1000&gt;=M9,Consolidado!$D$6:$D$1000,0)))</f>
        <v>0</v>
      </c>
      <c r="P9" s="118">
        <f t="array" ref="P9">MAX(IF(Consolidado!$A$6:$A$1000='TOTALES DIARIOS'!A9,IF(Consolidado!$D$6:$D$1000&lt;=M9,Consolidado!$D$6:$D$1000,0)))</f>
        <v>0</v>
      </c>
      <c r="Q9" s="117">
        <f t="shared" ref="Q9:Q72" si="13">IF(M9&lt;&gt;1,MAX(M9,N9),N9)</f>
        <v>0</v>
      </c>
      <c r="R9" s="117">
        <f t="shared" si="12"/>
        <v>0</v>
      </c>
      <c r="S9" s="104" t="str">
        <f t="shared" si="8"/>
        <v>NO</v>
      </c>
      <c r="T9" s="119">
        <v>7</v>
      </c>
      <c r="U9" s="120">
        <v>10</v>
      </c>
      <c r="V9" s="121">
        <v>12</v>
      </c>
      <c r="Y9" s="108" t="str">
        <f t="shared" si="9"/>
        <v>06</v>
      </c>
      <c r="Z9" s="107" t="str">
        <f t="shared" si="10"/>
        <v>01</v>
      </c>
      <c r="AA9" s="109">
        <f>IFERROR(VLOOKUP(AE9,Parametros!$A$10:$G$13,4,0),0)</f>
        <v>0.375</v>
      </c>
      <c r="AB9" s="110">
        <f>IFERROR(VLOOKUP(AE9,Parametros!$A$10:$G$13,5,0),0)</f>
        <v>0.95833333333333337</v>
      </c>
      <c r="AC9" s="110">
        <f>IFERROR(VLOOKUP(AE9,Parametros!$A$10:$G$13,6,0),0)</f>
        <v>0.9590277777777777</v>
      </c>
      <c r="AD9" s="111">
        <f>IFERROR(VLOOKUP(AE9,Parametros!$A$10:$G$13,7,0),0)</f>
        <v>0.3743055555555555</v>
      </c>
      <c r="AE9" s="112" t="str">
        <f>IF(AND(VALUE(CONCATENATE(Z9,Y9))&gt;=Parametros!$B$11,VALUE(CONCATENATE(Z9,Y9))&lt;=Parametros!$C$11),Parametros!$A$11,IF(AND(VALUE(CONCATENATE(Z9,Y9))&gt;=Parametros!$B$12,VALUE(CONCATENATE(Z9,Y9))&lt;=Parametros!$C$12),Parametros!$A$12,IF(AND(VALUE(CONCATENATE(Z9,Y9))&gt;=Parametros!$B$13,VALUE(CONCATENATE(Z9,Y9))&lt;=Parametros!$C$13),Parametros!$A$13,Parametros!$A$10)))</f>
        <v>Verano</v>
      </c>
    </row>
    <row r="10" spans="1:31" x14ac:dyDescent="0.25">
      <c r="A10" s="221">
        <f t="shared" si="11"/>
        <v>45298</v>
      </c>
      <c r="B10" s="130" t="str">
        <f t="shared" si="0"/>
        <v/>
      </c>
      <c r="C10" s="217">
        <f t="shared" si="1"/>
        <v>0</v>
      </c>
      <c r="D10" s="217">
        <f t="shared" si="1"/>
        <v>0</v>
      </c>
      <c r="E10" s="218">
        <f>SUMIF(Consolidado!$A$6:$A$380,'TOTALES DIARIOS'!A10,Consolidado!$E$6:$E$380)</f>
        <v>0</v>
      </c>
      <c r="F10" s="218">
        <f>SUMIF(Consolidado!$A$6:$A$380,'TOTALES DIARIOS'!A10,Consolidado!$F$6:$F$380)</f>
        <v>0</v>
      </c>
      <c r="G10" s="218">
        <f>SUMIF(Consolidado!$A$6:$A$380,'TOTALES DIARIOS'!A10,Consolidado!$G$6:$G$380)</f>
        <v>0</v>
      </c>
      <c r="H10" s="219">
        <f t="shared" si="2"/>
        <v>0</v>
      </c>
      <c r="I10" s="99">
        <f t="shared" si="3"/>
        <v>0</v>
      </c>
      <c r="J10" s="99">
        <f t="shared" si="4"/>
        <v>0</v>
      </c>
      <c r="K10" s="113">
        <f t="shared" si="5"/>
        <v>2024</v>
      </c>
      <c r="L10" s="113">
        <f t="shared" si="6"/>
        <v>1</v>
      </c>
      <c r="M10" s="115">
        <f t="array" ref="M10">MIN(IF(Consolidado!$A$6:$A$1000='TOTALES DIARIOS'!A10,IF(Consolidado!$C$6:$C$1000&gt;TIMEVALUE("07:00"),Consolidado!$C$6:$C$1000,1)))</f>
        <v>0</v>
      </c>
      <c r="N10" s="115">
        <f t="array" ref="N10">MIN(IF(Consolidado!$A$6:$A$1000='TOTALES DIARIOS'!A10,IF(Consolidado!$C$6:$C$1000&lt;=M10,Consolidado!$C$6:$C$1000,1)))</f>
        <v>0</v>
      </c>
      <c r="O10" s="115">
        <f t="array" ref="O10">MAX(IF(Consolidado!$A$6:$A$1000='TOTALES DIARIOS'!A10,IF(Consolidado!$D$6:$D$1000&gt;=M10,Consolidado!$D$6:$D$1000,0)))</f>
        <v>0</v>
      </c>
      <c r="P10" s="118">
        <f t="array" ref="P10">MAX(IF(Consolidado!$A$6:$A$1000='TOTALES DIARIOS'!A10,IF(Consolidado!$D$6:$D$1000&lt;=M10,Consolidado!$D$6:$D$1000,0)))</f>
        <v>0</v>
      </c>
      <c r="Q10" s="117">
        <f t="shared" si="13"/>
        <v>0</v>
      </c>
      <c r="R10" s="117">
        <f t="shared" si="12"/>
        <v>0</v>
      </c>
      <c r="S10" s="104" t="str">
        <f t="shared" si="8"/>
        <v>NO</v>
      </c>
      <c r="T10" s="119">
        <v>8</v>
      </c>
      <c r="U10" s="120">
        <v>10</v>
      </c>
      <c r="V10" s="121">
        <v>12</v>
      </c>
      <c r="Y10" s="108" t="str">
        <f t="shared" si="9"/>
        <v>07</v>
      </c>
      <c r="Z10" s="107" t="str">
        <f t="shared" si="10"/>
        <v>01</v>
      </c>
      <c r="AA10" s="109">
        <f>IFERROR(VLOOKUP(AE10,Parametros!$A$10:$G$13,4,0),0)</f>
        <v>0.375</v>
      </c>
      <c r="AB10" s="110">
        <f>IFERROR(VLOOKUP(AE10,Parametros!$A$10:$G$13,5,0),0)</f>
        <v>0.95833333333333337</v>
      </c>
      <c r="AC10" s="110">
        <f>IFERROR(VLOOKUP(AE10,Parametros!$A$10:$G$13,6,0),0)</f>
        <v>0.9590277777777777</v>
      </c>
      <c r="AD10" s="111">
        <f>IFERROR(VLOOKUP(AE10,Parametros!$A$10:$G$13,7,0),0)</f>
        <v>0.3743055555555555</v>
      </c>
      <c r="AE10" s="112" t="str">
        <f>IF(AND(VALUE(CONCATENATE(Z10,Y10))&gt;=Parametros!$B$11,VALUE(CONCATENATE(Z10,Y10))&lt;=Parametros!$C$11),Parametros!$A$11,IF(AND(VALUE(CONCATENATE(Z10,Y10))&gt;=Parametros!$B$12,VALUE(CONCATENATE(Z10,Y10))&lt;=Parametros!$C$12),Parametros!$A$12,IF(AND(VALUE(CONCATENATE(Z10,Y10))&gt;=Parametros!$B$13,VALUE(CONCATENATE(Z10,Y10))&lt;=Parametros!$C$13),Parametros!$A$13,Parametros!$A$10)))</f>
        <v>Verano</v>
      </c>
    </row>
    <row r="11" spans="1:31" x14ac:dyDescent="0.25">
      <c r="A11" s="221">
        <f t="shared" si="11"/>
        <v>45299</v>
      </c>
      <c r="B11" s="130" t="str">
        <f t="shared" si="0"/>
        <v/>
      </c>
      <c r="C11" s="217">
        <f t="shared" si="1"/>
        <v>0</v>
      </c>
      <c r="D11" s="217">
        <f t="shared" si="1"/>
        <v>0</v>
      </c>
      <c r="E11" s="218">
        <f>SUMIF(Consolidado!$A$6:$A$380,'TOTALES DIARIOS'!A11,Consolidado!$E$6:$E$380)</f>
        <v>0</v>
      </c>
      <c r="F11" s="218">
        <f>SUMIF(Consolidado!$A$6:$A$380,'TOTALES DIARIOS'!A11,Consolidado!$F$6:$F$380)</f>
        <v>0</v>
      </c>
      <c r="G11" s="218">
        <f>SUMIF(Consolidado!$A$6:$A$380,'TOTALES DIARIOS'!A11,Consolidado!$G$6:$G$380)</f>
        <v>0</v>
      </c>
      <c r="H11" s="219">
        <f t="shared" si="2"/>
        <v>0</v>
      </c>
      <c r="I11" s="99">
        <f t="shared" si="3"/>
        <v>0</v>
      </c>
      <c r="J11" s="99">
        <f t="shared" si="4"/>
        <v>0</v>
      </c>
      <c r="K11" s="113">
        <f t="shared" si="5"/>
        <v>2024</v>
      </c>
      <c r="L11" s="113">
        <f t="shared" si="6"/>
        <v>1</v>
      </c>
      <c r="M11" s="115">
        <f t="array" ref="M11">MIN(IF(Consolidado!$A$6:$A$1000='TOTALES DIARIOS'!A11,IF(Consolidado!$C$6:$C$1000&gt;TIMEVALUE("07:00"),Consolidado!$C$6:$C$1000,1)))</f>
        <v>0</v>
      </c>
      <c r="N11" s="115">
        <f t="array" ref="N11">MIN(IF(Consolidado!$A$6:$A$1000='TOTALES DIARIOS'!A11,IF(Consolidado!$C$6:$C$1000&lt;=M11,Consolidado!$C$6:$C$1000,1)))</f>
        <v>0</v>
      </c>
      <c r="O11" s="115">
        <f t="array" ref="O11">MAX(IF(Consolidado!$A$6:$A$1000='TOTALES DIARIOS'!A11,IF(Consolidado!$D$6:$D$1000&gt;=M11,Consolidado!$D$6:$D$1000,0)))</f>
        <v>0</v>
      </c>
      <c r="P11" s="118">
        <f t="array" ref="P11">MAX(IF(Consolidado!$A$6:$A$1000='TOTALES DIARIOS'!A11,IF(Consolidado!$D$6:$D$1000&lt;=M11,Consolidado!$D$6:$D$1000,0)))</f>
        <v>0</v>
      </c>
      <c r="Q11" s="117">
        <f t="shared" si="13"/>
        <v>0</v>
      </c>
      <c r="R11" s="117">
        <f t="shared" si="12"/>
        <v>0</v>
      </c>
      <c r="S11" s="104" t="str">
        <f t="shared" si="8"/>
        <v>NO</v>
      </c>
      <c r="T11" s="119">
        <v>9</v>
      </c>
      <c r="U11" s="120">
        <v>11</v>
      </c>
      <c r="V11" s="121">
        <v>13</v>
      </c>
      <c r="Y11" s="108" t="str">
        <f t="shared" si="9"/>
        <v>08</v>
      </c>
      <c r="Z11" s="107" t="str">
        <f t="shared" si="10"/>
        <v>01</v>
      </c>
      <c r="AA11" s="109">
        <f>IFERROR(VLOOKUP(AE11,Parametros!$A$10:$G$13,4,0),0)</f>
        <v>0.375</v>
      </c>
      <c r="AB11" s="110">
        <f>IFERROR(VLOOKUP(AE11,Parametros!$A$10:$G$13,5,0),0)</f>
        <v>0.95833333333333337</v>
      </c>
      <c r="AC11" s="110">
        <f>IFERROR(VLOOKUP(AE11,Parametros!$A$10:$G$13,6,0),0)</f>
        <v>0.9590277777777777</v>
      </c>
      <c r="AD11" s="111">
        <f>IFERROR(VLOOKUP(AE11,Parametros!$A$10:$G$13,7,0),0)</f>
        <v>0.3743055555555555</v>
      </c>
      <c r="AE11" s="112" t="str">
        <f>IF(AND(VALUE(CONCATENATE(Z11,Y11))&gt;=Parametros!$B$11,VALUE(CONCATENATE(Z11,Y11))&lt;=Parametros!$C$11),Parametros!$A$11,IF(AND(VALUE(CONCATENATE(Z11,Y11))&gt;=Parametros!$B$12,VALUE(CONCATENATE(Z11,Y11))&lt;=Parametros!$C$12),Parametros!$A$12,IF(AND(VALUE(CONCATENATE(Z11,Y11))&gt;=Parametros!$B$13,VALUE(CONCATENATE(Z11,Y11))&lt;=Parametros!$C$13),Parametros!$A$13,Parametros!$A$10)))</f>
        <v>Verano</v>
      </c>
    </row>
    <row r="12" spans="1:31" x14ac:dyDescent="0.25">
      <c r="A12" s="221">
        <f t="shared" si="11"/>
        <v>45300</v>
      </c>
      <c r="B12" s="130" t="str">
        <f t="shared" si="0"/>
        <v/>
      </c>
      <c r="C12" s="217">
        <f t="shared" si="1"/>
        <v>0</v>
      </c>
      <c r="D12" s="217">
        <f t="shared" si="1"/>
        <v>0</v>
      </c>
      <c r="E12" s="218">
        <f>SUMIF(Consolidado!$A$6:$A$380,'TOTALES DIARIOS'!A12,Consolidado!$E$6:$E$380)</f>
        <v>0</v>
      </c>
      <c r="F12" s="218">
        <f>SUMIF(Consolidado!$A$6:$A$380,'TOTALES DIARIOS'!A12,Consolidado!$F$6:$F$380)</f>
        <v>0</v>
      </c>
      <c r="G12" s="218">
        <f>SUMIF(Consolidado!$A$6:$A$380,'TOTALES DIARIOS'!A12,Consolidado!$G$6:$G$380)</f>
        <v>0</v>
      </c>
      <c r="H12" s="219">
        <f t="shared" si="2"/>
        <v>0</v>
      </c>
      <c r="I12" s="99">
        <f t="shared" si="3"/>
        <v>0</v>
      </c>
      <c r="J12" s="99">
        <f t="shared" si="4"/>
        <v>0</v>
      </c>
      <c r="K12" s="113">
        <f t="shared" si="5"/>
        <v>2024</v>
      </c>
      <c r="L12" s="113">
        <f t="shared" si="6"/>
        <v>1</v>
      </c>
      <c r="M12" s="115">
        <f t="array" ref="M12">MIN(IF(Consolidado!$A$6:$A$1000='TOTALES DIARIOS'!A12,IF(Consolidado!$C$6:$C$1000&gt;TIMEVALUE("07:00"),Consolidado!$C$6:$C$1000,1)))</f>
        <v>0</v>
      </c>
      <c r="N12" s="115">
        <f t="array" ref="N12">MIN(IF(Consolidado!$A$6:$A$1000='TOTALES DIARIOS'!A12,IF(Consolidado!$C$6:$C$1000&lt;=M12,Consolidado!$C$6:$C$1000,1)))</f>
        <v>0</v>
      </c>
      <c r="O12" s="115">
        <f t="array" ref="O12">MAX(IF(Consolidado!$A$6:$A$1000='TOTALES DIARIOS'!A12,IF(Consolidado!$D$6:$D$1000&gt;=M12,Consolidado!$D$6:$D$1000,0)))</f>
        <v>0</v>
      </c>
      <c r="P12" s="118">
        <f t="array" ref="P12">MAX(IF(Consolidado!$A$6:$A$1000='TOTALES DIARIOS'!A12,IF(Consolidado!$D$6:$D$1000&lt;=M12,Consolidado!$D$6:$D$1000,0)))</f>
        <v>0</v>
      </c>
      <c r="Q12" s="117">
        <f t="shared" si="13"/>
        <v>0</v>
      </c>
      <c r="R12" s="117">
        <f t="shared" si="12"/>
        <v>0</v>
      </c>
      <c r="S12" s="104" t="str">
        <f t="shared" si="8"/>
        <v>NO</v>
      </c>
      <c r="T12" s="119">
        <v>10</v>
      </c>
      <c r="U12" s="120">
        <v>12</v>
      </c>
      <c r="V12" s="121">
        <v>14</v>
      </c>
      <c r="Y12" s="108" t="str">
        <f t="shared" si="9"/>
        <v>09</v>
      </c>
      <c r="Z12" s="107" t="str">
        <f t="shared" si="10"/>
        <v>01</v>
      </c>
      <c r="AA12" s="109">
        <f>IFERROR(VLOOKUP(AE12,Parametros!$A$10:$G$13,4,0),0)</f>
        <v>0.375</v>
      </c>
      <c r="AB12" s="110">
        <f>IFERROR(VLOOKUP(AE12,Parametros!$A$10:$G$13,5,0),0)</f>
        <v>0.95833333333333337</v>
      </c>
      <c r="AC12" s="110">
        <f>IFERROR(VLOOKUP(AE12,Parametros!$A$10:$G$13,6,0),0)</f>
        <v>0.9590277777777777</v>
      </c>
      <c r="AD12" s="111">
        <f>IFERROR(VLOOKUP(AE12,Parametros!$A$10:$G$13,7,0),0)</f>
        <v>0.3743055555555555</v>
      </c>
      <c r="AE12" s="112" t="str">
        <f>IF(AND(VALUE(CONCATENATE(Z12,Y12))&gt;=Parametros!$B$11,VALUE(CONCATENATE(Z12,Y12))&lt;=Parametros!$C$11),Parametros!$A$11,IF(AND(VALUE(CONCATENATE(Z12,Y12))&gt;=Parametros!$B$12,VALUE(CONCATENATE(Z12,Y12))&lt;=Parametros!$C$12),Parametros!$A$12,IF(AND(VALUE(CONCATENATE(Z12,Y12))&gt;=Parametros!$B$13,VALUE(CONCATENATE(Z12,Y12))&lt;=Parametros!$C$13),Parametros!$A$13,Parametros!$A$10)))</f>
        <v>Verano</v>
      </c>
    </row>
    <row r="13" spans="1:31" x14ac:dyDescent="0.25">
      <c r="A13" s="221">
        <f t="shared" si="11"/>
        <v>45301</v>
      </c>
      <c r="B13" s="130" t="str">
        <f t="shared" si="0"/>
        <v/>
      </c>
      <c r="C13" s="217">
        <f t="shared" si="1"/>
        <v>0</v>
      </c>
      <c r="D13" s="217">
        <f t="shared" si="1"/>
        <v>0</v>
      </c>
      <c r="E13" s="218">
        <f>SUMIF(Consolidado!$A$6:$A$380,'TOTALES DIARIOS'!A13,Consolidado!$E$6:$E$380)</f>
        <v>0</v>
      </c>
      <c r="F13" s="218">
        <f>SUMIF(Consolidado!$A$6:$A$380,'TOTALES DIARIOS'!A13,Consolidado!$F$6:$F$380)</f>
        <v>0</v>
      </c>
      <c r="G13" s="218">
        <f>SUMIF(Consolidado!$A$6:$A$380,'TOTALES DIARIOS'!A13,Consolidado!$G$6:$G$380)</f>
        <v>0</v>
      </c>
      <c r="H13" s="219">
        <f t="shared" si="2"/>
        <v>0</v>
      </c>
      <c r="I13" s="99">
        <f t="shared" si="3"/>
        <v>0</v>
      </c>
      <c r="J13" s="99">
        <f t="shared" si="4"/>
        <v>0</v>
      </c>
      <c r="K13" s="113">
        <f t="shared" si="5"/>
        <v>2024</v>
      </c>
      <c r="L13" s="113">
        <f t="shared" si="6"/>
        <v>1</v>
      </c>
      <c r="M13" s="115">
        <f t="array" ref="M13">MIN(IF(Consolidado!$A$6:$A$1000='TOTALES DIARIOS'!A13,IF(Consolidado!$C$6:$C$1000&gt;TIMEVALUE("07:00"),Consolidado!$C$6:$C$1000,1)))</f>
        <v>0</v>
      </c>
      <c r="N13" s="115">
        <f t="array" ref="N13">MIN(IF(Consolidado!$A$6:$A$1000='TOTALES DIARIOS'!A13,IF(Consolidado!$C$6:$C$1000&lt;=M13,Consolidado!$C$6:$C$1000,1)))</f>
        <v>0</v>
      </c>
      <c r="O13" s="115">
        <f t="array" ref="O13">MAX(IF(Consolidado!$A$6:$A$1000='TOTALES DIARIOS'!A13,IF(Consolidado!$D$6:$D$1000&gt;=M13,Consolidado!$D$6:$D$1000,0)))</f>
        <v>0</v>
      </c>
      <c r="P13" s="118">
        <f t="array" ref="P13">MAX(IF(Consolidado!$A$6:$A$1000='TOTALES DIARIOS'!A13,IF(Consolidado!$D$6:$D$1000&lt;=M13,Consolidado!$D$6:$D$1000,0)))</f>
        <v>0</v>
      </c>
      <c r="Q13" s="117">
        <f t="shared" si="13"/>
        <v>0</v>
      </c>
      <c r="R13" s="117">
        <f t="shared" si="12"/>
        <v>0</v>
      </c>
      <c r="S13" s="104" t="str">
        <f t="shared" si="8"/>
        <v>NO</v>
      </c>
      <c r="T13" s="119">
        <v>11</v>
      </c>
      <c r="U13" s="120">
        <v>13</v>
      </c>
      <c r="V13" s="121">
        <v>15</v>
      </c>
      <c r="Y13" s="108" t="str">
        <f t="shared" si="9"/>
        <v>10</v>
      </c>
      <c r="Z13" s="107" t="str">
        <f t="shared" si="10"/>
        <v>01</v>
      </c>
      <c r="AA13" s="109">
        <f>IFERROR(VLOOKUP(AE13,Parametros!$A$10:$G$13,4,0),0)</f>
        <v>0.375</v>
      </c>
      <c r="AB13" s="110">
        <f>IFERROR(VLOOKUP(AE13,Parametros!$A$10:$G$13,5,0),0)</f>
        <v>0.95833333333333337</v>
      </c>
      <c r="AC13" s="110">
        <f>IFERROR(VLOOKUP(AE13,Parametros!$A$10:$G$13,6,0),0)</f>
        <v>0.9590277777777777</v>
      </c>
      <c r="AD13" s="111">
        <f>IFERROR(VLOOKUP(AE13,Parametros!$A$10:$G$13,7,0),0)</f>
        <v>0.3743055555555555</v>
      </c>
      <c r="AE13" s="112" t="str">
        <f>IF(AND(VALUE(CONCATENATE(Z13,Y13))&gt;=Parametros!$B$11,VALUE(CONCATENATE(Z13,Y13))&lt;=Parametros!$C$11),Parametros!$A$11,IF(AND(VALUE(CONCATENATE(Z13,Y13))&gt;=Parametros!$B$12,VALUE(CONCATENATE(Z13,Y13))&lt;=Parametros!$C$12),Parametros!$A$12,IF(AND(VALUE(CONCATENATE(Z13,Y13))&gt;=Parametros!$B$13,VALUE(CONCATENATE(Z13,Y13))&lt;=Parametros!$C$13),Parametros!$A$13,Parametros!$A$10)))</f>
        <v>Verano</v>
      </c>
    </row>
    <row r="14" spans="1:31" x14ac:dyDescent="0.25">
      <c r="A14" s="221">
        <f t="shared" si="11"/>
        <v>45302</v>
      </c>
      <c r="B14" s="130" t="str">
        <f t="shared" si="0"/>
        <v/>
      </c>
      <c r="C14" s="217">
        <f t="shared" si="1"/>
        <v>0</v>
      </c>
      <c r="D14" s="217">
        <f t="shared" si="1"/>
        <v>0</v>
      </c>
      <c r="E14" s="218">
        <f>SUMIF(Consolidado!$A$6:$A$380,'TOTALES DIARIOS'!A14,Consolidado!$E$6:$E$380)</f>
        <v>0</v>
      </c>
      <c r="F14" s="218">
        <f>SUMIF(Consolidado!$A$6:$A$380,'TOTALES DIARIOS'!A14,Consolidado!$F$6:$F$380)</f>
        <v>0</v>
      </c>
      <c r="G14" s="218">
        <f>SUMIF(Consolidado!$A$6:$A$380,'TOTALES DIARIOS'!A14,Consolidado!$G$6:$G$380)</f>
        <v>0</v>
      </c>
      <c r="H14" s="219">
        <f t="shared" si="2"/>
        <v>0</v>
      </c>
      <c r="I14" s="99">
        <f t="shared" si="3"/>
        <v>0</v>
      </c>
      <c r="J14" s="99">
        <f t="shared" si="4"/>
        <v>0</v>
      </c>
      <c r="K14" s="113">
        <f t="shared" si="5"/>
        <v>2024</v>
      </c>
      <c r="L14" s="113">
        <f t="shared" si="6"/>
        <v>1</v>
      </c>
      <c r="M14" s="115">
        <f t="array" ref="M14">MIN(IF(Consolidado!$A$6:$A$1000='TOTALES DIARIOS'!A14,IF(Consolidado!$C$6:$C$1000&gt;TIMEVALUE("07:00"),Consolidado!$C$6:$C$1000,1)))</f>
        <v>0</v>
      </c>
      <c r="N14" s="115">
        <f t="array" ref="N14">MIN(IF(Consolidado!$A$6:$A$1000='TOTALES DIARIOS'!A14,IF(Consolidado!$C$6:$C$1000&lt;=M14,Consolidado!$C$6:$C$1000,1)))</f>
        <v>0</v>
      </c>
      <c r="O14" s="115">
        <f t="array" ref="O14">MAX(IF(Consolidado!$A$6:$A$1000='TOTALES DIARIOS'!A14,IF(Consolidado!$D$6:$D$1000&gt;=M14,Consolidado!$D$6:$D$1000,0)))</f>
        <v>0</v>
      </c>
      <c r="P14" s="118">
        <f t="array" ref="P14">MAX(IF(Consolidado!$A$6:$A$1000='TOTALES DIARIOS'!A14,IF(Consolidado!$D$6:$D$1000&lt;=M14,Consolidado!$D$6:$D$1000,0)))</f>
        <v>0</v>
      </c>
      <c r="Q14" s="117">
        <f t="shared" si="13"/>
        <v>0</v>
      </c>
      <c r="R14" s="117">
        <f t="shared" si="12"/>
        <v>0</v>
      </c>
      <c r="S14" s="104" t="str">
        <f t="shared" si="8"/>
        <v>NO</v>
      </c>
      <c r="T14" s="119">
        <v>12</v>
      </c>
      <c r="U14" s="120">
        <v>14</v>
      </c>
      <c r="V14" s="121">
        <v>16</v>
      </c>
      <c r="Y14" s="108" t="str">
        <f t="shared" si="9"/>
        <v>11</v>
      </c>
      <c r="Z14" s="107" t="str">
        <f t="shared" si="10"/>
        <v>01</v>
      </c>
      <c r="AA14" s="109">
        <f>IFERROR(VLOOKUP(AE14,Parametros!$A$10:$G$13,4,0),0)</f>
        <v>0.375</v>
      </c>
      <c r="AB14" s="110">
        <f>IFERROR(VLOOKUP(AE14,Parametros!$A$10:$G$13,5,0),0)</f>
        <v>0.95833333333333337</v>
      </c>
      <c r="AC14" s="110">
        <f>IFERROR(VLOOKUP(AE14,Parametros!$A$10:$G$13,6,0),0)</f>
        <v>0.9590277777777777</v>
      </c>
      <c r="AD14" s="111">
        <f>IFERROR(VLOOKUP(AE14,Parametros!$A$10:$G$13,7,0),0)</f>
        <v>0.3743055555555555</v>
      </c>
      <c r="AE14" s="112" t="str">
        <f>IF(AND(VALUE(CONCATENATE(Z14,Y14))&gt;=Parametros!$B$11,VALUE(CONCATENATE(Z14,Y14))&lt;=Parametros!$C$11),Parametros!$A$11,IF(AND(VALUE(CONCATENATE(Z14,Y14))&gt;=Parametros!$B$12,VALUE(CONCATENATE(Z14,Y14))&lt;=Parametros!$C$12),Parametros!$A$12,IF(AND(VALUE(CONCATENATE(Z14,Y14))&gt;=Parametros!$B$13,VALUE(CONCATENATE(Z14,Y14))&lt;=Parametros!$C$13),Parametros!$A$13,Parametros!$A$10)))</f>
        <v>Verano</v>
      </c>
    </row>
    <row r="15" spans="1:31" x14ac:dyDescent="0.25">
      <c r="A15" s="221">
        <f t="shared" si="11"/>
        <v>45303</v>
      </c>
      <c r="B15" s="130" t="str">
        <f t="shared" si="0"/>
        <v/>
      </c>
      <c r="C15" s="217">
        <f t="shared" si="1"/>
        <v>0</v>
      </c>
      <c r="D15" s="217">
        <f t="shared" si="1"/>
        <v>0</v>
      </c>
      <c r="E15" s="218">
        <f>SUMIF(Consolidado!$A$6:$A$380,'TOTALES DIARIOS'!A15,Consolidado!$E$6:$E$380)</f>
        <v>0</v>
      </c>
      <c r="F15" s="218">
        <f>SUMIF(Consolidado!$A$6:$A$380,'TOTALES DIARIOS'!A15,Consolidado!$F$6:$F$380)</f>
        <v>0</v>
      </c>
      <c r="G15" s="218">
        <f>SUMIF(Consolidado!$A$6:$A$380,'TOTALES DIARIOS'!A15,Consolidado!$G$6:$G$380)</f>
        <v>0</v>
      </c>
      <c r="H15" s="219">
        <f t="shared" si="2"/>
        <v>0</v>
      </c>
      <c r="I15" s="99">
        <f t="shared" si="3"/>
        <v>0</v>
      </c>
      <c r="J15" s="99">
        <f t="shared" si="4"/>
        <v>0</v>
      </c>
      <c r="K15" s="113">
        <f t="shared" si="5"/>
        <v>2024</v>
      </c>
      <c r="L15" s="113">
        <f t="shared" si="6"/>
        <v>1</v>
      </c>
      <c r="M15" s="115">
        <f t="array" ref="M15">MIN(IF(Consolidado!$A$6:$A$1000='TOTALES DIARIOS'!A15,IF(Consolidado!$C$6:$C$1000&gt;TIMEVALUE("07:00"),Consolidado!$C$6:$C$1000,1)))</f>
        <v>0</v>
      </c>
      <c r="N15" s="115">
        <f t="array" ref="N15">MIN(IF(Consolidado!$A$6:$A$1000='TOTALES DIARIOS'!A15,IF(Consolidado!$C$6:$C$1000&lt;=M15,Consolidado!$C$6:$C$1000,1)))</f>
        <v>0</v>
      </c>
      <c r="O15" s="115">
        <f t="array" ref="O15">MAX(IF(Consolidado!$A$6:$A$1000='TOTALES DIARIOS'!A15,IF(Consolidado!$D$6:$D$1000&gt;=M15,Consolidado!$D$6:$D$1000,0)))</f>
        <v>0</v>
      </c>
      <c r="P15" s="118">
        <f t="array" ref="P15">MAX(IF(Consolidado!$A$6:$A$1000='TOTALES DIARIOS'!A15,IF(Consolidado!$D$6:$D$1000&lt;=M15,Consolidado!$D$6:$D$1000,0)))</f>
        <v>0</v>
      </c>
      <c r="Q15" s="117">
        <f t="shared" si="13"/>
        <v>0</v>
      </c>
      <c r="R15" s="117">
        <f t="shared" si="12"/>
        <v>0</v>
      </c>
      <c r="S15" s="104" t="str">
        <f t="shared" si="8"/>
        <v>NO</v>
      </c>
      <c r="T15" s="119">
        <v>13</v>
      </c>
      <c r="U15" s="120">
        <v>15</v>
      </c>
      <c r="V15" s="121">
        <v>16</v>
      </c>
      <c r="Y15" s="108" t="str">
        <f t="shared" si="9"/>
        <v>12</v>
      </c>
      <c r="Z15" s="107" t="str">
        <f t="shared" si="10"/>
        <v>01</v>
      </c>
      <c r="AA15" s="109">
        <f>IFERROR(VLOOKUP(AE15,Parametros!$A$10:$G$13,4,0),0)</f>
        <v>0.375</v>
      </c>
      <c r="AB15" s="110">
        <f>IFERROR(VLOOKUP(AE15,Parametros!$A$10:$G$13,5,0),0)</f>
        <v>0.95833333333333337</v>
      </c>
      <c r="AC15" s="110">
        <f>IFERROR(VLOOKUP(AE15,Parametros!$A$10:$G$13,6,0),0)</f>
        <v>0.9590277777777777</v>
      </c>
      <c r="AD15" s="111">
        <f>IFERROR(VLOOKUP(AE15,Parametros!$A$10:$G$13,7,0),0)</f>
        <v>0.3743055555555555</v>
      </c>
      <c r="AE15" s="112" t="str">
        <f>IF(AND(VALUE(CONCATENATE(Z15,Y15))&gt;=Parametros!$B$11,VALUE(CONCATENATE(Z15,Y15))&lt;=Parametros!$C$11),Parametros!$A$11,IF(AND(VALUE(CONCATENATE(Z15,Y15))&gt;=Parametros!$B$12,VALUE(CONCATENATE(Z15,Y15))&lt;=Parametros!$C$12),Parametros!$A$12,IF(AND(VALUE(CONCATENATE(Z15,Y15))&gt;=Parametros!$B$13,VALUE(CONCATENATE(Z15,Y15))&lt;=Parametros!$C$13),Parametros!$A$13,Parametros!$A$10)))</f>
        <v>Verano</v>
      </c>
    </row>
    <row r="16" spans="1:31" x14ac:dyDescent="0.25">
      <c r="A16" s="221">
        <f t="shared" si="11"/>
        <v>45304</v>
      </c>
      <c r="B16" s="130" t="str">
        <f t="shared" si="0"/>
        <v/>
      </c>
      <c r="C16" s="217">
        <f t="shared" si="1"/>
        <v>0</v>
      </c>
      <c r="D16" s="217">
        <f t="shared" si="1"/>
        <v>0</v>
      </c>
      <c r="E16" s="218">
        <f>SUMIF(Consolidado!$A$6:$A$380,'TOTALES DIARIOS'!A16,Consolidado!$E$6:$E$380)</f>
        <v>0</v>
      </c>
      <c r="F16" s="218">
        <f>SUMIF(Consolidado!$A$6:$A$380,'TOTALES DIARIOS'!A16,Consolidado!$F$6:$F$380)</f>
        <v>0</v>
      </c>
      <c r="G16" s="218">
        <f>SUMIF(Consolidado!$A$6:$A$380,'TOTALES DIARIOS'!A16,Consolidado!$G$6:$G$380)</f>
        <v>0</v>
      </c>
      <c r="H16" s="219">
        <f t="shared" si="2"/>
        <v>0</v>
      </c>
      <c r="I16" s="99">
        <f t="shared" si="3"/>
        <v>0</v>
      </c>
      <c r="J16" s="99">
        <f t="shared" si="4"/>
        <v>0</v>
      </c>
      <c r="K16" s="113">
        <f t="shared" si="5"/>
        <v>2024</v>
      </c>
      <c r="L16" s="113">
        <f t="shared" si="6"/>
        <v>1</v>
      </c>
      <c r="M16" s="115">
        <f t="array" ref="M16">MIN(IF(Consolidado!$A$6:$A$1000='TOTALES DIARIOS'!A16,IF(Consolidado!$C$6:$C$1000&gt;TIMEVALUE("07:00"),Consolidado!$C$6:$C$1000,1)))</f>
        <v>0</v>
      </c>
      <c r="N16" s="115">
        <f t="array" ref="N16">MIN(IF(Consolidado!$A$6:$A$1000='TOTALES DIARIOS'!A16,IF(Consolidado!$C$6:$C$1000&lt;=M16,Consolidado!$C$6:$C$1000,1)))</f>
        <v>0</v>
      </c>
      <c r="O16" s="115">
        <f t="array" ref="O16">MAX(IF(Consolidado!$A$6:$A$1000='TOTALES DIARIOS'!A16,IF(Consolidado!$D$6:$D$1000&gt;=M16,Consolidado!$D$6:$D$1000,0)))</f>
        <v>0</v>
      </c>
      <c r="P16" s="118">
        <f t="array" ref="P16">MAX(IF(Consolidado!$A$6:$A$1000='TOTALES DIARIOS'!A16,IF(Consolidado!$D$6:$D$1000&lt;=M16,Consolidado!$D$6:$D$1000,0)))</f>
        <v>0</v>
      </c>
      <c r="Q16" s="117">
        <f t="shared" si="13"/>
        <v>0</v>
      </c>
      <c r="R16" s="117">
        <f t="shared" si="12"/>
        <v>0</v>
      </c>
      <c r="S16" s="104" t="str">
        <f t="shared" si="8"/>
        <v>NO</v>
      </c>
      <c r="T16" s="119">
        <v>14</v>
      </c>
      <c r="U16" s="120">
        <v>16</v>
      </c>
      <c r="V16" s="121">
        <v>17</v>
      </c>
      <c r="Y16" s="108" t="str">
        <f t="shared" si="9"/>
        <v>13</v>
      </c>
      <c r="Z16" s="107" t="str">
        <f t="shared" si="10"/>
        <v>01</v>
      </c>
      <c r="AA16" s="109">
        <f>IFERROR(VLOOKUP(AE16,Parametros!$A$10:$G$13,4,0),0)</f>
        <v>0.375</v>
      </c>
      <c r="AB16" s="110">
        <f>IFERROR(VLOOKUP(AE16,Parametros!$A$10:$G$13,5,0),0)</f>
        <v>0.95833333333333337</v>
      </c>
      <c r="AC16" s="110">
        <f>IFERROR(VLOOKUP(AE16,Parametros!$A$10:$G$13,6,0),0)</f>
        <v>0.9590277777777777</v>
      </c>
      <c r="AD16" s="111">
        <f>IFERROR(VLOOKUP(AE16,Parametros!$A$10:$G$13,7,0),0)</f>
        <v>0.3743055555555555</v>
      </c>
      <c r="AE16" s="112" t="str">
        <f>IF(AND(VALUE(CONCATENATE(Z16,Y16))&gt;=Parametros!$B$11,VALUE(CONCATENATE(Z16,Y16))&lt;=Parametros!$C$11),Parametros!$A$11,IF(AND(VALUE(CONCATENATE(Z16,Y16))&gt;=Parametros!$B$12,VALUE(CONCATENATE(Z16,Y16))&lt;=Parametros!$C$12),Parametros!$A$12,IF(AND(VALUE(CONCATENATE(Z16,Y16))&gt;=Parametros!$B$13,VALUE(CONCATENATE(Z16,Y16))&lt;=Parametros!$C$13),Parametros!$A$13,Parametros!$A$10)))</f>
        <v>Verano</v>
      </c>
    </row>
    <row r="17" spans="1:31" x14ac:dyDescent="0.25">
      <c r="A17" s="221">
        <f t="shared" si="11"/>
        <v>45305</v>
      </c>
      <c r="B17" s="130" t="str">
        <f t="shared" si="0"/>
        <v/>
      </c>
      <c r="C17" s="217">
        <f t="shared" si="1"/>
        <v>0</v>
      </c>
      <c r="D17" s="217">
        <f t="shared" si="1"/>
        <v>0</v>
      </c>
      <c r="E17" s="218">
        <f>SUMIF(Consolidado!$A$6:$A$380,'TOTALES DIARIOS'!A17,Consolidado!$E$6:$E$380)</f>
        <v>0</v>
      </c>
      <c r="F17" s="218">
        <f>SUMIF(Consolidado!$A$6:$A$380,'TOTALES DIARIOS'!A17,Consolidado!$F$6:$F$380)</f>
        <v>0</v>
      </c>
      <c r="G17" s="218">
        <f>SUMIF(Consolidado!$A$6:$A$380,'TOTALES DIARIOS'!A17,Consolidado!$G$6:$G$380)</f>
        <v>0</v>
      </c>
      <c r="H17" s="219">
        <f t="shared" si="2"/>
        <v>0</v>
      </c>
      <c r="I17" s="99">
        <f t="shared" si="3"/>
        <v>0</v>
      </c>
      <c r="J17" s="99">
        <f t="shared" si="4"/>
        <v>0</v>
      </c>
      <c r="K17" s="113">
        <f t="shared" si="5"/>
        <v>2024</v>
      </c>
      <c r="L17" s="113">
        <f t="shared" si="6"/>
        <v>1</v>
      </c>
      <c r="M17" s="115">
        <f t="array" ref="M17">MIN(IF(Consolidado!$A$6:$A$1000='TOTALES DIARIOS'!A17,IF(Consolidado!$C$6:$C$1000&gt;TIMEVALUE("07:00"),Consolidado!$C$6:$C$1000,1)))</f>
        <v>0</v>
      </c>
      <c r="N17" s="115">
        <f t="array" ref="N17">MIN(IF(Consolidado!$A$6:$A$1000='TOTALES DIARIOS'!A17,IF(Consolidado!$C$6:$C$1000&lt;=M17,Consolidado!$C$6:$C$1000,1)))</f>
        <v>0</v>
      </c>
      <c r="O17" s="115">
        <f t="array" ref="O17">MAX(IF(Consolidado!$A$6:$A$1000='TOTALES DIARIOS'!A17,IF(Consolidado!$D$6:$D$1000&gt;=M17,Consolidado!$D$6:$D$1000,0)))</f>
        <v>0</v>
      </c>
      <c r="P17" s="118">
        <f t="array" ref="P17">MAX(IF(Consolidado!$A$6:$A$1000='TOTALES DIARIOS'!A17,IF(Consolidado!$D$6:$D$1000&lt;=M17,Consolidado!$D$6:$D$1000,0)))</f>
        <v>0</v>
      </c>
      <c r="Q17" s="117">
        <f t="shared" si="13"/>
        <v>0</v>
      </c>
      <c r="R17" s="117">
        <f t="shared" si="12"/>
        <v>0</v>
      </c>
      <c r="S17" s="104" t="str">
        <f t="shared" si="8"/>
        <v>NO</v>
      </c>
      <c r="T17" s="119">
        <v>15</v>
      </c>
      <c r="U17" s="120">
        <v>17</v>
      </c>
      <c r="V17" s="121">
        <v>17</v>
      </c>
      <c r="Y17" s="108" t="str">
        <f t="shared" si="9"/>
        <v>14</v>
      </c>
      <c r="Z17" s="107" t="str">
        <f t="shared" si="10"/>
        <v>01</v>
      </c>
      <c r="AA17" s="109">
        <f>IFERROR(VLOOKUP(AE17,Parametros!$A$10:$G$13,4,0),0)</f>
        <v>0.375</v>
      </c>
      <c r="AB17" s="110">
        <f>IFERROR(VLOOKUP(AE17,Parametros!$A$10:$G$13,5,0),0)</f>
        <v>0.95833333333333337</v>
      </c>
      <c r="AC17" s="110">
        <f>IFERROR(VLOOKUP(AE17,Parametros!$A$10:$G$13,6,0),0)</f>
        <v>0.9590277777777777</v>
      </c>
      <c r="AD17" s="111">
        <f>IFERROR(VLOOKUP(AE17,Parametros!$A$10:$G$13,7,0),0)</f>
        <v>0.3743055555555555</v>
      </c>
      <c r="AE17" s="112" t="str">
        <f>IF(AND(VALUE(CONCATENATE(Z17,Y17))&gt;=Parametros!$B$11,VALUE(CONCATENATE(Z17,Y17))&lt;=Parametros!$C$11),Parametros!$A$11,IF(AND(VALUE(CONCATENATE(Z17,Y17))&gt;=Parametros!$B$12,VALUE(CONCATENATE(Z17,Y17))&lt;=Parametros!$C$12),Parametros!$A$12,IF(AND(VALUE(CONCATENATE(Z17,Y17))&gt;=Parametros!$B$13,VALUE(CONCATENATE(Z17,Y17))&lt;=Parametros!$C$13),Parametros!$A$13,Parametros!$A$10)))</f>
        <v>Verano</v>
      </c>
    </row>
    <row r="18" spans="1:31" x14ac:dyDescent="0.25">
      <c r="A18" s="221">
        <f t="shared" si="11"/>
        <v>45306</v>
      </c>
      <c r="B18" s="130" t="str">
        <f t="shared" si="0"/>
        <v/>
      </c>
      <c r="C18" s="217">
        <f t="shared" si="1"/>
        <v>0</v>
      </c>
      <c r="D18" s="217">
        <f t="shared" si="1"/>
        <v>0</v>
      </c>
      <c r="E18" s="218">
        <f>SUMIF(Consolidado!$A$6:$A$380,'TOTALES DIARIOS'!A18,Consolidado!$E$6:$E$380)</f>
        <v>0</v>
      </c>
      <c r="F18" s="218">
        <f>SUMIF(Consolidado!$A$6:$A$380,'TOTALES DIARIOS'!A18,Consolidado!$F$6:$F$380)</f>
        <v>0</v>
      </c>
      <c r="G18" s="218">
        <f>SUMIF(Consolidado!$A$6:$A$380,'TOTALES DIARIOS'!A18,Consolidado!$G$6:$G$380)</f>
        <v>0</v>
      </c>
      <c r="H18" s="219">
        <f t="shared" si="2"/>
        <v>0</v>
      </c>
      <c r="I18" s="99">
        <f t="shared" si="3"/>
        <v>0</v>
      </c>
      <c r="J18" s="99">
        <f t="shared" si="4"/>
        <v>0</v>
      </c>
      <c r="K18" s="113">
        <f t="shared" si="5"/>
        <v>2024</v>
      </c>
      <c r="L18" s="113">
        <f t="shared" si="6"/>
        <v>1</v>
      </c>
      <c r="M18" s="115">
        <f t="array" ref="M18">MIN(IF(Consolidado!$A$6:$A$1000='TOTALES DIARIOS'!A18,IF(Consolidado!$C$6:$C$1000&gt;TIMEVALUE("07:00"),Consolidado!$C$6:$C$1000,1)))</f>
        <v>0</v>
      </c>
      <c r="N18" s="115">
        <f t="array" ref="N18">MIN(IF(Consolidado!$A$6:$A$1000='TOTALES DIARIOS'!A18,IF(Consolidado!$C$6:$C$1000&lt;=M18,Consolidado!$C$6:$C$1000,1)))</f>
        <v>0</v>
      </c>
      <c r="O18" s="115">
        <f t="array" ref="O18">MAX(IF(Consolidado!$A$6:$A$1000='TOTALES DIARIOS'!A18,IF(Consolidado!$D$6:$D$1000&gt;=M18,Consolidado!$D$6:$D$1000,0)))</f>
        <v>0</v>
      </c>
      <c r="P18" s="118">
        <f t="array" ref="P18">MAX(IF(Consolidado!$A$6:$A$1000='TOTALES DIARIOS'!A18,IF(Consolidado!$D$6:$D$1000&lt;=M18,Consolidado!$D$6:$D$1000,0)))</f>
        <v>0</v>
      </c>
      <c r="Q18" s="117">
        <f t="shared" si="13"/>
        <v>0</v>
      </c>
      <c r="R18" s="117">
        <f t="shared" si="12"/>
        <v>0</v>
      </c>
      <c r="S18" s="104" t="str">
        <f t="shared" si="8"/>
        <v>NO</v>
      </c>
      <c r="T18" s="119">
        <v>16</v>
      </c>
      <c r="U18" s="120">
        <v>18</v>
      </c>
      <c r="V18" s="121">
        <v>18</v>
      </c>
      <c r="Y18" s="108" t="str">
        <f t="shared" si="9"/>
        <v>15</v>
      </c>
      <c r="Z18" s="107" t="str">
        <f t="shared" si="10"/>
        <v>01</v>
      </c>
      <c r="AA18" s="109">
        <f>IFERROR(VLOOKUP(AE18,Parametros!$A$10:$G$13,4,0),0)</f>
        <v>0.375</v>
      </c>
      <c r="AB18" s="110">
        <f>IFERROR(VLOOKUP(AE18,Parametros!$A$10:$G$13,5,0),0)</f>
        <v>0.95833333333333337</v>
      </c>
      <c r="AC18" s="110">
        <f>IFERROR(VLOOKUP(AE18,Parametros!$A$10:$G$13,6,0),0)</f>
        <v>0.9590277777777777</v>
      </c>
      <c r="AD18" s="111">
        <f>IFERROR(VLOOKUP(AE18,Parametros!$A$10:$G$13,7,0),0)</f>
        <v>0.3743055555555555</v>
      </c>
      <c r="AE18" s="112" t="str">
        <f>IF(AND(VALUE(CONCATENATE(Z18,Y18))&gt;=Parametros!$B$11,VALUE(CONCATENATE(Z18,Y18))&lt;=Parametros!$C$11),Parametros!$A$11,IF(AND(VALUE(CONCATENATE(Z18,Y18))&gt;=Parametros!$B$12,VALUE(CONCATENATE(Z18,Y18))&lt;=Parametros!$C$12),Parametros!$A$12,IF(AND(VALUE(CONCATENATE(Z18,Y18))&gt;=Parametros!$B$13,VALUE(CONCATENATE(Z18,Y18))&lt;=Parametros!$C$13),Parametros!$A$13,Parametros!$A$10)))</f>
        <v>Verano</v>
      </c>
    </row>
    <row r="19" spans="1:31" x14ac:dyDescent="0.25">
      <c r="A19" s="221">
        <f t="shared" si="11"/>
        <v>45307</v>
      </c>
      <c r="B19" s="130" t="str">
        <f t="shared" si="0"/>
        <v/>
      </c>
      <c r="C19" s="217">
        <f t="shared" si="1"/>
        <v>0</v>
      </c>
      <c r="D19" s="217">
        <f t="shared" si="1"/>
        <v>0</v>
      </c>
      <c r="E19" s="218">
        <f>SUMIF(Consolidado!$A$6:$A$380,'TOTALES DIARIOS'!A19,Consolidado!$E$6:$E$380)</f>
        <v>0</v>
      </c>
      <c r="F19" s="218">
        <f>SUMIF(Consolidado!$A$6:$A$380,'TOTALES DIARIOS'!A19,Consolidado!$F$6:$F$380)</f>
        <v>0</v>
      </c>
      <c r="G19" s="218">
        <f>SUMIF(Consolidado!$A$6:$A$380,'TOTALES DIARIOS'!A19,Consolidado!$G$6:$G$380)</f>
        <v>0</v>
      </c>
      <c r="H19" s="219">
        <f t="shared" si="2"/>
        <v>0</v>
      </c>
      <c r="I19" s="99">
        <f t="shared" si="3"/>
        <v>0</v>
      </c>
      <c r="J19" s="99">
        <f t="shared" si="4"/>
        <v>0</v>
      </c>
      <c r="K19" s="113">
        <f t="shared" si="5"/>
        <v>2024</v>
      </c>
      <c r="L19" s="113">
        <f t="shared" si="6"/>
        <v>1</v>
      </c>
      <c r="M19" s="115">
        <f t="array" ref="M19">MIN(IF(Consolidado!$A$6:$A$1000='TOTALES DIARIOS'!A19,IF(Consolidado!$C$6:$C$1000&gt;TIMEVALUE("07:00"),Consolidado!$C$6:$C$1000,1)))</f>
        <v>0</v>
      </c>
      <c r="N19" s="115">
        <f t="array" ref="N19">MIN(IF(Consolidado!$A$6:$A$1000='TOTALES DIARIOS'!A19,IF(Consolidado!$C$6:$C$1000&lt;=M19,Consolidado!$C$6:$C$1000,1)))</f>
        <v>0</v>
      </c>
      <c r="O19" s="115">
        <f t="array" ref="O19">MAX(IF(Consolidado!$A$6:$A$1000='TOTALES DIARIOS'!A19,IF(Consolidado!$D$6:$D$1000&gt;=M19,Consolidado!$D$6:$D$1000,0)))</f>
        <v>0</v>
      </c>
      <c r="P19" s="118">
        <f t="array" ref="P19">MAX(IF(Consolidado!$A$6:$A$1000='TOTALES DIARIOS'!A19,IF(Consolidado!$D$6:$D$1000&lt;=M19,Consolidado!$D$6:$D$1000,0)))</f>
        <v>0</v>
      </c>
      <c r="Q19" s="117">
        <f t="shared" si="13"/>
        <v>0</v>
      </c>
      <c r="R19" s="117">
        <f t="shared" si="12"/>
        <v>0</v>
      </c>
      <c r="S19" s="104" t="str">
        <f t="shared" si="8"/>
        <v>NO</v>
      </c>
      <c r="T19" s="119">
        <v>17</v>
      </c>
      <c r="U19" s="120">
        <v>20</v>
      </c>
      <c r="V19" s="121">
        <v>20</v>
      </c>
    </row>
    <row r="20" spans="1:31" x14ac:dyDescent="0.25">
      <c r="A20" s="221">
        <f t="shared" si="11"/>
        <v>45308</v>
      </c>
      <c r="B20" s="130" t="str">
        <f t="shared" si="0"/>
        <v/>
      </c>
      <c r="C20" s="217">
        <f t="shared" si="1"/>
        <v>0</v>
      </c>
      <c r="D20" s="217">
        <f t="shared" si="1"/>
        <v>0</v>
      </c>
      <c r="E20" s="218">
        <f>SUMIF(Consolidado!$A$6:$A$380,'TOTALES DIARIOS'!A20,Consolidado!$E$6:$E$380)</f>
        <v>0</v>
      </c>
      <c r="F20" s="218">
        <f>SUMIF(Consolidado!$A$6:$A$380,'TOTALES DIARIOS'!A20,Consolidado!$F$6:$F$380)</f>
        <v>0</v>
      </c>
      <c r="G20" s="218">
        <f>SUMIF(Consolidado!$A$6:$A$380,'TOTALES DIARIOS'!A20,Consolidado!$G$6:$G$380)</f>
        <v>0</v>
      </c>
      <c r="H20" s="219">
        <f t="shared" si="2"/>
        <v>0</v>
      </c>
      <c r="I20" s="99">
        <f t="shared" si="3"/>
        <v>0</v>
      </c>
      <c r="J20" s="99">
        <f t="shared" si="4"/>
        <v>0</v>
      </c>
      <c r="K20" s="113">
        <f t="shared" si="5"/>
        <v>2024</v>
      </c>
      <c r="L20" s="113">
        <f t="shared" si="6"/>
        <v>1</v>
      </c>
      <c r="M20" s="115">
        <f t="array" ref="M20">MIN(IF(Consolidado!$A$6:$A$1000='TOTALES DIARIOS'!A20,IF(Consolidado!$C$6:$C$1000&gt;TIMEVALUE("07:00"),Consolidado!$C$6:$C$1000,1)))</f>
        <v>0</v>
      </c>
      <c r="N20" s="115">
        <f t="array" ref="N20">MIN(IF(Consolidado!$A$6:$A$1000='TOTALES DIARIOS'!A20,IF(Consolidado!$C$6:$C$1000&lt;=M20,Consolidado!$C$6:$C$1000,1)))</f>
        <v>0</v>
      </c>
      <c r="O20" s="115">
        <f t="array" ref="O20">MAX(IF(Consolidado!$A$6:$A$1000='TOTALES DIARIOS'!A20,IF(Consolidado!$D$6:$D$1000&gt;=M20,Consolidado!$D$6:$D$1000,0)))</f>
        <v>0</v>
      </c>
      <c r="P20" s="118">
        <f t="array" ref="P20">MAX(IF(Consolidado!$A$6:$A$1000='TOTALES DIARIOS'!A20,IF(Consolidado!$D$6:$D$1000&lt;=M20,Consolidado!$D$6:$D$1000,0)))</f>
        <v>0</v>
      </c>
      <c r="Q20" s="117">
        <f t="shared" si="13"/>
        <v>0</v>
      </c>
      <c r="R20" s="117">
        <f t="shared" si="12"/>
        <v>0</v>
      </c>
      <c r="S20" s="104" t="str">
        <f t="shared" si="8"/>
        <v>NO</v>
      </c>
      <c r="T20" s="119">
        <v>18</v>
      </c>
      <c r="U20" s="120">
        <v>22</v>
      </c>
      <c r="V20" s="121">
        <v>22</v>
      </c>
    </row>
    <row r="21" spans="1:31" x14ac:dyDescent="0.25">
      <c r="A21" s="221">
        <f t="shared" si="11"/>
        <v>45309</v>
      </c>
      <c r="B21" s="130" t="str">
        <f t="shared" si="0"/>
        <v/>
      </c>
      <c r="C21" s="217">
        <f t="shared" si="1"/>
        <v>0</v>
      </c>
      <c r="D21" s="217">
        <f t="shared" si="1"/>
        <v>0</v>
      </c>
      <c r="E21" s="218">
        <f>SUMIF(Consolidado!$A$6:$A$380,'TOTALES DIARIOS'!A21,Consolidado!$E$6:$E$380)</f>
        <v>0</v>
      </c>
      <c r="F21" s="218">
        <f>SUMIF(Consolidado!$A$6:$A$380,'TOTALES DIARIOS'!A21,Consolidado!$F$6:$F$380)</f>
        <v>0</v>
      </c>
      <c r="G21" s="218">
        <f>SUMIF(Consolidado!$A$6:$A$380,'TOTALES DIARIOS'!A21,Consolidado!$G$6:$G$380)</f>
        <v>0</v>
      </c>
      <c r="H21" s="219">
        <f t="shared" si="2"/>
        <v>0</v>
      </c>
      <c r="I21" s="99">
        <f t="shared" si="3"/>
        <v>0</v>
      </c>
      <c r="J21" s="99">
        <f t="shared" si="4"/>
        <v>0</v>
      </c>
      <c r="K21" s="113">
        <f t="shared" si="5"/>
        <v>2024</v>
      </c>
      <c r="L21" s="113">
        <f t="shared" si="6"/>
        <v>1</v>
      </c>
      <c r="M21" s="115">
        <f t="array" ref="M21">MIN(IF(Consolidado!$A$6:$A$1000='TOTALES DIARIOS'!A21,IF(Consolidado!$C$6:$C$1000&gt;TIMEVALUE("07:00"),Consolidado!$C$6:$C$1000,1)))</f>
        <v>0</v>
      </c>
      <c r="N21" s="115">
        <f t="array" ref="N21">MIN(IF(Consolidado!$A$6:$A$1000='TOTALES DIARIOS'!A21,IF(Consolidado!$C$6:$C$1000&lt;=M21,Consolidado!$C$6:$C$1000,1)))</f>
        <v>0</v>
      </c>
      <c r="O21" s="115">
        <f t="array" ref="O21">MAX(IF(Consolidado!$A$6:$A$1000='TOTALES DIARIOS'!A21,IF(Consolidado!$D$6:$D$1000&gt;=M21,Consolidado!$D$6:$D$1000,0)))</f>
        <v>0</v>
      </c>
      <c r="P21" s="118">
        <f t="array" ref="P21">MAX(IF(Consolidado!$A$6:$A$1000='TOTALES DIARIOS'!A21,IF(Consolidado!$D$6:$D$1000&lt;=M21,Consolidado!$D$6:$D$1000,0)))</f>
        <v>0</v>
      </c>
      <c r="Q21" s="117">
        <f t="shared" si="13"/>
        <v>0</v>
      </c>
      <c r="R21" s="117">
        <f t="shared" si="12"/>
        <v>0</v>
      </c>
      <c r="S21" s="104" t="str">
        <f t="shared" si="8"/>
        <v>NO</v>
      </c>
      <c r="T21" s="119">
        <v>19</v>
      </c>
      <c r="U21" s="120">
        <v>24</v>
      </c>
      <c r="V21" s="121">
        <v>24</v>
      </c>
    </row>
    <row r="22" spans="1:31" x14ac:dyDescent="0.25">
      <c r="A22" s="221">
        <f t="shared" si="11"/>
        <v>45310</v>
      </c>
      <c r="B22" s="130" t="str">
        <f t="shared" si="0"/>
        <v/>
      </c>
      <c r="C22" s="217">
        <f t="shared" si="1"/>
        <v>0</v>
      </c>
      <c r="D22" s="217">
        <f t="shared" si="1"/>
        <v>0</v>
      </c>
      <c r="E22" s="218">
        <f>SUMIF(Consolidado!$A$6:$A$380,'TOTALES DIARIOS'!A22,Consolidado!$E$6:$E$380)</f>
        <v>0</v>
      </c>
      <c r="F22" s="218">
        <f>SUMIF(Consolidado!$A$6:$A$380,'TOTALES DIARIOS'!A22,Consolidado!$F$6:$F$380)</f>
        <v>0</v>
      </c>
      <c r="G22" s="218">
        <f>SUMIF(Consolidado!$A$6:$A$380,'TOTALES DIARIOS'!A22,Consolidado!$G$6:$G$380)</f>
        <v>0</v>
      </c>
      <c r="H22" s="219">
        <f t="shared" si="2"/>
        <v>0</v>
      </c>
      <c r="I22" s="99">
        <f t="shared" si="3"/>
        <v>0</v>
      </c>
      <c r="J22" s="99">
        <f t="shared" si="4"/>
        <v>0</v>
      </c>
      <c r="K22" s="113">
        <f t="shared" si="5"/>
        <v>2024</v>
      </c>
      <c r="L22" s="113">
        <f t="shared" si="6"/>
        <v>1</v>
      </c>
      <c r="M22" s="115">
        <f t="array" ref="M22">MIN(IF(Consolidado!$A$6:$A$1000='TOTALES DIARIOS'!A22,IF(Consolidado!$C$6:$C$1000&gt;TIMEVALUE("07:00"),Consolidado!$C$6:$C$1000,1)))</f>
        <v>0</v>
      </c>
      <c r="N22" s="115">
        <f t="array" ref="N22">MIN(IF(Consolidado!$A$6:$A$1000='TOTALES DIARIOS'!A22,IF(Consolidado!$C$6:$C$1000&lt;=M22,Consolidado!$C$6:$C$1000,1)))</f>
        <v>0</v>
      </c>
      <c r="O22" s="115">
        <f t="array" ref="O22">MAX(IF(Consolidado!$A$6:$A$1000='TOTALES DIARIOS'!A22,IF(Consolidado!$D$6:$D$1000&gt;=M22,Consolidado!$D$6:$D$1000,0)))</f>
        <v>0</v>
      </c>
      <c r="P22" s="118">
        <f t="array" ref="P22">MAX(IF(Consolidado!$A$6:$A$1000='TOTALES DIARIOS'!A22,IF(Consolidado!$D$6:$D$1000&lt;=M22,Consolidado!$D$6:$D$1000,0)))</f>
        <v>0</v>
      </c>
      <c r="Q22" s="117">
        <f t="shared" si="13"/>
        <v>0</v>
      </c>
      <c r="R22" s="117">
        <f t="shared" si="12"/>
        <v>0</v>
      </c>
      <c r="S22" s="104" t="str">
        <f t="shared" si="8"/>
        <v>NO</v>
      </c>
      <c r="T22" s="119">
        <v>20</v>
      </c>
      <c r="U22" s="120">
        <v>26</v>
      </c>
      <c r="V22" s="121">
        <v>26</v>
      </c>
    </row>
    <row r="23" spans="1:31" x14ac:dyDescent="0.25">
      <c r="A23" s="221">
        <f t="shared" si="11"/>
        <v>45311</v>
      </c>
      <c r="B23" s="130" t="str">
        <f t="shared" si="0"/>
        <v/>
      </c>
      <c r="C23" s="217">
        <f t="shared" si="1"/>
        <v>0</v>
      </c>
      <c r="D23" s="217">
        <f t="shared" si="1"/>
        <v>0</v>
      </c>
      <c r="E23" s="218">
        <f>SUMIF(Consolidado!$A$6:$A$380,'TOTALES DIARIOS'!A23,Consolidado!$E$6:$E$380)</f>
        <v>0</v>
      </c>
      <c r="F23" s="218">
        <f>SUMIF(Consolidado!$A$6:$A$380,'TOTALES DIARIOS'!A23,Consolidado!$F$6:$F$380)</f>
        <v>0</v>
      </c>
      <c r="G23" s="218">
        <f>SUMIF(Consolidado!$A$6:$A$380,'TOTALES DIARIOS'!A23,Consolidado!$G$6:$G$380)</f>
        <v>0</v>
      </c>
      <c r="H23" s="219">
        <f t="shared" si="2"/>
        <v>0</v>
      </c>
      <c r="I23" s="99">
        <f t="shared" si="3"/>
        <v>0</v>
      </c>
      <c r="J23" s="99">
        <f t="shared" si="4"/>
        <v>0</v>
      </c>
      <c r="K23" s="113">
        <f t="shared" si="5"/>
        <v>2024</v>
      </c>
      <c r="L23" s="113">
        <f t="shared" si="6"/>
        <v>1</v>
      </c>
      <c r="M23" s="115">
        <f t="array" ref="M23">MIN(IF(Consolidado!$A$6:$A$1000='TOTALES DIARIOS'!A23,IF(Consolidado!$C$6:$C$1000&gt;TIMEVALUE("07:00"),Consolidado!$C$6:$C$1000,1)))</f>
        <v>0</v>
      </c>
      <c r="N23" s="115">
        <f t="array" ref="N23">MIN(IF(Consolidado!$A$6:$A$1000='TOTALES DIARIOS'!A23,IF(Consolidado!$C$6:$C$1000&lt;=M23,Consolidado!$C$6:$C$1000,1)))</f>
        <v>0</v>
      </c>
      <c r="O23" s="115">
        <f t="array" ref="O23">MAX(IF(Consolidado!$A$6:$A$1000='TOTALES DIARIOS'!A23,IF(Consolidado!$D$6:$D$1000&gt;=M23,Consolidado!$D$6:$D$1000,0)))</f>
        <v>0</v>
      </c>
      <c r="P23" s="118">
        <f t="array" ref="P23">MAX(IF(Consolidado!$A$6:$A$1000='TOTALES DIARIOS'!A23,IF(Consolidado!$D$6:$D$1000&lt;=M23,Consolidado!$D$6:$D$1000,0)))</f>
        <v>0</v>
      </c>
      <c r="Q23" s="117">
        <f t="shared" si="13"/>
        <v>0</v>
      </c>
      <c r="R23" s="117">
        <f t="shared" si="12"/>
        <v>0</v>
      </c>
      <c r="S23" s="104" t="str">
        <f t="shared" si="8"/>
        <v>NO</v>
      </c>
      <c r="T23" s="119">
        <v>21</v>
      </c>
      <c r="U23" s="120">
        <v>28</v>
      </c>
      <c r="V23" s="121">
        <v>28</v>
      </c>
    </row>
    <row r="24" spans="1:31" x14ac:dyDescent="0.25">
      <c r="A24" s="221">
        <f t="shared" si="11"/>
        <v>45312</v>
      </c>
      <c r="B24" s="130" t="str">
        <f t="shared" si="0"/>
        <v/>
      </c>
      <c r="C24" s="217">
        <f t="shared" si="1"/>
        <v>0</v>
      </c>
      <c r="D24" s="217">
        <f t="shared" si="1"/>
        <v>0</v>
      </c>
      <c r="E24" s="218">
        <f>SUMIF(Consolidado!$A$6:$A$380,'TOTALES DIARIOS'!A24,Consolidado!$E$6:$E$380)</f>
        <v>0</v>
      </c>
      <c r="F24" s="218">
        <f>SUMIF(Consolidado!$A$6:$A$380,'TOTALES DIARIOS'!A24,Consolidado!$F$6:$F$380)</f>
        <v>0</v>
      </c>
      <c r="G24" s="218">
        <f>SUMIF(Consolidado!$A$6:$A$380,'TOTALES DIARIOS'!A24,Consolidado!$G$6:$G$380)</f>
        <v>0</v>
      </c>
      <c r="H24" s="219">
        <f t="shared" si="2"/>
        <v>0</v>
      </c>
      <c r="I24" s="99">
        <f t="shared" si="3"/>
        <v>0</v>
      </c>
      <c r="J24" s="99">
        <f t="shared" si="4"/>
        <v>0</v>
      </c>
      <c r="K24" s="113">
        <f t="shared" si="5"/>
        <v>2024</v>
      </c>
      <c r="L24" s="113">
        <f t="shared" si="6"/>
        <v>1</v>
      </c>
      <c r="M24" s="115">
        <f t="array" ref="M24">MIN(IF(Consolidado!$A$6:$A$1000='TOTALES DIARIOS'!A24,IF(Consolidado!$C$6:$C$1000&gt;TIMEVALUE("07:00"),Consolidado!$C$6:$C$1000,1)))</f>
        <v>0</v>
      </c>
      <c r="N24" s="115">
        <f t="array" ref="N24">MIN(IF(Consolidado!$A$6:$A$1000='TOTALES DIARIOS'!A24,IF(Consolidado!$C$6:$C$1000&lt;=M24,Consolidado!$C$6:$C$1000,1)))</f>
        <v>0</v>
      </c>
      <c r="O24" s="115">
        <f t="array" ref="O24">MAX(IF(Consolidado!$A$6:$A$1000='TOTALES DIARIOS'!A24,IF(Consolidado!$D$6:$D$1000&gt;=M24,Consolidado!$D$6:$D$1000,0)))</f>
        <v>0</v>
      </c>
      <c r="P24" s="118">
        <f t="array" ref="P24">MAX(IF(Consolidado!$A$6:$A$1000='TOTALES DIARIOS'!A24,IF(Consolidado!$D$6:$D$1000&lt;=M24,Consolidado!$D$6:$D$1000,0)))</f>
        <v>0</v>
      </c>
      <c r="Q24" s="117">
        <f t="shared" si="13"/>
        <v>0</v>
      </c>
      <c r="R24" s="117">
        <f t="shared" si="12"/>
        <v>0</v>
      </c>
      <c r="S24" s="104" t="str">
        <f t="shared" si="8"/>
        <v>NO</v>
      </c>
      <c r="T24" s="119">
        <v>22</v>
      </c>
      <c r="U24" s="120">
        <v>30</v>
      </c>
      <c r="V24" s="121">
        <v>30</v>
      </c>
    </row>
    <row r="25" spans="1:31" x14ac:dyDescent="0.25">
      <c r="A25" s="221">
        <f t="shared" si="11"/>
        <v>45313</v>
      </c>
      <c r="B25" s="130" t="str">
        <f t="shared" si="0"/>
        <v/>
      </c>
      <c r="C25" s="217">
        <f t="shared" si="1"/>
        <v>0</v>
      </c>
      <c r="D25" s="217">
        <f t="shared" si="1"/>
        <v>0</v>
      </c>
      <c r="E25" s="218">
        <f>SUMIF(Consolidado!$A$6:$A$380,'TOTALES DIARIOS'!A25,Consolidado!$E$6:$E$380)</f>
        <v>0</v>
      </c>
      <c r="F25" s="218">
        <f>SUMIF(Consolidado!$A$6:$A$380,'TOTALES DIARIOS'!A25,Consolidado!$F$6:$F$380)</f>
        <v>0</v>
      </c>
      <c r="G25" s="218">
        <f>SUMIF(Consolidado!$A$6:$A$380,'TOTALES DIARIOS'!A25,Consolidado!$G$6:$G$380)</f>
        <v>0</v>
      </c>
      <c r="H25" s="219">
        <f t="shared" si="2"/>
        <v>0</v>
      </c>
      <c r="I25" s="99">
        <f t="shared" si="3"/>
        <v>0</v>
      </c>
      <c r="J25" s="99">
        <f t="shared" si="4"/>
        <v>0</v>
      </c>
      <c r="K25" s="113">
        <f t="shared" si="5"/>
        <v>2024</v>
      </c>
      <c r="L25" s="113">
        <f t="shared" si="6"/>
        <v>1</v>
      </c>
      <c r="M25" s="115">
        <f t="array" ref="M25">MIN(IF(Consolidado!$A$6:$A$1000='TOTALES DIARIOS'!A25,IF(Consolidado!$C$6:$C$1000&gt;TIMEVALUE("07:00"),Consolidado!$C$6:$C$1000,1)))</f>
        <v>0</v>
      </c>
      <c r="N25" s="115">
        <f t="array" ref="N25">MIN(IF(Consolidado!$A$6:$A$1000='TOTALES DIARIOS'!A25,IF(Consolidado!$C$6:$C$1000&lt;=M25,Consolidado!$C$6:$C$1000,1)))</f>
        <v>0</v>
      </c>
      <c r="O25" s="115">
        <f t="array" ref="O25">MAX(IF(Consolidado!$A$6:$A$1000='TOTALES DIARIOS'!A25,IF(Consolidado!$D$6:$D$1000&gt;=M25,Consolidado!$D$6:$D$1000,0)))</f>
        <v>0</v>
      </c>
      <c r="P25" s="118">
        <f t="array" ref="P25">MAX(IF(Consolidado!$A$6:$A$1000='TOTALES DIARIOS'!A25,IF(Consolidado!$D$6:$D$1000&lt;=M25,Consolidado!$D$6:$D$1000,0)))</f>
        <v>0</v>
      </c>
      <c r="Q25" s="117">
        <f t="shared" si="13"/>
        <v>0</v>
      </c>
      <c r="R25" s="117">
        <f t="shared" si="12"/>
        <v>0</v>
      </c>
      <c r="S25" s="104" t="str">
        <f t="shared" si="8"/>
        <v>NO</v>
      </c>
      <c r="T25" s="119">
        <v>23</v>
      </c>
      <c r="U25" s="120">
        <v>34</v>
      </c>
      <c r="V25" s="121">
        <v>34</v>
      </c>
    </row>
    <row r="26" spans="1:31" ht="13.8" thickBot="1" x14ac:dyDescent="0.3">
      <c r="A26" s="221">
        <f t="shared" si="11"/>
        <v>45314</v>
      </c>
      <c r="B26" s="130" t="str">
        <f t="shared" si="0"/>
        <v/>
      </c>
      <c r="C26" s="217">
        <f t="shared" si="1"/>
        <v>0</v>
      </c>
      <c r="D26" s="217">
        <f t="shared" si="1"/>
        <v>0</v>
      </c>
      <c r="E26" s="218">
        <f>SUMIF(Consolidado!$A$6:$A$380,'TOTALES DIARIOS'!A26,Consolidado!$E$6:$E$380)</f>
        <v>0</v>
      </c>
      <c r="F26" s="218">
        <f>SUMIF(Consolidado!$A$6:$A$380,'TOTALES DIARIOS'!A26,Consolidado!$F$6:$F$380)</f>
        <v>0</v>
      </c>
      <c r="G26" s="218">
        <f>SUMIF(Consolidado!$A$6:$A$380,'TOTALES DIARIOS'!A26,Consolidado!$G$6:$G$380)</f>
        <v>0</v>
      </c>
      <c r="H26" s="219">
        <f t="shared" si="2"/>
        <v>0</v>
      </c>
      <c r="I26" s="99">
        <f t="shared" si="3"/>
        <v>0</v>
      </c>
      <c r="J26" s="99">
        <f t="shared" si="4"/>
        <v>0</v>
      </c>
      <c r="K26" s="113">
        <f t="shared" si="5"/>
        <v>2024</v>
      </c>
      <c r="L26" s="113">
        <f t="shared" si="6"/>
        <v>1</v>
      </c>
      <c r="M26" s="115">
        <f t="array" ref="M26">MIN(IF(Consolidado!$A$6:$A$1000='TOTALES DIARIOS'!A26,IF(Consolidado!$C$6:$C$1000&gt;TIMEVALUE("07:00"),Consolidado!$C$6:$C$1000,1)))</f>
        <v>0</v>
      </c>
      <c r="N26" s="115">
        <f t="array" ref="N26">MIN(IF(Consolidado!$A$6:$A$1000='TOTALES DIARIOS'!A26,IF(Consolidado!$C$6:$C$1000&lt;=M26,Consolidado!$C$6:$C$1000,1)))</f>
        <v>0</v>
      </c>
      <c r="O26" s="115">
        <f t="array" ref="O26">MAX(IF(Consolidado!$A$6:$A$1000='TOTALES DIARIOS'!A26,IF(Consolidado!$D$6:$D$1000&gt;=M26,Consolidado!$D$6:$D$1000,0)))</f>
        <v>0</v>
      </c>
      <c r="P26" s="118">
        <f t="array" ref="P26">MAX(IF(Consolidado!$A$6:$A$1000='TOTALES DIARIOS'!A26,IF(Consolidado!$D$6:$D$1000&lt;=M26,Consolidado!$D$6:$D$1000,0)))</f>
        <v>0</v>
      </c>
      <c r="Q26" s="117">
        <f t="shared" si="13"/>
        <v>0</v>
      </c>
      <c r="R26" s="117">
        <f t="shared" si="12"/>
        <v>0</v>
      </c>
      <c r="S26" s="104" t="str">
        <f t="shared" si="8"/>
        <v>NO</v>
      </c>
      <c r="T26" s="122">
        <v>24</v>
      </c>
      <c r="U26" s="123">
        <v>36</v>
      </c>
      <c r="V26" s="124">
        <v>36</v>
      </c>
    </row>
    <row r="27" spans="1:31" x14ac:dyDescent="0.25">
      <c r="A27" s="221">
        <f t="shared" si="11"/>
        <v>45315</v>
      </c>
      <c r="B27" s="130" t="str">
        <f t="shared" si="0"/>
        <v/>
      </c>
      <c r="C27" s="217">
        <f t="shared" si="1"/>
        <v>0</v>
      </c>
      <c r="D27" s="217">
        <f t="shared" si="1"/>
        <v>0</v>
      </c>
      <c r="E27" s="218">
        <f>SUMIF(Consolidado!$A$6:$A$380,'TOTALES DIARIOS'!A27,Consolidado!$E$6:$E$380)</f>
        <v>0</v>
      </c>
      <c r="F27" s="218">
        <f>SUMIF(Consolidado!$A$6:$A$380,'TOTALES DIARIOS'!A27,Consolidado!$F$6:$F$380)</f>
        <v>0</v>
      </c>
      <c r="G27" s="218">
        <f>SUMIF(Consolidado!$A$6:$A$380,'TOTALES DIARIOS'!A27,Consolidado!$G$6:$G$380)</f>
        <v>0</v>
      </c>
      <c r="H27" s="219">
        <f t="shared" si="2"/>
        <v>0</v>
      </c>
      <c r="I27" s="99">
        <f t="shared" si="3"/>
        <v>0</v>
      </c>
      <c r="J27" s="99">
        <f t="shared" si="4"/>
        <v>0</v>
      </c>
      <c r="K27" s="113">
        <f t="shared" si="5"/>
        <v>2024</v>
      </c>
      <c r="L27" s="113">
        <f t="shared" si="6"/>
        <v>1</v>
      </c>
      <c r="M27" s="115">
        <f t="array" ref="M27">MIN(IF(Consolidado!$A$6:$A$1000='TOTALES DIARIOS'!A27,IF(Consolidado!$C$6:$C$1000&gt;TIMEVALUE("07:00"),Consolidado!$C$6:$C$1000,1)))</f>
        <v>0</v>
      </c>
      <c r="N27" s="115">
        <f t="array" ref="N27">MIN(IF(Consolidado!$A$6:$A$1000='TOTALES DIARIOS'!A27,IF(Consolidado!$C$6:$C$1000&lt;=M27,Consolidado!$C$6:$C$1000,1)))</f>
        <v>0</v>
      </c>
      <c r="O27" s="115">
        <f t="array" ref="O27">MAX(IF(Consolidado!$A$6:$A$1000='TOTALES DIARIOS'!A27,IF(Consolidado!$D$6:$D$1000&gt;=M27,Consolidado!$D$6:$D$1000,0)))</f>
        <v>0</v>
      </c>
      <c r="P27" s="118">
        <f t="array" ref="P27">MAX(IF(Consolidado!$A$6:$A$1000='TOTALES DIARIOS'!A27,IF(Consolidado!$D$6:$D$1000&lt;=M27,Consolidado!$D$6:$D$1000,0)))</f>
        <v>0</v>
      </c>
      <c r="Q27" s="117">
        <f t="shared" si="13"/>
        <v>0</v>
      </c>
      <c r="R27" s="117">
        <f t="shared" si="12"/>
        <v>0</v>
      </c>
      <c r="S27" s="104" t="str">
        <f t="shared" si="8"/>
        <v>NO</v>
      </c>
      <c r="T27" s="119"/>
      <c r="U27" s="120"/>
      <c r="V27" s="121"/>
    </row>
    <row r="28" spans="1:31" x14ac:dyDescent="0.25">
      <c r="A28" s="221">
        <f t="shared" si="11"/>
        <v>45316</v>
      </c>
      <c r="B28" s="130" t="str">
        <f t="shared" si="0"/>
        <v/>
      </c>
      <c r="C28" s="217">
        <f t="shared" si="1"/>
        <v>0</v>
      </c>
      <c r="D28" s="217">
        <f t="shared" si="1"/>
        <v>0</v>
      </c>
      <c r="E28" s="218">
        <f>SUMIF(Consolidado!$A$6:$A$380,'TOTALES DIARIOS'!A28,Consolidado!$E$6:$E$380)</f>
        <v>0</v>
      </c>
      <c r="F28" s="218">
        <f>SUMIF(Consolidado!$A$6:$A$380,'TOTALES DIARIOS'!A28,Consolidado!$F$6:$F$380)</f>
        <v>0</v>
      </c>
      <c r="G28" s="218">
        <f>SUMIF(Consolidado!$A$6:$A$380,'TOTALES DIARIOS'!A28,Consolidado!$G$6:$G$380)</f>
        <v>0</v>
      </c>
      <c r="H28" s="219">
        <f t="shared" si="2"/>
        <v>0</v>
      </c>
      <c r="I28" s="99">
        <f t="shared" si="3"/>
        <v>0</v>
      </c>
      <c r="J28" s="99">
        <f t="shared" si="4"/>
        <v>0</v>
      </c>
      <c r="K28" s="113">
        <f t="shared" si="5"/>
        <v>2024</v>
      </c>
      <c r="L28" s="113">
        <f t="shared" si="6"/>
        <v>1</v>
      </c>
      <c r="M28" s="115">
        <f t="array" ref="M28">MIN(IF(Consolidado!$A$6:$A$1000='TOTALES DIARIOS'!A28,IF(Consolidado!$C$6:$C$1000&gt;TIMEVALUE("07:00"),Consolidado!$C$6:$C$1000,1)))</f>
        <v>0</v>
      </c>
      <c r="N28" s="115">
        <f t="array" ref="N28">MIN(IF(Consolidado!$A$6:$A$1000='TOTALES DIARIOS'!A28,IF(Consolidado!$C$6:$C$1000&lt;=M28,Consolidado!$C$6:$C$1000,1)))</f>
        <v>0</v>
      </c>
      <c r="O28" s="115">
        <f t="array" ref="O28">MAX(IF(Consolidado!$A$6:$A$1000='TOTALES DIARIOS'!A28,IF(Consolidado!$D$6:$D$1000&gt;=M28,Consolidado!$D$6:$D$1000,0)))</f>
        <v>0</v>
      </c>
      <c r="P28" s="118">
        <f t="array" ref="P28">MAX(IF(Consolidado!$A$6:$A$1000='TOTALES DIARIOS'!A28,IF(Consolidado!$D$6:$D$1000&lt;=M28,Consolidado!$D$6:$D$1000,0)))</f>
        <v>0</v>
      </c>
      <c r="Q28" s="117">
        <f t="shared" si="13"/>
        <v>0</v>
      </c>
      <c r="R28" s="117">
        <f t="shared" si="12"/>
        <v>0</v>
      </c>
      <c r="S28" s="104" t="str">
        <f t="shared" si="8"/>
        <v>NO</v>
      </c>
      <c r="T28" s="119"/>
      <c r="U28" s="120"/>
      <c r="V28" s="121"/>
    </row>
    <row r="29" spans="1:31" x14ac:dyDescent="0.25">
      <c r="A29" s="221">
        <f t="shared" si="11"/>
        <v>45317</v>
      </c>
      <c r="B29" s="130" t="str">
        <f t="shared" si="0"/>
        <v/>
      </c>
      <c r="C29" s="217">
        <f t="shared" si="1"/>
        <v>0</v>
      </c>
      <c r="D29" s="217">
        <f t="shared" si="1"/>
        <v>0</v>
      </c>
      <c r="E29" s="218">
        <f>SUMIF(Consolidado!$A$6:$A$380,'TOTALES DIARIOS'!A29,Consolidado!$E$6:$E$380)</f>
        <v>0</v>
      </c>
      <c r="F29" s="218">
        <f>SUMIF(Consolidado!$A$6:$A$380,'TOTALES DIARIOS'!A29,Consolidado!$F$6:$F$380)</f>
        <v>0</v>
      </c>
      <c r="G29" s="218">
        <f>SUMIF(Consolidado!$A$6:$A$380,'TOTALES DIARIOS'!A29,Consolidado!$G$6:$G$380)</f>
        <v>0</v>
      </c>
      <c r="H29" s="219">
        <f t="shared" si="2"/>
        <v>0</v>
      </c>
      <c r="I29" s="99">
        <f t="shared" si="3"/>
        <v>0</v>
      </c>
      <c r="J29" s="99">
        <f t="shared" si="4"/>
        <v>0</v>
      </c>
      <c r="K29" s="113">
        <f t="shared" si="5"/>
        <v>2024</v>
      </c>
      <c r="L29" s="113">
        <f t="shared" si="6"/>
        <v>1</v>
      </c>
      <c r="M29" s="115">
        <f t="array" ref="M29">MIN(IF(Consolidado!$A$6:$A$1000='TOTALES DIARIOS'!A29,IF(Consolidado!$C$6:$C$1000&gt;TIMEVALUE("07:00"),Consolidado!$C$6:$C$1000,1)))</f>
        <v>0</v>
      </c>
      <c r="N29" s="115">
        <f t="array" ref="N29">MIN(IF(Consolidado!$A$6:$A$1000='TOTALES DIARIOS'!A29,IF(Consolidado!$C$6:$C$1000&lt;=M29,Consolidado!$C$6:$C$1000,1)))</f>
        <v>0</v>
      </c>
      <c r="O29" s="115">
        <f t="array" ref="O29">MAX(IF(Consolidado!$A$6:$A$1000='TOTALES DIARIOS'!A29,IF(Consolidado!$D$6:$D$1000&gt;=M29,Consolidado!$D$6:$D$1000,0)))</f>
        <v>0</v>
      </c>
      <c r="P29" s="118">
        <f t="array" ref="P29">MAX(IF(Consolidado!$A$6:$A$1000='TOTALES DIARIOS'!A29,IF(Consolidado!$D$6:$D$1000&lt;=M29,Consolidado!$D$6:$D$1000,0)))</f>
        <v>0</v>
      </c>
      <c r="Q29" s="117">
        <f t="shared" si="13"/>
        <v>0</v>
      </c>
      <c r="R29" s="117">
        <f t="shared" si="12"/>
        <v>0</v>
      </c>
      <c r="S29" s="104" t="str">
        <f t="shared" si="8"/>
        <v>NO</v>
      </c>
      <c r="T29" s="119"/>
      <c r="U29" s="120"/>
      <c r="V29" s="121"/>
    </row>
    <row r="30" spans="1:31" x14ac:dyDescent="0.25">
      <c r="A30" s="221">
        <f t="shared" si="11"/>
        <v>45318</v>
      </c>
      <c r="B30" s="130" t="str">
        <f t="shared" si="0"/>
        <v/>
      </c>
      <c r="C30" s="217">
        <f t="shared" si="1"/>
        <v>0</v>
      </c>
      <c r="D30" s="217">
        <f t="shared" si="1"/>
        <v>0</v>
      </c>
      <c r="E30" s="218">
        <f>SUMIF(Consolidado!$A$6:$A$380,'TOTALES DIARIOS'!A30,Consolidado!$E$6:$E$380)</f>
        <v>0</v>
      </c>
      <c r="F30" s="218">
        <f>SUMIF(Consolidado!$A$6:$A$380,'TOTALES DIARIOS'!A30,Consolidado!$F$6:$F$380)</f>
        <v>0</v>
      </c>
      <c r="G30" s="218">
        <f>SUMIF(Consolidado!$A$6:$A$380,'TOTALES DIARIOS'!A30,Consolidado!$G$6:$G$380)</f>
        <v>0</v>
      </c>
      <c r="H30" s="219">
        <f t="shared" si="2"/>
        <v>0</v>
      </c>
      <c r="I30" s="99">
        <f t="shared" si="3"/>
        <v>0</v>
      </c>
      <c r="J30" s="99">
        <f t="shared" si="4"/>
        <v>0</v>
      </c>
      <c r="K30" s="113">
        <f t="shared" si="5"/>
        <v>2024</v>
      </c>
      <c r="L30" s="113">
        <f t="shared" si="6"/>
        <v>1</v>
      </c>
      <c r="M30" s="115">
        <f t="array" ref="M30">MIN(IF(Consolidado!$A$6:$A$1000='TOTALES DIARIOS'!A30,IF(Consolidado!$C$6:$C$1000&gt;TIMEVALUE("07:00"),Consolidado!$C$6:$C$1000,1)))</f>
        <v>0</v>
      </c>
      <c r="N30" s="115">
        <f t="array" ref="N30">MIN(IF(Consolidado!$A$6:$A$1000='TOTALES DIARIOS'!A30,IF(Consolidado!$C$6:$C$1000&lt;=M30,Consolidado!$C$6:$C$1000,1)))</f>
        <v>0</v>
      </c>
      <c r="O30" s="115">
        <f t="array" ref="O30">MAX(IF(Consolidado!$A$6:$A$1000='TOTALES DIARIOS'!A30,IF(Consolidado!$D$6:$D$1000&gt;=M30,Consolidado!$D$6:$D$1000,0)))</f>
        <v>0</v>
      </c>
      <c r="P30" s="118">
        <f t="array" ref="P30">MAX(IF(Consolidado!$A$6:$A$1000='TOTALES DIARIOS'!A30,IF(Consolidado!$D$6:$D$1000&lt;=M30,Consolidado!$D$6:$D$1000,0)))</f>
        <v>0</v>
      </c>
      <c r="Q30" s="117">
        <f t="shared" si="13"/>
        <v>0</v>
      </c>
      <c r="R30" s="117">
        <f t="shared" si="12"/>
        <v>0</v>
      </c>
      <c r="S30" s="104" t="str">
        <f t="shared" si="8"/>
        <v>NO</v>
      </c>
      <c r="T30" s="119"/>
      <c r="U30" s="120"/>
      <c r="V30" s="121"/>
    </row>
    <row r="31" spans="1:31" x14ac:dyDescent="0.25">
      <c r="A31" s="221">
        <f t="shared" si="11"/>
        <v>45319</v>
      </c>
      <c r="B31" s="130" t="str">
        <f t="shared" si="0"/>
        <v/>
      </c>
      <c r="C31" s="217">
        <f t="shared" si="1"/>
        <v>0</v>
      </c>
      <c r="D31" s="217">
        <f t="shared" si="1"/>
        <v>0</v>
      </c>
      <c r="E31" s="218">
        <f>SUMIF(Consolidado!$A$6:$A$380,'TOTALES DIARIOS'!A31,Consolidado!$E$6:$E$380)</f>
        <v>0</v>
      </c>
      <c r="F31" s="218">
        <f>SUMIF(Consolidado!$A$6:$A$380,'TOTALES DIARIOS'!A31,Consolidado!$F$6:$F$380)</f>
        <v>0</v>
      </c>
      <c r="G31" s="218">
        <f>SUMIF(Consolidado!$A$6:$A$380,'TOTALES DIARIOS'!A31,Consolidado!$G$6:$G$380)</f>
        <v>0</v>
      </c>
      <c r="H31" s="219">
        <f t="shared" si="2"/>
        <v>0</v>
      </c>
      <c r="I31" s="99">
        <f t="shared" si="3"/>
        <v>0</v>
      </c>
      <c r="J31" s="99">
        <f t="shared" si="4"/>
        <v>0</v>
      </c>
      <c r="K31" s="113">
        <f t="shared" si="5"/>
        <v>2024</v>
      </c>
      <c r="L31" s="113">
        <f t="shared" si="6"/>
        <v>1</v>
      </c>
      <c r="M31" s="115">
        <f t="array" ref="M31">MIN(IF(Consolidado!$A$6:$A$1000='TOTALES DIARIOS'!A31,IF(Consolidado!$C$6:$C$1000&gt;TIMEVALUE("07:00"),Consolidado!$C$6:$C$1000,1)))</f>
        <v>0</v>
      </c>
      <c r="N31" s="115">
        <f t="array" ref="N31">MIN(IF(Consolidado!$A$6:$A$1000='TOTALES DIARIOS'!A31,IF(Consolidado!$C$6:$C$1000&lt;=M31,Consolidado!$C$6:$C$1000,1)))</f>
        <v>0</v>
      </c>
      <c r="O31" s="115">
        <f t="array" ref="O31">MAX(IF(Consolidado!$A$6:$A$1000='TOTALES DIARIOS'!A31,IF(Consolidado!$D$6:$D$1000&gt;=M31,Consolidado!$D$6:$D$1000,0)))</f>
        <v>0</v>
      </c>
      <c r="P31" s="118">
        <f t="array" ref="P31">MAX(IF(Consolidado!$A$6:$A$1000='TOTALES DIARIOS'!A31,IF(Consolidado!$D$6:$D$1000&lt;=M31,Consolidado!$D$6:$D$1000,0)))</f>
        <v>0</v>
      </c>
      <c r="Q31" s="117">
        <f t="shared" si="13"/>
        <v>0</v>
      </c>
      <c r="R31" s="117">
        <f t="shared" si="12"/>
        <v>0</v>
      </c>
      <c r="S31" s="104" t="str">
        <f t="shared" si="8"/>
        <v>NO</v>
      </c>
      <c r="T31" s="119"/>
      <c r="U31" s="120"/>
      <c r="V31" s="121"/>
    </row>
    <row r="32" spans="1:31" x14ac:dyDescent="0.25">
      <c r="A32" s="221">
        <f t="shared" si="11"/>
        <v>45320</v>
      </c>
      <c r="B32" s="130" t="str">
        <f t="shared" si="0"/>
        <v/>
      </c>
      <c r="C32" s="217">
        <f t="shared" si="1"/>
        <v>0</v>
      </c>
      <c r="D32" s="217">
        <f t="shared" si="1"/>
        <v>0</v>
      </c>
      <c r="E32" s="218">
        <f>SUMIF(Consolidado!$A$6:$A$380,'TOTALES DIARIOS'!A32,Consolidado!$E$6:$E$380)</f>
        <v>0</v>
      </c>
      <c r="F32" s="218">
        <f>SUMIF(Consolidado!$A$6:$A$380,'TOTALES DIARIOS'!A32,Consolidado!$F$6:$F$380)</f>
        <v>0</v>
      </c>
      <c r="G32" s="218">
        <f>SUMIF(Consolidado!$A$6:$A$380,'TOTALES DIARIOS'!A32,Consolidado!$G$6:$G$380)</f>
        <v>0</v>
      </c>
      <c r="H32" s="219">
        <f t="shared" si="2"/>
        <v>0</v>
      </c>
      <c r="I32" s="99">
        <f t="shared" si="3"/>
        <v>0</v>
      </c>
      <c r="J32" s="99">
        <f t="shared" si="4"/>
        <v>0</v>
      </c>
      <c r="K32" s="113">
        <f t="shared" si="5"/>
        <v>2024</v>
      </c>
      <c r="L32" s="113">
        <f t="shared" si="6"/>
        <v>1</v>
      </c>
      <c r="M32" s="115">
        <f t="array" ref="M32">MIN(IF(Consolidado!$A$6:$A$1000='TOTALES DIARIOS'!A32,IF(Consolidado!$C$6:$C$1000&gt;TIMEVALUE("07:00"),Consolidado!$C$6:$C$1000,1)))</f>
        <v>0</v>
      </c>
      <c r="N32" s="115">
        <f t="array" ref="N32">MIN(IF(Consolidado!$A$6:$A$1000='TOTALES DIARIOS'!A32,IF(Consolidado!$C$6:$C$1000&lt;=M32,Consolidado!$C$6:$C$1000,1)))</f>
        <v>0</v>
      </c>
      <c r="O32" s="115">
        <f t="array" ref="O32">MAX(IF(Consolidado!$A$6:$A$1000='TOTALES DIARIOS'!A32,IF(Consolidado!$D$6:$D$1000&gt;=M32,Consolidado!$D$6:$D$1000,0)))</f>
        <v>0</v>
      </c>
      <c r="P32" s="118">
        <f t="array" ref="P32">MAX(IF(Consolidado!$A$6:$A$1000='TOTALES DIARIOS'!A32,IF(Consolidado!$D$6:$D$1000&lt;=M32,Consolidado!$D$6:$D$1000,0)))</f>
        <v>0</v>
      </c>
      <c r="Q32" s="117">
        <f t="shared" si="13"/>
        <v>0</v>
      </c>
      <c r="R32" s="117">
        <f t="shared" si="12"/>
        <v>0</v>
      </c>
      <c r="S32" s="104" t="str">
        <f t="shared" si="8"/>
        <v>NO</v>
      </c>
      <c r="T32" s="119"/>
      <c r="U32" s="120"/>
      <c r="V32" s="121"/>
    </row>
    <row r="33" spans="1:22" x14ac:dyDescent="0.25">
      <c r="A33" s="221">
        <f t="shared" si="11"/>
        <v>45321</v>
      </c>
      <c r="B33" s="130" t="str">
        <f t="shared" si="0"/>
        <v/>
      </c>
      <c r="C33" s="217">
        <f t="shared" si="1"/>
        <v>0</v>
      </c>
      <c r="D33" s="217">
        <f t="shared" si="1"/>
        <v>0</v>
      </c>
      <c r="E33" s="218">
        <f>SUMIF(Consolidado!$A$6:$A$380,'TOTALES DIARIOS'!A33,Consolidado!$E$6:$E$380)</f>
        <v>0</v>
      </c>
      <c r="F33" s="218">
        <f>SUMIF(Consolidado!$A$6:$A$380,'TOTALES DIARIOS'!A33,Consolidado!$F$6:$F$380)</f>
        <v>0</v>
      </c>
      <c r="G33" s="218">
        <f>SUMIF(Consolidado!$A$6:$A$380,'TOTALES DIARIOS'!A33,Consolidado!$G$6:$G$380)</f>
        <v>0</v>
      </c>
      <c r="H33" s="219">
        <f t="shared" si="2"/>
        <v>0</v>
      </c>
      <c r="I33" s="99">
        <f t="shared" si="3"/>
        <v>0</v>
      </c>
      <c r="J33" s="99">
        <f t="shared" si="4"/>
        <v>0</v>
      </c>
      <c r="K33" s="113">
        <f t="shared" si="5"/>
        <v>2024</v>
      </c>
      <c r="L33" s="113">
        <f t="shared" si="6"/>
        <v>1</v>
      </c>
      <c r="M33" s="115">
        <f t="array" ref="M33">MIN(IF(Consolidado!$A$6:$A$1000='TOTALES DIARIOS'!A33,IF(Consolidado!$C$6:$C$1000&gt;TIMEVALUE("07:00"),Consolidado!$C$6:$C$1000,1)))</f>
        <v>0</v>
      </c>
      <c r="N33" s="115">
        <f t="array" ref="N33">MIN(IF(Consolidado!$A$6:$A$1000='TOTALES DIARIOS'!A33,IF(Consolidado!$C$6:$C$1000&lt;=M33,Consolidado!$C$6:$C$1000,1)))</f>
        <v>0</v>
      </c>
      <c r="O33" s="115">
        <f t="array" ref="O33">MAX(IF(Consolidado!$A$6:$A$1000='TOTALES DIARIOS'!A33,IF(Consolidado!$D$6:$D$1000&gt;=M33,Consolidado!$D$6:$D$1000,0)))</f>
        <v>0</v>
      </c>
      <c r="P33" s="118">
        <f t="array" ref="P33">MAX(IF(Consolidado!$A$6:$A$1000='TOTALES DIARIOS'!A33,IF(Consolidado!$D$6:$D$1000&lt;=M33,Consolidado!$D$6:$D$1000,0)))</f>
        <v>0</v>
      </c>
      <c r="Q33" s="117">
        <f t="shared" si="13"/>
        <v>0</v>
      </c>
      <c r="R33" s="117">
        <f t="shared" si="12"/>
        <v>0</v>
      </c>
      <c r="S33" s="104" t="str">
        <f t="shared" si="8"/>
        <v>NO</v>
      </c>
      <c r="T33" s="119"/>
      <c r="U33" s="120"/>
      <c r="V33" s="121"/>
    </row>
    <row r="34" spans="1:22" x14ac:dyDescent="0.25">
      <c r="A34" s="221">
        <f t="shared" si="11"/>
        <v>45322</v>
      </c>
      <c r="B34" s="130" t="str">
        <f t="shared" si="0"/>
        <v/>
      </c>
      <c r="C34" s="217">
        <f t="shared" si="1"/>
        <v>0</v>
      </c>
      <c r="D34" s="217">
        <f t="shared" si="1"/>
        <v>0</v>
      </c>
      <c r="E34" s="218">
        <f>SUMIF(Consolidado!$A$6:$A$380,'TOTALES DIARIOS'!A34,Consolidado!$E$6:$E$380)</f>
        <v>0</v>
      </c>
      <c r="F34" s="218">
        <f>SUMIF(Consolidado!$A$6:$A$380,'TOTALES DIARIOS'!A34,Consolidado!$F$6:$F$380)</f>
        <v>0</v>
      </c>
      <c r="G34" s="218">
        <f>SUMIF(Consolidado!$A$6:$A$380,'TOTALES DIARIOS'!A34,Consolidado!$G$6:$G$380)</f>
        <v>0</v>
      </c>
      <c r="H34" s="219">
        <f t="shared" si="2"/>
        <v>0</v>
      </c>
      <c r="I34" s="99">
        <f t="shared" si="3"/>
        <v>0</v>
      </c>
      <c r="J34" s="99">
        <f t="shared" si="4"/>
        <v>0</v>
      </c>
      <c r="K34" s="113">
        <f t="shared" si="5"/>
        <v>2024</v>
      </c>
      <c r="L34" s="113">
        <f t="shared" si="6"/>
        <v>1</v>
      </c>
      <c r="M34" s="115">
        <f t="array" ref="M34">MIN(IF(Consolidado!$A$6:$A$1000='TOTALES DIARIOS'!A34,IF(Consolidado!$C$6:$C$1000&gt;TIMEVALUE("07:00"),Consolidado!$C$6:$C$1000,1)))</f>
        <v>0</v>
      </c>
      <c r="N34" s="115">
        <f t="array" ref="N34">MIN(IF(Consolidado!$A$6:$A$1000='TOTALES DIARIOS'!A34,IF(Consolidado!$C$6:$C$1000&lt;=M34,Consolidado!$C$6:$C$1000,1)))</f>
        <v>0</v>
      </c>
      <c r="O34" s="115">
        <f t="array" ref="O34">MAX(IF(Consolidado!$A$6:$A$1000='TOTALES DIARIOS'!A34,IF(Consolidado!$D$6:$D$1000&gt;=M34,Consolidado!$D$6:$D$1000,0)))</f>
        <v>0</v>
      </c>
      <c r="P34" s="118">
        <f t="array" ref="P34">MAX(IF(Consolidado!$A$6:$A$1000='TOTALES DIARIOS'!A34,IF(Consolidado!$D$6:$D$1000&lt;=M34,Consolidado!$D$6:$D$1000,0)))</f>
        <v>0</v>
      </c>
      <c r="Q34" s="117">
        <f t="shared" si="13"/>
        <v>0</v>
      </c>
      <c r="R34" s="117">
        <f t="shared" si="12"/>
        <v>0</v>
      </c>
      <c r="S34" s="104" t="str">
        <f t="shared" si="8"/>
        <v>NO</v>
      </c>
      <c r="T34" s="119"/>
      <c r="U34" s="120"/>
      <c r="V34" s="121"/>
    </row>
    <row r="35" spans="1:22" x14ac:dyDescent="0.25">
      <c r="A35" s="221">
        <f t="shared" si="11"/>
        <v>45323</v>
      </c>
      <c r="B35" s="130" t="str">
        <f t="shared" si="0"/>
        <v/>
      </c>
      <c r="C35" s="217">
        <f t="shared" si="1"/>
        <v>0</v>
      </c>
      <c r="D35" s="217">
        <f t="shared" si="1"/>
        <v>0</v>
      </c>
      <c r="E35" s="218">
        <f>SUMIF(Consolidado!$A$6:$A$380,'TOTALES DIARIOS'!A35,Consolidado!$E$6:$E$380)</f>
        <v>0</v>
      </c>
      <c r="F35" s="218">
        <f>SUMIF(Consolidado!$A$6:$A$380,'TOTALES DIARIOS'!A35,Consolidado!$F$6:$F$380)</f>
        <v>0</v>
      </c>
      <c r="G35" s="218">
        <f>SUMIF(Consolidado!$A$6:$A$380,'TOTALES DIARIOS'!A35,Consolidado!$G$6:$G$380)</f>
        <v>0</v>
      </c>
      <c r="H35" s="219">
        <f t="shared" si="2"/>
        <v>0</v>
      </c>
      <c r="I35" s="99">
        <f t="shared" si="3"/>
        <v>0</v>
      </c>
      <c r="J35" s="99">
        <f t="shared" si="4"/>
        <v>0</v>
      </c>
      <c r="K35" s="113">
        <f t="shared" si="5"/>
        <v>2024</v>
      </c>
      <c r="L35" s="113">
        <f t="shared" si="6"/>
        <v>2</v>
      </c>
      <c r="M35" s="115">
        <f t="array" ref="M35">MIN(IF(Consolidado!$A$6:$A$1000='TOTALES DIARIOS'!A35,IF(Consolidado!$C$6:$C$1000&gt;TIMEVALUE("07:00"),Consolidado!$C$6:$C$1000,1)))</f>
        <v>0</v>
      </c>
      <c r="N35" s="115">
        <f t="array" ref="N35">MIN(IF(Consolidado!$A$6:$A$1000='TOTALES DIARIOS'!A35,IF(Consolidado!$C$6:$C$1000&lt;=M35,Consolidado!$C$6:$C$1000,1)))</f>
        <v>0</v>
      </c>
      <c r="O35" s="115">
        <f t="array" ref="O35">MAX(IF(Consolidado!$A$6:$A$1000='TOTALES DIARIOS'!A35,IF(Consolidado!$D$6:$D$1000&gt;=M35,Consolidado!$D$6:$D$1000,0)))</f>
        <v>0</v>
      </c>
      <c r="P35" s="118">
        <f t="array" ref="P35">MAX(IF(Consolidado!$A$6:$A$1000='TOTALES DIARIOS'!A35,IF(Consolidado!$D$6:$D$1000&lt;=M35,Consolidado!$D$6:$D$1000,0)))</f>
        <v>0</v>
      </c>
      <c r="Q35" s="117">
        <f t="shared" si="13"/>
        <v>0</v>
      </c>
      <c r="R35" s="117">
        <f t="shared" si="12"/>
        <v>0</v>
      </c>
      <c r="S35" s="104" t="str">
        <f t="shared" si="8"/>
        <v>NO</v>
      </c>
      <c r="T35" s="119"/>
      <c r="U35" s="120"/>
      <c r="V35" s="121"/>
    </row>
    <row r="36" spans="1:22" x14ac:dyDescent="0.25">
      <c r="A36" s="221">
        <f t="shared" si="11"/>
        <v>45324</v>
      </c>
      <c r="B36" s="130" t="str">
        <f t="shared" si="0"/>
        <v/>
      </c>
      <c r="C36" s="217">
        <f t="shared" si="1"/>
        <v>0</v>
      </c>
      <c r="D36" s="217">
        <f t="shared" si="1"/>
        <v>0</v>
      </c>
      <c r="E36" s="218">
        <f>SUMIF(Consolidado!$A$6:$A$380,'TOTALES DIARIOS'!A36,Consolidado!$E$6:$E$380)</f>
        <v>0</v>
      </c>
      <c r="F36" s="218">
        <f>SUMIF(Consolidado!$A$6:$A$380,'TOTALES DIARIOS'!A36,Consolidado!$F$6:$F$380)</f>
        <v>0</v>
      </c>
      <c r="G36" s="218">
        <f>SUMIF(Consolidado!$A$6:$A$380,'TOTALES DIARIOS'!A36,Consolidado!$G$6:$G$380)</f>
        <v>0</v>
      </c>
      <c r="H36" s="219">
        <f t="shared" si="2"/>
        <v>0</v>
      </c>
      <c r="I36" s="99">
        <f t="shared" si="3"/>
        <v>0</v>
      </c>
      <c r="J36" s="99">
        <f t="shared" si="4"/>
        <v>0</v>
      </c>
      <c r="K36" s="113">
        <f t="shared" si="5"/>
        <v>2024</v>
      </c>
      <c r="L36" s="113">
        <f t="shared" si="6"/>
        <v>2</v>
      </c>
      <c r="M36" s="115">
        <f t="array" ref="M36">MIN(IF(Consolidado!$A$6:$A$1000='TOTALES DIARIOS'!A36,IF(Consolidado!$C$6:$C$1000&gt;TIMEVALUE("07:00"),Consolidado!$C$6:$C$1000,1)))</f>
        <v>0</v>
      </c>
      <c r="N36" s="115">
        <f t="array" ref="N36">MIN(IF(Consolidado!$A$6:$A$1000='TOTALES DIARIOS'!A36,IF(Consolidado!$C$6:$C$1000&lt;=M36,Consolidado!$C$6:$C$1000,1)))</f>
        <v>0</v>
      </c>
      <c r="O36" s="115">
        <f t="array" ref="O36">MAX(IF(Consolidado!$A$6:$A$1000='TOTALES DIARIOS'!A36,IF(Consolidado!$D$6:$D$1000&gt;=M36,Consolidado!$D$6:$D$1000,0)))</f>
        <v>0</v>
      </c>
      <c r="P36" s="118">
        <f t="array" ref="P36">MAX(IF(Consolidado!$A$6:$A$1000='TOTALES DIARIOS'!A36,IF(Consolidado!$D$6:$D$1000&lt;=M36,Consolidado!$D$6:$D$1000,0)))</f>
        <v>0</v>
      </c>
      <c r="Q36" s="117">
        <f t="shared" si="13"/>
        <v>0</v>
      </c>
      <c r="R36" s="117">
        <f t="shared" si="12"/>
        <v>0</v>
      </c>
      <c r="S36" s="104" t="str">
        <f t="shared" si="8"/>
        <v>NO</v>
      </c>
      <c r="T36" s="119"/>
      <c r="U36" s="120"/>
      <c r="V36" s="121"/>
    </row>
    <row r="37" spans="1:22" ht="13.8" thickBot="1" x14ac:dyDescent="0.3">
      <c r="A37" s="221">
        <f t="shared" si="11"/>
        <v>45325</v>
      </c>
      <c r="B37" s="130" t="str">
        <f t="shared" si="0"/>
        <v/>
      </c>
      <c r="C37" s="217">
        <f t="shared" si="1"/>
        <v>0</v>
      </c>
      <c r="D37" s="217">
        <f t="shared" si="1"/>
        <v>0</v>
      </c>
      <c r="E37" s="218">
        <f>SUMIF(Consolidado!$A$6:$A$380,'TOTALES DIARIOS'!A37,Consolidado!$E$6:$E$380)</f>
        <v>0</v>
      </c>
      <c r="F37" s="218">
        <f>SUMIF(Consolidado!$A$6:$A$380,'TOTALES DIARIOS'!A37,Consolidado!$F$6:$F$380)</f>
        <v>0</v>
      </c>
      <c r="G37" s="218">
        <f>SUMIF(Consolidado!$A$6:$A$380,'TOTALES DIARIOS'!A37,Consolidado!$G$6:$G$380)</f>
        <v>0</v>
      </c>
      <c r="H37" s="219">
        <f t="shared" si="2"/>
        <v>0</v>
      </c>
      <c r="I37" s="99">
        <f t="shared" si="3"/>
        <v>0</v>
      </c>
      <c r="J37" s="99">
        <f t="shared" si="4"/>
        <v>0</v>
      </c>
      <c r="K37" s="113">
        <f t="shared" si="5"/>
        <v>2024</v>
      </c>
      <c r="L37" s="113">
        <f t="shared" si="6"/>
        <v>2</v>
      </c>
      <c r="M37" s="115">
        <f t="array" ref="M37">MIN(IF(Consolidado!$A$6:$A$1000='TOTALES DIARIOS'!A37,IF(Consolidado!$C$6:$C$1000&gt;TIMEVALUE("07:00"),Consolidado!$C$6:$C$1000,1)))</f>
        <v>0</v>
      </c>
      <c r="N37" s="115">
        <f t="array" ref="N37">MIN(IF(Consolidado!$A$6:$A$1000='TOTALES DIARIOS'!A37,IF(Consolidado!$C$6:$C$1000&lt;=M37,Consolidado!$C$6:$C$1000,1)))</f>
        <v>0</v>
      </c>
      <c r="O37" s="115">
        <f t="array" ref="O37">MAX(IF(Consolidado!$A$6:$A$1000='TOTALES DIARIOS'!A37,IF(Consolidado!$D$6:$D$1000&gt;=M37,Consolidado!$D$6:$D$1000,0)))</f>
        <v>0</v>
      </c>
      <c r="P37" s="118">
        <f t="array" ref="P37">MAX(IF(Consolidado!$A$6:$A$1000='TOTALES DIARIOS'!A37,IF(Consolidado!$D$6:$D$1000&lt;=M37,Consolidado!$D$6:$D$1000,0)))</f>
        <v>0</v>
      </c>
      <c r="Q37" s="117">
        <f t="shared" si="13"/>
        <v>0</v>
      </c>
      <c r="R37" s="117">
        <f t="shared" si="12"/>
        <v>0</v>
      </c>
      <c r="S37" s="104" t="str">
        <f t="shared" si="8"/>
        <v>NO</v>
      </c>
      <c r="T37" s="122"/>
      <c r="U37" s="123"/>
      <c r="V37" s="124"/>
    </row>
    <row r="38" spans="1:22" ht="13.8" thickBot="1" x14ac:dyDescent="0.3">
      <c r="A38" s="221">
        <f t="shared" si="11"/>
        <v>45326</v>
      </c>
      <c r="B38" s="130" t="str">
        <f t="shared" si="0"/>
        <v/>
      </c>
      <c r="C38" s="217">
        <f t="shared" si="1"/>
        <v>0</v>
      </c>
      <c r="D38" s="217">
        <f t="shared" si="1"/>
        <v>0</v>
      </c>
      <c r="E38" s="218">
        <f>SUMIF(Consolidado!$A$6:$A$380,'TOTALES DIARIOS'!A38,Consolidado!$E$6:$E$380)</f>
        <v>0</v>
      </c>
      <c r="F38" s="218">
        <f>SUMIF(Consolidado!$A$6:$A$380,'TOTALES DIARIOS'!A38,Consolidado!$F$6:$F$380)</f>
        <v>0</v>
      </c>
      <c r="G38" s="218">
        <f>SUMIF(Consolidado!$A$6:$A$380,'TOTALES DIARIOS'!A38,Consolidado!$G$6:$G$380)</f>
        <v>0</v>
      </c>
      <c r="H38" s="219">
        <f t="shared" si="2"/>
        <v>0</v>
      </c>
      <c r="I38" s="99">
        <f t="shared" si="3"/>
        <v>0</v>
      </c>
      <c r="J38" s="99">
        <f t="shared" si="4"/>
        <v>0</v>
      </c>
      <c r="K38" s="113">
        <f t="shared" si="5"/>
        <v>2024</v>
      </c>
      <c r="L38" s="113">
        <f t="shared" si="6"/>
        <v>2</v>
      </c>
      <c r="M38" s="115">
        <f t="array" ref="M38">MIN(IF(Consolidado!$A$6:$A$1000='TOTALES DIARIOS'!A38,IF(Consolidado!$C$6:$C$1000&gt;TIMEVALUE("07:00"),Consolidado!$C$6:$C$1000,1)))</f>
        <v>0</v>
      </c>
      <c r="N38" s="115">
        <f t="array" ref="N38">MIN(IF(Consolidado!$A$6:$A$1000='TOTALES DIARIOS'!A38,IF(Consolidado!$C$6:$C$1000&lt;=M38,Consolidado!$C$6:$C$1000,1)))</f>
        <v>0</v>
      </c>
      <c r="O38" s="115">
        <f t="array" ref="O38">MAX(IF(Consolidado!$A$6:$A$1000='TOTALES DIARIOS'!A38,IF(Consolidado!$D$6:$D$1000&gt;=M38,Consolidado!$D$6:$D$1000,0)))</f>
        <v>0</v>
      </c>
      <c r="P38" s="118">
        <f t="array" ref="P38">MAX(IF(Consolidado!$A$6:$A$1000='TOTALES DIARIOS'!A38,IF(Consolidado!$D$6:$D$1000&lt;=M38,Consolidado!$D$6:$D$1000,0)))</f>
        <v>0</v>
      </c>
      <c r="Q38" s="117">
        <f t="shared" si="13"/>
        <v>0</v>
      </c>
      <c r="R38" s="117">
        <f t="shared" si="12"/>
        <v>0</v>
      </c>
      <c r="S38" s="104" t="str">
        <f t="shared" si="8"/>
        <v>NO</v>
      </c>
      <c r="T38" s="122"/>
      <c r="U38" s="123"/>
      <c r="V38" s="124"/>
    </row>
    <row r="39" spans="1:22" x14ac:dyDescent="0.25">
      <c r="A39" s="221">
        <f t="shared" si="11"/>
        <v>45327</v>
      </c>
      <c r="B39" s="130" t="str">
        <f t="shared" si="0"/>
        <v/>
      </c>
      <c r="C39" s="217">
        <f t="shared" si="1"/>
        <v>0</v>
      </c>
      <c r="D39" s="217">
        <f t="shared" si="1"/>
        <v>0</v>
      </c>
      <c r="E39" s="218">
        <f>SUMIF(Consolidado!$A$6:$A$380,'TOTALES DIARIOS'!A39,Consolidado!$E$6:$E$380)</f>
        <v>0</v>
      </c>
      <c r="F39" s="218">
        <f>SUMIF(Consolidado!$A$6:$A$380,'TOTALES DIARIOS'!A39,Consolidado!$F$6:$F$380)</f>
        <v>0</v>
      </c>
      <c r="G39" s="218">
        <f>SUMIF(Consolidado!$A$6:$A$380,'TOTALES DIARIOS'!A39,Consolidado!$G$6:$G$380)</f>
        <v>0</v>
      </c>
      <c r="H39" s="219">
        <f t="shared" si="2"/>
        <v>0</v>
      </c>
      <c r="I39" s="99">
        <f t="shared" si="3"/>
        <v>0</v>
      </c>
      <c r="J39" s="99">
        <f t="shared" si="4"/>
        <v>0</v>
      </c>
      <c r="K39" s="113">
        <f t="shared" si="5"/>
        <v>2024</v>
      </c>
      <c r="L39" s="113">
        <f t="shared" si="6"/>
        <v>2</v>
      </c>
      <c r="M39" s="115">
        <f t="array" ref="M39">MIN(IF(Consolidado!$A$6:$A$1000='TOTALES DIARIOS'!A39,IF(Consolidado!$C$6:$C$1000&gt;TIMEVALUE("07:00"),Consolidado!$C$6:$C$1000,1)))</f>
        <v>0</v>
      </c>
      <c r="N39" s="115">
        <f t="array" ref="N39">MIN(IF(Consolidado!$A$6:$A$1000='TOTALES DIARIOS'!A39,IF(Consolidado!$C$6:$C$1000&lt;=M39,Consolidado!$C$6:$C$1000,1)))</f>
        <v>0</v>
      </c>
      <c r="O39" s="115">
        <f t="array" ref="O39">MAX(IF(Consolidado!$A$6:$A$1000='TOTALES DIARIOS'!A39,IF(Consolidado!$D$6:$D$1000&gt;=M39,Consolidado!$D$6:$D$1000,0)))</f>
        <v>0</v>
      </c>
      <c r="P39" s="118">
        <f t="array" ref="P39">MAX(IF(Consolidado!$A$6:$A$1000='TOTALES DIARIOS'!A39,IF(Consolidado!$D$6:$D$1000&lt;=M39,Consolidado!$D$6:$D$1000,0)))</f>
        <v>0</v>
      </c>
      <c r="Q39" s="117">
        <f t="shared" si="13"/>
        <v>0</v>
      </c>
      <c r="R39" s="117">
        <f t="shared" si="12"/>
        <v>0</v>
      </c>
      <c r="S39" s="104" t="str">
        <f t="shared" si="8"/>
        <v>NO</v>
      </c>
    </row>
    <row r="40" spans="1:22" x14ac:dyDescent="0.25">
      <c r="A40" s="221">
        <f t="shared" si="11"/>
        <v>45328</v>
      </c>
      <c r="B40" s="130" t="str">
        <f t="shared" si="0"/>
        <v/>
      </c>
      <c r="C40" s="217">
        <f t="shared" si="1"/>
        <v>0</v>
      </c>
      <c r="D40" s="217">
        <f t="shared" si="1"/>
        <v>0</v>
      </c>
      <c r="E40" s="218">
        <f>SUMIF(Consolidado!$A$6:$A$380,'TOTALES DIARIOS'!A40,Consolidado!$E$6:$E$380)</f>
        <v>0</v>
      </c>
      <c r="F40" s="218">
        <f>SUMIF(Consolidado!$A$6:$A$380,'TOTALES DIARIOS'!A40,Consolidado!$F$6:$F$380)</f>
        <v>0</v>
      </c>
      <c r="G40" s="218">
        <f>SUMIF(Consolidado!$A$6:$A$380,'TOTALES DIARIOS'!A40,Consolidado!$G$6:$G$380)</f>
        <v>0</v>
      </c>
      <c r="H40" s="219">
        <f t="shared" si="2"/>
        <v>0</v>
      </c>
      <c r="I40" s="99">
        <f t="shared" si="3"/>
        <v>0</v>
      </c>
      <c r="J40" s="99">
        <f t="shared" si="4"/>
        <v>0</v>
      </c>
      <c r="K40" s="113">
        <f t="shared" si="5"/>
        <v>2024</v>
      </c>
      <c r="L40" s="113">
        <f t="shared" si="6"/>
        <v>2</v>
      </c>
      <c r="M40" s="115">
        <f t="array" ref="M40">MIN(IF(Consolidado!$A$6:$A$1000='TOTALES DIARIOS'!A40,IF(Consolidado!$C$6:$C$1000&gt;TIMEVALUE("07:00"),Consolidado!$C$6:$C$1000,1)))</f>
        <v>0</v>
      </c>
      <c r="N40" s="115">
        <f t="array" ref="N40">MIN(IF(Consolidado!$A$6:$A$1000='TOTALES DIARIOS'!A40,IF(Consolidado!$C$6:$C$1000&lt;=M40,Consolidado!$C$6:$C$1000,1)))</f>
        <v>0</v>
      </c>
      <c r="O40" s="115">
        <f t="array" ref="O40">MAX(IF(Consolidado!$A$6:$A$1000='TOTALES DIARIOS'!A40,IF(Consolidado!$D$6:$D$1000&gt;=M40,Consolidado!$D$6:$D$1000,0)))</f>
        <v>0</v>
      </c>
      <c r="P40" s="118">
        <f t="array" ref="P40">MAX(IF(Consolidado!$A$6:$A$1000='TOTALES DIARIOS'!A40,IF(Consolidado!$D$6:$D$1000&lt;=M40,Consolidado!$D$6:$D$1000,0)))</f>
        <v>0</v>
      </c>
      <c r="Q40" s="117">
        <f t="shared" si="13"/>
        <v>0</v>
      </c>
      <c r="R40" s="117">
        <f t="shared" si="12"/>
        <v>0</v>
      </c>
      <c r="S40" s="104" t="str">
        <f t="shared" si="8"/>
        <v>NO</v>
      </c>
    </row>
    <row r="41" spans="1:22" x14ac:dyDescent="0.25">
      <c r="A41" s="221">
        <f t="shared" si="11"/>
        <v>45329</v>
      </c>
      <c r="B41" s="130" t="str">
        <f t="shared" si="0"/>
        <v/>
      </c>
      <c r="C41" s="217">
        <f t="shared" si="1"/>
        <v>0</v>
      </c>
      <c r="D41" s="217">
        <f t="shared" si="1"/>
        <v>0</v>
      </c>
      <c r="E41" s="218">
        <f>SUMIF(Consolidado!$A$6:$A$380,'TOTALES DIARIOS'!A41,Consolidado!$E$6:$E$380)</f>
        <v>0</v>
      </c>
      <c r="F41" s="218">
        <f>SUMIF(Consolidado!$A$6:$A$380,'TOTALES DIARIOS'!A41,Consolidado!$F$6:$F$380)</f>
        <v>0</v>
      </c>
      <c r="G41" s="218">
        <f>SUMIF(Consolidado!$A$6:$A$380,'TOTALES DIARIOS'!A41,Consolidado!$G$6:$G$380)</f>
        <v>0</v>
      </c>
      <c r="H41" s="219">
        <f t="shared" si="2"/>
        <v>0</v>
      </c>
      <c r="I41" s="99">
        <f t="shared" si="3"/>
        <v>0</v>
      </c>
      <c r="J41" s="99">
        <f t="shared" si="4"/>
        <v>0</v>
      </c>
      <c r="K41" s="113">
        <f t="shared" si="5"/>
        <v>2024</v>
      </c>
      <c r="L41" s="113">
        <f t="shared" si="6"/>
        <v>2</v>
      </c>
      <c r="M41" s="115">
        <f t="array" ref="M41">MIN(IF(Consolidado!$A$6:$A$1000='TOTALES DIARIOS'!A41,IF(Consolidado!$C$6:$C$1000&gt;TIMEVALUE("07:00"),Consolidado!$C$6:$C$1000,1)))</f>
        <v>0</v>
      </c>
      <c r="N41" s="115">
        <f t="array" ref="N41">MIN(IF(Consolidado!$A$6:$A$1000='TOTALES DIARIOS'!A41,IF(Consolidado!$C$6:$C$1000&lt;=M41,Consolidado!$C$6:$C$1000,1)))</f>
        <v>0</v>
      </c>
      <c r="O41" s="115">
        <f t="array" ref="O41">MAX(IF(Consolidado!$A$6:$A$1000='TOTALES DIARIOS'!A41,IF(Consolidado!$D$6:$D$1000&gt;=M41,Consolidado!$D$6:$D$1000,0)))</f>
        <v>0</v>
      </c>
      <c r="P41" s="118">
        <f t="array" ref="P41">MAX(IF(Consolidado!$A$6:$A$1000='TOTALES DIARIOS'!A41,IF(Consolidado!$D$6:$D$1000&lt;=M41,Consolidado!$D$6:$D$1000,0)))</f>
        <v>0</v>
      </c>
      <c r="Q41" s="117">
        <f t="shared" si="13"/>
        <v>0</v>
      </c>
      <c r="R41" s="117">
        <f t="shared" si="12"/>
        <v>0</v>
      </c>
      <c r="S41" s="104" t="str">
        <f t="shared" si="8"/>
        <v>NO</v>
      </c>
    </row>
    <row r="42" spans="1:22" x14ac:dyDescent="0.25">
      <c r="A42" s="221">
        <f t="shared" si="11"/>
        <v>45330</v>
      </c>
      <c r="B42" s="130" t="str">
        <f t="shared" si="0"/>
        <v/>
      </c>
      <c r="C42" s="217">
        <f t="shared" si="1"/>
        <v>0</v>
      </c>
      <c r="D42" s="217">
        <f t="shared" si="1"/>
        <v>0</v>
      </c>
      <c r="E42" s="218">
        <f>SUMIF(Consolidado!$A$6:$A$380,'TOTALES DIARIOS'!A42,Consolidado!$E$6:$E$380)</f>
        <v>0</v>
      </c>
      <c r="F42" s="218">
        <f>SUMIF(Consolidado!$A$6:$A$380,'TOTALES DIARIOS'!A42,Consolidado!$F$6:$F$380)</f>
        <v>0</v>
      </c>
      <c r="G42" s="218">
        <f>SUMIF(Consolidado!$A$6:$A$380,'TOTALES DIARIOS'!A42,Consolidado!$G$6:$G$380)</f>
        <v>0</v>
      </c>
      <c r="H42" s="219">
        <f t="shared" si="2"/>
        <v>0</v>
      </c>
      <c r="I42" s="99">
        <f t="shared" si="3"/>
        <v>0</v>
      </c>
      <c r="J42" s="99">
        <f t="shared" si="4"/>
        <v>0</v>
      </c>
      <c r="K42" s="113">
        <f t="shared" si="5"/>
        <v>2024</v>
      </c>
      <c r="L42" s="113">
        <f t="shared" si="6"/>
        <v>2</v>
      </c>
      <c r="M42" s="115">
        <f t="array" ref="M42">MIN(IF(Consolidado!$A$6:$A$1000='TOTALES DIARIOS'!A42,IF(Consolidado!$C$6:$C$1000&gt;TIMEVALUE("07:00"),Consolidado!$C$6:$C$1000,1)))</f>
        <v>0</v>
      </c>
      <c r="N42" s="115">
        <f t="array" ref="N42">MIN(IF(Consolidado!$A$6:$A$1000='TOTALES DIARIOS'!A42,IF(Consolidado!$C$6:$C$1000&lt;=M42,Consolidado!$C$6:$C$1000,1)))</f>
        <v>0</v>
      </c>
      <c r="O42" s="115">
        <f t="array" ref="O42">MAX(IF(Consolidado!$A$6:$A$1000='TOTALES DIARIOS'!A42,IF(Consolidado!$D$6:$D$1000&gt;=M42,Consolidado!$D$6:$D$1000,0)))</f>
        <v>0</v>
      </c>
      <c r="P42" s="118">
        <f t="array" ref="P42">MAX(IF(Consolidado!$A$6:$A$1000='TOTALES DIARIOS'!A42,IF(Consolidado!$D$6:$D$1000&lt;=M42,Consolidado!$D$6:$D$1000,0)))</f>
        <v>0</v>
      </c>
      <c r="Q42" s="117">
        <f t="shared" si="13"/>
        <v>0</v>
      </c>
      <c r="R42" s="117">
        <f t="shared" si="12"/>
        <v>0</v>
      </c>
      <c r="S42" s="104" t="str">
        <f t="shared" si="8"/>
        <v>NO</v>
      </c>
    </row>
    <row r="43" spans="1:22" x14ac:dyDescent="0.25">
      <c r="A43" s="221">
        <f t="shared" si="11"/>
        <v>45331</v>
      </c>
      <c r="B43" s="130" t="str">
        <f t="shared" si="0"/>
        <v/>
      </c>
      <c r="C43" s="217">
        <f t="shared" si="1"/>
        <v>0</v>
      </c>
      <c r="D43" s="217">
        <f t="shared" si="1"/>
        <v>0</v>
      </c>
      <c r="E43" s="218">
        <f>SUMIF(Consolidado!$A$6:$A$380,'TOTALES DIARIOS'!A43,Consolidado!$E$6:$E$380)</f>
        <v>0</v>
      </c>
      <c r="F43" s="218">
        <f>SUMIF(Consolidado!$A$6:$A$380,'TOTALES DIARIOS'!A43,Consolidado!$F$6:$F$380)</f>
        <v>0</v>
      </c>
      <c r="G43" s="218">
        <f>SUMIF(Consolidado!$A$6:$A$380,'TOTALES DIARIOS'!A43,Consolidado!$G$6:$G$380)</f>
        <v>0</v>
      </c>
      <c r="H43" s="219">
        <f t="shared" si="2"/>
        <v>0</v>
      </c>
      <c r="I43" s="99">
        <f t="shared" si="3"/>
        <v>0</v>
      </c>
      <c r="J43" s="99">
        <f t="shared" si="4"/>
        <v>0</v>
      </c>
      <c r="K43" s="113">
        <f t="shared" si="5"/>
        <v>2024</v>
      </c>
      <c r="L43" s="113">
        <f t="shared" si="6"/>
        <v>2</v>
      </c>
      <c r="M43" s="115">
        <f t="array" ref="M43">MIN(IF(Consolidado!$A$6:$A$1000='TOTALES DIARIOS'!A43,IF(Consolidado!$C$6:$C$1000&gt;TIMEVALUE("07:00"),Consolidado!$C$6:$C$1000,1)))</f>
        <v>0</v>
      </c>
      <c r="N43" s="115">
        <f t="array" ref="N43">MIN(IF(Consolidado!$A$6:$A$1000='TOTALES DIARIOS'!A43,IF(Consolidado!$C$6:$C$1000&lt;=M43,Consolidado!$C$6:$C$1000,1)))</f>
        <v>0</v>
      </c>
      <c r="O43" s="115">
        <f t="array" ref="O43">MAX(IF(Consolidado!$A$6:$A$1000='TOTALES DIARIOS'!A43,IF(Consolidado!$D$6:$D$1000&gt;=M43,Consolidado!$D$6:$D$1000,0)))</f>
        <v>0</v>
      </c>
      <c r="P43" s="118">
        <f t="array" ref="P43">MAX(IF(Consolidado!$A$6:$A$1000='TOTALES DIARIOS'!A43,IF(Consolidado!$D$6:$D$1000&lt;=M43,Consolidado!$D$6:$D$1000,0)))</f>
        <v>0</v>
      </c>
      <c r="Q43" s="117">
        <f t="shared" si="13"/>
        <v>0</v>
      </c>
      <c r="R43" s="117">
        <f t="shared" si="12"/>
        <v>0</v>
      </c>
      <c r="S43" s="104" t="str">
        <f t="shared" si="8"/>
        <v>NO</v>
      </c>
    </row>
    <row r="44" spans="1:22" x14ac:dyDescent="0.25">
      <c r="A44" s="221">
        <f t="shared" si="11"/>
        <v>45332</v>
      </c>
      <c r="B44" s="130" t="str">
        <f t="shared" si="0"/>
        <v/>
      </c>
      <c r="C44" s="217">
        <f t="shared" si="1"/>
        <v>0</v>
      </c>
      <c r="D44" s="217">
        <f t="shared" si="1"/>
        <v>0</v>
      </c>
      <c r="E44" s="218">
        <f>SUMIF(Consolidado!$A$6:$A$380,'TOTALES DIARIOS'!A44,Consolidado!$E$6:$E$380)</f>
        <v>0</v>
      </c>
      <c r="F44" s="218">
        <f>SUMIF(Consolidado!$A$6:$A$380,'TOTALES DIARIOS'!A44,Consolidado!$F$6:$F$380)</f>
        <v>0</v>
      </c>
      <c r="G44" s="218">
        <f>SUMIF(Consolidado!$A$6:$A$380,'TOTALES DIARIOS'!A44,Consolidado!$G$6:$G$380)</f>
        <v>0</v>
      </c>
      <c r="H44" s="219">
        <f t="shared" si="2"/>
        <v>0</v>
      </c>
      <c r="I44" s="99">
        <f t="shared" si="3"/>
        <v>0</v>
      </c>
      <c r="J44" s="99">
        <f t="shared" si="4"/>
        <v>0</v>
      </c>
      <c r="K44" s="113">
        <f t="shared" si="5"/>
        <v>2024</v>
      </c>
      <c r="L44" s="113">
        <f t="shared" si="6"/>
        <v>2</v>
      </c>
      <c r="M44" s="115">
        <f t="array" ref="M44">MIN(IF(Consolidado!$A$6:$A$1000='TOTALES DIARIOS'!A44,IF(Consolidado!$C$6:$C$1000&gt;TIMEVALUE("07:00"),Consolidado!$C$6:$C$1000,1)))</f>
        <v>0</v>
      </c>
      <c r="N44" s="115">
        <f t="array" ref="N44">MIN(IF(Consolidado!$A$6:$A$1000='TOTALES DIARIOS'!A44,IF(Consolidado!$C$6:$C$1000&lt;=M44,Consolidado!$C$6:$C$1000,1)))</f>
        <v>0</v>
      </c>
      <c r="O44" s="115">
        <f t="array" ref="O44">MAX(IF(Consolidado!$A$6:$A$1000='TOTALES DIARIOS'!A44,IF(Consolidado!$D$6:$D$1000&gt;=M44,Consolidado!$D$6:$D$1000,0)))</f>
        <v>0</v>
      </c>
      <c r="P44" s="118">
        <f t="array" ref="P44">MAX(IF(Consolidado!$A$6:$A$1000='TOTALES DIARIOS'!A44,IF(Consolidado!$D$6:$D$1000&lt;=M44,Consolidado!$D$6:$D$1000,0)))</f>
        <v>0</v>
      </c>
      <c r="Q44" s="117">
        <f t="shared" si="13"/>
        <v>0</v>
      </c>
      <c r="R44" s="117">
        <f t="shared" si="12"/>
        <v>0</v>
      </c>
      <c r="S44" s="104" t="str">
        <f t="shared" si="8"/>
        <v>NO</v>
      </c>
    </row>
    <row r="45" spans="1:22" x14ac:dyDescent="0.25">
      <c r="A45" s="221">
        <f t="shared" si="11"/>
        <v>45333</v>
      </c>
      <c r="B45" s="130" t="str">
        <f t="shared" si="0"/>
        <v/>
      </c>
      <c r="C45" s="217">
        <f t="shared" si="1"/>
        <v>0</v>
      </c>
      <c r="D45" s="217">
        <f t="shared" si="1"/>
        <v>0</v>
      </c>
      <c r="E45" s="218">
        <f>SUMIF(Consolidado!$A$6:$A$380,'TOTALES DIARIOS'!A45,Consolidado!$E$6:$E$380)</f>
        <v>0</v>
      </c>
      <c r="F45" s="218">
        <f>SUMIF(Consolidado!$A$6:$A$380,'TOTALES DIARIOS'!A45,Consolidado!$F$6:$F$380)</f>
        <v>0</v>
      </c>
      <c r="G45" s="218">
        <f>SUMIF(Consolidado!$A$6:$A$380,'TOTALES DIARIOS'!A45,Consolidado!$G$6:$G$380)</f>
        <v>0</v>
      </c>
      <c r="H45" s="219">
        <f t="shared" si="2"/>
        <v>0</v>
      </c>
      <c r="I45" s="99">
        <f t="shared" si="3"/>
        <v>0</v>
      </c>
      <c r="J45" s="99">
        <f t="shared" si="4"/>
        <v>0</v>
      </c>
      <c r="K45" s="113">
        <f t="shared" si="5"/>
        <v>2024</v>
      </c>
      <c r="L45" s="113">
        <f t="shared" si="6"/>
        <v>2</v>
      </c>
      <c r="M45" s="115">
        <f t="array" ref="M45">MIN(IF(Consolidado!$A$6:$A$1000='TOTALES DIARIOS'!A45,IF(Consolidado!$C$6:$C$1000&gt;TIMEVALUE("07:00"),Consolidado!$C$6:$C$1000,1)))</f>
        <v>0</v>
      </c>
      <c r="N45" s="115">
        <f t="array" ref="N45">MIN(IF(Consolidado!$A$6:$A$1000='TOTALES DIARIOS'!A45,IF(Consolidado!$C$6:$C$1000&lt;=M45,Consolidado!$C$6:$C$1000,1)))</f>
        <v>0</v>
      </c>
      <c r="O45" s="115">
        <f t="array" ref="O45">MAX(IF(Consolidado!$A$6:$A$1000='TOTALES DIARIOS'!A45,IF(Consolidado!$D$6:$D$1000&gt;=M45,Consolidado!$D$6:$D$1000,0)))</f>
        <v>0</v>
      </c>
      <c r="P45" s="118">
        <f t="array" ref="P45">MAX(IF(Consolidado!$A$6:$A$1000='TOTALES DIARIOS'!A45,IF(Consolidado!$D$6:$D$1000&lt;=M45,Consolidado!$D$6:$D$1000,0)))</f>
        <v>0</v>
      </c>
      <c r="Q45" s="117">
        <f t="shared" si="13"/>
        <v>0</v>
      </c>
      <c r="R45" s="117">
        <f t="shared" si="12"/>
        <v>0</v>
      </c>
      <c r="S45" s="104" t="str">
        <f t="shared" si="8"/>
        <v>NO</v>
      </c>
    </row>
    <row r="46" spans="1:22" x14ac:dyDescent="0.25">
      <c r="A46" s="221">
        <f t="shared" si="11"/>
        <v>45334</v>
      </c>
      <c r="B46" s="130" t="str">
        <f t="shared" si="0"/>
        <v/>
      </c>
      <c r="C46" s="217">
        <f t="shared" si="1"/>
        <v>0</v>
      </c>
      <c r="D46" s="217">
        <f t="shared" si="1"/>
        <v>0</v>
      </c>
      <c r="E46" s="218">
        <f>SUMIF(Consolidado!$A$6:$A$380,'TOTALES DIARIOS'!A46,Consolidado!$E$6:$E$380)</f>
        <v>0</v>
      </c>
      <c r="F46" s="218">
        <f>SUMIF(Consolidado!$A$6:$A$380,'TOTALES DIARIOS'!A46,Consolidado!$F$6:$F$380)</f>
        <v>0</v>
      </c>
      <c r="G46" s="218">
        <f>SUMIF(Consolidado!$A$6:$A$380,'TOTALES DIARIOS'!A46,Consolidado!$G$6:$G$380)</f>
        <v>0</v>
      </c>
      <c r="H46" s="219">
        <f t="shared" si="2"/>
        <v>0</v>
      </c>
      <c r="I46" s="99">
        <f t="shared" si="3"/>
        <v>0</v>
      </c>
      <c r="J46" s="99">
        <f t="shared" si="4"/>
        <v>0</v>
      </c>
      <c r="K46" s="113">
        <f t="shared" si="5"/>
        <v>2024</v>
      </c>
      <c r="L46" s="113">
        <f t="shared" si="6"/>
        <v>2</v>
      </c>
      <c r="M46" s="115">
        <f t="array" ref="M46">MIN(IF(Consolidado!$A$6:$A$1000='TOTALES DIARIOS'!A46,IF(Consolidado!$C$6:$C$1000&gt;TIMEVALUE("07:00"),Consolidado!$C$6:$C$1000,1)))</f>
        <v>0</v>
      </c>
      <c r="N46" s="115">
        <f t="array" ref="N46">MIN(IF(Consolidado!$A$6:$A$1000='TOTALES DIARIOS'!A46,IF(Consolidado!$C$6:$C$1000&lt;=M46,Consolidado!$C$6:$C$1000,1)))</f>
        <v>0</v>
      </c>
      <c r="O46" s="115">
        <f t="array" ref="O46">MAX(IF(Consolidado!$A$6:$A$1000='TOTALES DIARIOS'!A46,IF(Consolidado!$D$6:$D$1000&gt;=M46,Consolidado!$D$6:$D$1000,0)))</f>
        <v>0</v>
      </c>
      <c r="P46" s="118">
        <f t="array" ref="P46">MAX(IF(Consolidado!$A$6:$A$1000='TOTALES DIARIOS'!A46,IF(Consolidado!$D$6:$D$1000&lt;=M46,Consolidado!$D$6:$D$1000,0)))</f>
        <v>0</v>
      </c>
      <c r="Q46" s="117">
        <f t="shared" si="13"/>
        <v>0</v>
      </c>
      <c r="R46" s="117">
        <f t="shared" si="12"/>
        <v>0</v>
      </c>
      <c r="S46" s="104" t="str">
        <f t="shared" si="8"/>
        <v>NO</v>
      </c>
    </row>
    <row r="47" spans="1:22" x14ac:dyDescent="0.25">
      <c r="A47" s="221">
        <f t="shared" si="11"/>
        <v>45335</v>
      </c>
      <c r="B47" s="130" t="str">
        <f t="shared" si="0"/>
        <v/>
      </c>
      <c r="C47" s="217">
        <f t="shared" si="1"/>
        <v>0</v>
      </c>
      <c r="D47" s="217">
        <f t="shared" si="1"/>
        <v>0</v>
      </c>
      <c r="E47" s="218">
        <f>SUMIF(Consolidado!$A$6:$A$380,'TOTALES DIARIOS'!A47,Consolidado!$E$6:$E$380)</f>
        <v>0</v>
      </c>
      <c r="F47" s="218">
        <f>SUMIF(Consolidado!$A$6:$A$380,'TOTALES DIARIOS'!A47,Consolidado!$F$6:$F$380)</f>
        <v>0</v>
      </c>
      <c r="G47" s="218">
        <f>SUMIF(Consolidado!$A$6:$A$380,'TOTALES DIARIOS'!A47,Consolidado!$G$6:$G$380)</f>
        <v>0</v>
      </c>
      <c r="H47" s="219">
        <f t="shared" si="2"/>
        <v>0</v>
      </c>
      <c r="I47" s="99">
        <f t="shared" si="3"/>
        <v>0</v>
      </c>
      <c r="J47" s="99">
        <f t="shared" si="4"/>
        <v>0</v>
      </c>
      <c r="K47" s="113">
        <f t="shared" si="5"/>
        <v>2024</v>
      </c>
      <c r="L47" s="113">
        <f t="shared" si="6"/>
        <v>2</v>
      </c>
      <c r="M47" s="115">
        <f t="array" ref="M47">MIN(IF(Consolidado!$A$6:$A$1000='TOTALES DIARIOS'!A47,IF(Consolidado!$C$6:$C$1000&gt;TIMEVALUE("07:00"),Consolidado!$C$6:$C$1000,1)))</f>
        <v>0</v>
      </c>
      <c r="N47" s="115">
        <f t="array" ref="N47">MIN(IF(Consolidado!$A$6:$A$1000='TOTALES DIARIOS'!A47,IF(Consolidado!$C$6:$C$1000&lt;=M47,Consolidado!$C$6:$C$1000,1)))</f>
        <v>0</v>
      </c>
      <c r="O47" s="115">
        <f t="array" ref="O47">MAX(IF(Consolidado!$A$6:$A$1000='TOTALES DIARIOS'!A47,IF(Consolidado!$D$6:$D$1000&gt;=M47,Consolidado!$D$6:$D$1000,0)))</f>
        <v>0</v>
      </c>
      <c r="P47" s="118">
        <f t="array" ref="P47">MAX(IF(Consolidado!$A$6:$A$1000='TOTALES DIARIOS'!A47,IF(Consolidado!$D$6:$D$1000&lt;=M47,Consolidado!$D$6:$D$1000,0)))</f>
        <v>0</v>
      </c>
      <c r="Q47" s="117">
        <f t="shared" si="13"/>
        <v>0</v>
      </c>
      <c r="R47" s="117">
        <f t="shared" si="12"/>
        <v>0</v>
      </c>
      <c r="S47" s="104" t="str">
        <f t="shared" si="8"/>
        <v>NO</v>
      </c>
    </row>
    <row r="48" spans="1:22" x14ac:dyDescent="0.25">
      <c r="A48" s="221">
        <f t="shared" si="11"/>
        <v>45336</v>
      </c>
      <c r="B48" s="130" t="str">
        <f t="shared" si="0"/>
        <v/>
      </c>
      <c r="C48" s="217">
        <f t="shared" si="1"/>
        <v>0</v>
      </c>
      <c r="D48" s="217">
        <f t="shared" si="1"/>
        <v>0</v>
      </c>
      <c r="E48" s="218">
        <f>SUMIF(Consolidado!$A$6:$A$380,'TOTALES DIARIOS'!A48,Consolidado!$E$6:$E$380)</f>
        <v>0</v>
      </c>
      <c r="F48" s="218">
        <f>SUMIF(Consolidado!$A$6:$A$380,'TOTALES DIARIOS'!A48,Consolidado!$F$6:$F$380)</f>
        <v>0</v>
      </c>
      <c r="G48" s="218">
        <f>SUMIF(Consolidado!$A$6:$A$380,'TOTALES DIARIOS'!A48,Consolidado!$G$6:$G$380)</f>
        <v>0</v>
      </c>
      <c r="H48" s="219">
        <f t="shared" si="2"/>
        <v>0</v>
      </c>
      <c r="I48" s="99">
        <f t="shared" si="3"/>
        <v>0</v>
      </c>
      <c r="J48" s="99">
        <f t="shared" si="4"/>
        <v>0</v>
      </c>
      <c r="K48" s="113">
        <f t="shared" si="5"/>
        <v>2024</v>
      </c>
      <c r="L48" s="113">
        <f t="shared" si="6"/>
        <v>2</v>
      </c>
      <c r="M48" s="115">
        <f t="array" ref="M48">MIN(IF(Consolidado!$A$6:$A$1000='TOTALES DIARIOS'!A48,IF(Consolidado!$C$6:$C$1000&gt;TIMEVALUE("07:00"),Consolidado!$C$6:$C$1000,1)))</f>
        <v>0</v>
      </c>
      <c r="N48" s="115">
        <f t="array" ref="N48">MIN(IF(Consolidado!$A$6:$A$1000='TOTALES DIARIOS'!A48,IF(Consolidado!$C$6:$C$1000&lt;=M48,Consolidado!$C$6:$C$1000,1)))</f>
        <v>0</v>
      </c>
      <c r="O48" s="115">
        <f t="array" ref="O48">MAX(IF(Consolidado!$A$6:$A$1000='TOTALES DIARIOS'!A48,IF(Consolidado!$D$6:$D$1000&gt;=M48,Consolidado!$D$6:$D$1000,0)))</f>
        <v>0</v>
      </c>
      <c r="P48" s="118">
        <f t="array" ref="P48">MAX(IF(Consolidado!$A$6:$A$1000='TOTALES DIARIOS'!A48,IF(Consolidado!$D$6:$D$1000&lt;=M48,Consolidado!$D$6:$D$1000,0)))</f>
        <v>0</v>
      </c>
      <c r="Q48" s="117">
        <f t="shared" si="13"/>
        <v>0</v>
      </c>
      <c r="R48" s="117">
        <f t="shared" si="12"/>
        <v>0</v>
      </c>
      <c r="S48" s="104" t="str">
        <f t="shared" si="8"/>
        <v>NO</v>
      </c>
    </row>
    <row r="49" spans="1:19" x14ac:dyDescent="0.25">
      <c r="A49" s="221">
        <f t="shared" si="11"/>
        <v>45337</v>
      </c>
      <c r="B49" s="130" t="str">
        <f t="shared" si="0"/>
        <v/>
      </c>
      <c r="C49" s="217">
        <f t="shared" si="1"/>
        <v>0</v>
      </c>
      <c r="D49" s="217">
        <f t="shared" si="1"/>
        <v>0</v>
      </c>
      <c r="E49" s="218">
        <f>SUMIF(Consolidado!$A$6:$A$380,'TOTALES DIARIOS'!A49,Consolidado!$E$6:$E$380)</f>
        <v>0</v>
      </c>
      <c r="F49" s="218">
        <f>SUMIF(Consolidado!$A$6:$A$380,'TOTALES DIARIOS'!A49,Consolidado!$F$6:$F$380)</f>
        <v>0</v>
      </c>
      <c r="G49" s="218">
        <f>SUMIF(Consolidado!$A$6:$A$380,'TOTALES DIARIOS'!A49,Consolidado!$G$6:$G$380)</f>
        <v>0</v>
      </c>
      <c r="H49" s="219">
        <f t="shared" si="2"/>
        <v>0</v>
      </c>
      <c r="I49" s="99">
        <f t="shared" si="3"/>
        <v>0</v>
      </c>
      <c r="J49" s="99">
        <f t="shared" si="4"/>
        <v>0</v>
      </c>
      <c r="K49" s="113">
        <f t="shared" si="5"/>
        <v>2024</v>
      </c>
      <c r="L49" s="113">
        <f t="shared" si="6"/>
        <v>2</v>
      </c>
      <c r="M49" s="115">
        <f t="array" ref="M49">MIN(IF(Consolidado!$A$6:$A$1000='TOTALES DIARIOS'!A49,IF(Consolidado!$C$6:$C$1000&gt;TIMEVALUE("07:00"),Consolidado!$C$6:$C$1000,1)))</f>
        <v>0</v>
      </c>
      <c r="N49" s="115">
        <f t="array" ref="N49">MIN(IF(Consolidado!$A$6:$A$1000='TOTALES DIARIOS'!A49,IF(Consolidado!$C$6:$C$1000&lt;=M49,Consolidado!$C$6:$C$1000,1)))</f>
        <v>0</v>
      </c>
      <c r="O49" s="115">
        <f t="array" ref="O49">MAX(IF(Consolidado!$A$6:$A$1000='TOTALES DIARIOS'!A49,IF(Consolidado!$D$6:$D$1000&gt;=M49,Consolidado!$D$6:$D$1000,0)))</f>
        <v>0</v>
      </c>
      <c r="P49" s="118">
        <f t="array" ref="P49">MAX(IF(Consolidado!$A$6:$A$1000='TOTALES DIARIOS'!A49,IF(Consolidado!$D$6:$D$1000&lt;=M49,Consolidado!$D$6:$D$1000,0)))</f>
        <v>0</v>
      </c>
      <c r="Q49" s="117">
        <f t="shared" si="13"/>
        <v>0</v>
      </c>
      <c r="R49" s="117">
        <f t="shared" si="12"/>
        <v>0</v>
      </c>
      <c r="S49" s="104" t="str">
        <f t="shared" si="8"/>
        <v>NO</v>
      </c>
    </row>
    <row r="50" spans="1:19" x14ac:dyDescent="0.25">
      <c r="A50" s="221">
        <f t="shared" si="11"/>
        <v>45338</v>
      </c>
      <c r="B50" s="130" t="str">
        <f t="shared" si="0"/>
        <v/>
      </c>
      <c r="C50" s="217">
        <f t="shared" si="1"/>
        <v>0</v>
      </c>
      <c r="D50" s="217">
        <f t="shared" si="1"/>
        <v>0</v>
      </c>
      <c r="E50" s="218">
        <f>SUMIF(Consolidado!$A$6:$A$380,'TOTALES DIARIOS'!A50,Consolidado!$E$6:$E$380)</f>
        <v>0</v>
      </c>
      <c r="F50" s="218">
        <f>SUMIF(Consolidado!$A$6:$A$380,'TOTALES DIARIOS'!A50,Consolidado!$F$6:$F$380)</f>
        <v>0</v>
      </c>
      <c r="G50" s="218">
        <f>SUMIF(Consolidado!$A$6:$A$380,'TOTALES DIARIOS'!A50,Consolidado!$G$6:$G$380)</f>
        <v>0</v>
      </c>
      <c r="H50" s="219">
        <f t="shared" si="2"/>
        <v>0</v>
      </c>
      <c r="I50" s="99">
        <f t="shared" si="3"/>
        <v>0</v>
      </c>
      <c r="J50" s="99">
        <f t="shared" si="4"/>
        <v>0</v>
      </c>
      <c r="K50" s="113">
        <f t="shared" si="5"/>
        <v>2024</v>
      </c>
      <c r="L50" s="113">
        <f t="shared" si="6"/>
        <v>2</v>
      </c>
      <c r="M50" s="115">
        <f t="array" ref="M50">MIN(IF(Consolidado!$A$6:$A$1000='TOTALES DIARIOS'!A50,IF(Consolidado!$C$6:$C$1000&gt;TIMEVALUE("07:00"),Consolidado!$C$6:$C$1000,1)))</f>
        <v>0</v>
      </c>
      <c r="N50" s="115">
        <f t="array" ref="N50">MIN(IF(Consolidado!$A$6:$A$1000='TOTALES DIARIOS'!A50,IF(Consolidado!$C$6:$C$1000&lt;=M50,Consolidado!$C$6:$C$1000,1)))</f>
        <v>0</v>
      </c>
      <c r="O50" s="115">
        <f t="array" ref="O50">MAX(IF(Consolidado!$A$6:$A$1000='TOTALES DIARIOS'!A50,IF(Consolidado!$D$6:$D$1000&gt;=M50,Consolidado!$D$6:$D$1000,0)))</f>
        <v>0</v>
      </c>
      <c r="P50" s="118">
        <f t="array" ref="P50">MAX(IF(Consolidado!$A$6:$A$1000='TOTALES DIARIOS'!A50,IF(Consolidado!$D$6:$D$1000&lt;=M50,Consolidado!$D$6:$D$1000,0)))</f>
        <v>0</v>
      </c>
      <c r="Q50" s="117">
        <f t="shared" si="13"/>
        <v>0</v>
      </c>
      <c r="R50" s="117">
        <f t="shared" si="12"/>
        <v>0</v>
      </c>
      <c r="S50" s="104" t="str">
        <f t="shared" si="8"/>
        <v>NO</v>
      </c>
    </row>
    <row r="51" spans="1:19" x14ac:dyDescent="0.25">
      <c r="A51" s="221">
        <f t="shared" si="11"/>
        <v>45339</v>
      </c>
      <c r="B51" s="130" t="str">
        <f t="shared" si="0"/>
        <v/>
      </c>
      <c r="C51" s="217">
        <f t="shared" si="1"/>
        <v>0</v>
      </c>
      <c r="D51" s="217">
        <f t="shared" si="1"/>
        <v>0</v>
      </c>
      <c r="E51" s="218">
        <f>SUMIF(Consolidado!$A$6:$A$380,'TOTALES DIARIOS'!A51,Consolidado!$E$6:$E$380)</f>
        <v>0</v>
      </c>
      <c r="F51" s="218">
        <f>SUMIF(Consolidado!$A$6:$A$380,'TOTALES DIARIOS'!A51,Consolidado!$F$6:$F$380)</f>
        <v>0</v>
      </c>
      <c r="G51" s="218">
        <f>SUMIF(Consolidado!$A$6:$A$380,'TOTALES DIARIOS'!A51,Consolidado!$G$6:$G$380)</f>
        <v>0</v>
      </c>
      <c r="H51" s="219">
        <f t="shared" si="2"/>
        <v>0</v>
      </c>
      <c r="I51" s="99">
        <f t="shared" si="3"/>
        <v>0</v>
      </c>
      <c r="J51" s="99">
        <f t="shared" si="4"/>
        <v>0</v>
      </c>
      <c r="K51" s="113">
        <f t="shared" si="5"/>
        <v>2024</v>
      </c>
      <c r="L51" s="113">
        <f t="shared" si="6"/>
        <v>2</v>
      </c>
      <c r="M51" s="115">
        <f t="array" ref="M51">MIN(IF(Consolidado!$A$6:$A$1000='TOTALES DIARIOS'!A51,IF(Consolidado!$C$6:$C$1000&gt;TIMEVALUE("07:00"),Consolidado!$C$6:$C$1000,1)))</f>
        <v>0</v>
      </c>
      <c r="N51" s="115">
        <f t="array" ref="N51">MIN(IF(Consolidado!$A$6:$A$1000='TOTALES DIARIOS'!A51,IF(Consolidado!$C$6:$C$1000&lt;=M51,Consolidado!$C$6:$C$1000,1)))</f>
        <v>0</v>
      </c>
      <c r="O51" s="115">
        <f t="array" ref="O51">MAX(IF(Consolidado!$A$6:$A$1000='TOTALES DIARIOS'!A51,IF(Consolidado!$D$6:$D$1000&gt;=M51,Consolidado!$D$6:$D$1000,0)))</f>
        <v>0</v>
      </c>
      <c r="P51" s="118">
        <f t="array" ref="P51">MAX(IF(Consolidado!$A$6:$A$1000='TOTALES DIARIOS'!A51,IF(Consolidado!$D$6:$D$1000&lt;=M51,Consolidado!$D$6:$D$1000,0)))</f>
        <v>0</v>
      </c>
      <c r="Q51" s="117">
        <f t="shared" si="13"/>
        <v>0</v>
      </c>
      <c r="R51" s="117">
        <f t="shared" si="12"/>
        <v>0</v>
      </c>
      <c r="S51" s="104" t="str">
        <f t="shared" si="8"/>
        <v>NO</v>
      </c>
    </row>
    <row r="52" spans="1:19" x14ac:dyDescent="0.25">
      <c r="A52" s="221">
        <f t="shared" si="11"/>
        <v>45340</v>
      </c>
      <c r="B52" s="130" t="str">
        <f t="shared" si="0"/>
        <v/>
      </c>
      <c r="C52" s="217">
        <f t="shared" si="1"/>
        <v>0</v>
      </c>
      <c r="D52" s="217">
        <f t="shared" si="1"/>
        <v>0</v>
      </c>
      <c r="E52" s="218">
        <f>SUMIF(Consolidado!$A$6:$A$380,'TOTALES DIARIOS'!A52,Consolidado!$E$6:$E$380)</f>
        <v>0</v>
      </c>
      <c r="F52" s="218">
        <f>SUMIF(Consolidado!$A$6:$A$380,'TOTALES DIARIOS'!A52,Consolidado!$F$6:$F$380)</f>
        <v>0</v>
      </c>
      <c r="G52" s="218">
        <f>SUMIF(Consolidado!$A$6:$A$380,'TOTALES DIARIOS'!A52,Consolidado!$G$6:$G$380)</f>
        <v>0</v>
      </c>
      <c r="H52" s="219">
        <f t="shared" si="2"/>
        <v>0</v>
      </c>
      <c r="I52" s="99">
        <f t="shared" si="3"/>
        <v>0</v>
      </c>
      <c r="J52" s="99">
        <f t="shared" si="4"/>
        <v>0</v>
      </c>
      <c r="K52" s="113">
        <f t="shared" si="5"/>
        <v>2024</v>
      </c>
      <c r="L52" s="113">
        <f t="shared" si="6"/>
        <v>2</v>
      </c>
      <c r="M52" s="115">
        <f t="array" ref="M52">MIN(IF(Consolidado!$A$6:$A$1000='TOTALES DIARIOS'!A52,IF(Consolidado!$C$6:$C$1000&gt;TIMEVALUE("07:00"),Consolidado!$C$6:$C$1000,1)))</f>
        <v>0</v>
      </c>
      <c r="N52" s="115">
        <f t="array" ref="N52">MIN(IF(Consolidado!$A$6:$A$1000='TOTALES DIARIOS'!A52,IF(Consolidado!$C$6:$C$1000&lt;=M52,Consolidado!$C$6:$C$1000,1)))</f>
        <v>0</v>
      </c>
      <c r="O52" s="115">
        <f t="array" ref="O52">MAX(IF(Consolidado!$A$6:$A$1000='TOTALES DIARIOS'!A52,IF(Consolidado!$D$6:$D$1000&gt;=M52,Consolidado!$D$6:$D$1000,0)))</f>
        <v>0</v>
      </c>
      <c r="P52" s="118">
        <f t="array" ref="P52">MAX(IF(Consolidado!$A$6:$A$1000='TOTALES DIARIOS'!A52,IF(Consolidado!$D$6:$D$1000&lt;=M52,Consolidado!$D$6:$D$1000,0)))</f>
        <v>0</v>
      </c>
      <c r="Q52" s="117">
        <f t="shared" si="13"/>
        <v>0</v>
      </c>
      <c r="R52" s="117">
        <f t="shared" si="12"/>
        <v>0</v>
      </c>
      <c r="S52" s="104" t="str">
        <f t="shared" si="8"/>
        <v>NO</v>
      </c>
    </row>
    <row r="53" spans="1:19" x14ac:dyDescent="0.25">
      <c r="A53" s="221">
        <f t="shared" si="11"/>
        <v>45341</v>
      </c>
      <c r="B53" s="130" t="str">
        <f t="shared" si="0"/>
        <v/>
      </c>
      <c r="C53" s="217">
        <f t="shared" si="1"/>
        <v>0</v>
      </c>
      <c r="D53" s="217">
        <f t="shared" si="1"/>
        <v>0</v>
      </c>
      <c r="E53" s="218">
        <f>SUMIF(Consolidado!$A$6:$A$380,'TOTALES DIARIOS'!A53,Consolidado!$E$6:$E$380)</f>
        <v>0</v>
      </c>
      <c r="F53" s="218">
        <f>SUMIF(Consolidado!$A$6:$A$380,'TOTALES DIARIOS'!A53,Consolidado!$F$6:$F$380)</f>
        <v>0</v>
      </c>
      <c r="G53" s="218">
        <f>SUMIF(Consolidado!$A$6:$A$380,'TOTALES DIARIOS'!A53,Consolidado!$G$6:$G$380)</f>
        <v>0</v>
      </c>
      <c r="H53" s="219">
        <f t="shared" si="2"/>
        <v>0</v>
      </c>
      <c r="I53" s="99">
        <f t="shared" si="3"/>
        <v>0</v>
      </c>
      <c r="J53" s="99">
        <f t="shared" si="4"/>
        <v>0</v>
      </c>
      <c r="K53" s="113">
        <f t="shared" si="5"/>
        <v>2024</v>
      </c>
      <c r="L53" s="113">
        <f t="shared" si="6"/>
        <v>2</v>
      </c>
      <c r="M53" s="115">
        <f t="array" ref="M53">MIN(IF(Consolidado!$A$6:$A$1000='TOTALES DIARIOS'!A53,IF(Consolidado!$C$6:$C$1000&gt;TIMEVALUE("07:00"),Consolidado!$C$6:$C$1000,1)))</f>
        <v>0</v>
      </c>
      <c r="N53" s="115">
        <f t="array" ref="N53">MIN(IF(Consolidado!$A$6:$A$1000='TOTALES DIARIOS'!A53,IF(Consolidado!$C$6:$C$1000&lt;=M53,Consolidado!$C$6:$C$1000,1)))</f>
        <v>0</v>
      </c>
      <c r="O53" s="115">
        <f t="array" ref="O53">MAX(IF(Consolidado!$A$6:$A$1000='TOTALES DIARIOS'!A53,IF(Consolidado!$D$6:$D$1000&gt;=M53,Consolidado!$D$6:$D$1000,0)))</f>
        <v>0</v>
      </c>
      <c r="P53" s="118">
        <f t="array" ref="P53">MAX(IF(Consolidado!$A$6:$A$1000='TOTALES DIARIOS'!A53,IF(Consolidado!$D$6:$D$1000&lt;=M53,Consolidado!$D$6:$D$1000,0)))</f>
        <v>0</v>
      </c>
      <c r="Q53" s="117">
        <f t="shared" si="13"/>
        <v>0</v>
      </c>
      <c r="R53" s="117">
        <f t="shared" si="12"/>
        <v>0</v>
      </c>
      <c r="S53" s="104" t="str">
        <f t="shared" si="8"/>
        <v>NO</v>
      </c>
    </row>
    <row r="54" spans="1:19" x14ac:dyDescent="0.25">
      <c r="A54" s="221">
        <f t="shared" si="11"/>
        <v>45342</v>
      </c>
      <c r="B54" s="130" t="str">
        <f t="shared" si="0"/>
        <v/>
      </c>
      <c r="C54" s="217">
        <f t="shared" si="1"/>
        <v>0</v>
      </c>
      <c r="D54" s="217">
        <f t="shared" si="1"/>
        <v>0</v>
      </c>
      <c r="E54" s="218">
        <f>SUMIF(Consolidado!$A$6:$A$380,'TOTALES DIARIOS'!A54,Consolidado!$E$6:$E$380)</f>
        <v>0</v>
      </c>
      <c r="F54" s="218">
        <f>SUMIF(Consolidado!$A$6:$A$380,'TOTALES DIARIOS'!A54,Consolidado!$F$6:$F$380)</f>
        <v>0</v>
      </c>
      <c r="G54" s="218">
        <f>SUMIF(Consolidado!$A$6:$A$380,'TOTALES DIARIOS'!A54,Consolidado!$G$6:$G$380)</f>
        <v>0</v>
      </c>
      <c r="H54" s="219">
        <f t="shared" si="2"/>
        <v>0</v>
      </c>
      <c r="I54" s="99">
        <f t="shared" si="3"/>
        <v>0</v>
      </c>
      <c r="J54" s="99">
        <f t="shared" si="4"/>
        <v>0</v>
      </c>
      <c r="K54" s="113">
        <f t="shared" si="5"/>
        <v>2024</v>
      </c>
      <c r="L54" s="113">
        <f t="shared" si="6"/>
        <v>2</v>
      </c>
      <c r="M54" s="115">
        <f t="array" ref="M54">MIN(IF(Consolidado!$A$6:$A$1000='TOTALES DIARIOS'!A54,IF(Consolidado!$C$6:$C$1000&gt;TIMEVALUE("07:00"),Consolidado!$C$6:$C$1000,1)))</f>
        <v>0</v>
      </c>
      <c r="N54" s="115">
        <f t="array" ref="N54">MIN(IF(Consolidado!$A$6:$A$1000='TOTALES DIARIOS'!A54,IF(Consolidado!$C$6:$C$1000&lt;=M54,Consolidado!$C$6:$C$1000,1)))</f>
        <v>0</v>
      </c>
      <c r="O54" s="115">
        <f t="array" ref="O54">MAX(IF(Consolidado!$A$6:$A$1000='TOTALES DIARIOS'!A54,IF(Consolidado!$D$6:$D$1000&gt;=M54,Consolidado!$D$6:$D$1000,0)))</f>
        <v>0</v>
      </c>
      <c r="P54" s="118">
        <f t="array" ref="P54">MAX(IF(Consolidado!$A$6:$A$1000='TOTALES DIARIOS'!A54,IF(Consolidado!$D$6:$D$1000&lt;=M54,Consolidado!$D$6:$D$1000,0)))</f>
        <v>0</v>
      </c>
      <c r="Q54" s="117">
        <f t="shared" si="13"/>
        <v>0</v>
      </c>
      <c r="R54" s="117">
        <f t="shared" si="12"/>
        <v>0</v>
      </c>
      <c r="S54" s="104" t="str">
        <f t="shared" si="8"/>
        <v>NO</v>
      </c>
    </row>
    <row r="55" spans="1:19" x14ac:dyDescent="0.25">
      <c r="A55" s="221">
        <f t="shared" si="11"/>
        <v>45343</v>
      </c>
      <c r="B55" s="130" t="str">
        <f t="shared" si="0"/>
        <v/>
      </c>
      <c r="C55" s="217">
        <f t="shared" si="1"/>
        <v>0</v>
      </c>
      <c r="D55" s="217">
        <f t="shared" si="1"/>
        <v>0</v>
      </c>
      <c r="E55" s="218">
        <f>SUMIF(Consolidado!$A$6:$A$380,'TOTALES DIARIOS'!A55,Consolidado!$E$6:$E$380)</f>
        <v>0</v>
      </c>
      <c r="F55" s="218">
        <f>SUMIF(Consolidado!$A$6:$A$380,'TOTALES DIARIOS'!A55,Consolidado!$F$6:$F$380)</f>
        <v>0</v>
      </c>
      <c r="G55" s="218">
        <f>SUMIF(Consolidado!$A$6:$A$380,'TOTALES DIARIOS'!A55,Consolidado!$G$6:$G$380)</f>
        <v>0</v>
      </c>
      <c r="H55" s="219">
        <f t="shared" si="2"/>
        <v>0</v>
      </c>
      <c r="I55" s="99">
        <f t="shared" si="3"/>
        <v>0</v>
      </c>
      <c r="J55" s="99">
        <f t="shared" si="4"/>
        <v>0</v>
      </c>
      <c r="K55" s="113">
        <f t="shared" si="5"/>
        <v>2024</v>
      </c>
      <c r="L55" s="113">
        <f t="shared" si="6"/>
        <v>2</v>
      </c>
      <c r="M55" s="115">
        <f t="array" ref="M55">MIN(IF(Consolidado!$A$6:$A$1000='TOTALES DIARIOS'!A55,IF(Consolidado!$C$6:$C$1000&gt;TIMEVALUE("07:00"),Consolidado!$C$6:$C$1000,1)))</f>
        <v>0</v>
      </c>
      <c r="N55" s="115">
        <f t="array" ref="N55">MIN(IF(Consolidado!$A$6:$A$1000='TOTALES DIARIOS'!A55,IF(Consolidado!$C$6:$C$1000&lt;=M55,Consolidado!$C$6:$C$1000,1)))</f>
        <v>0</v>
      </c>
      <c r="O55" s="115">
        <f t="array" ref="O55">MAX(IF(Consolidado!$A$6:$A$1000='TOTALES DIARIOS'!A55,IF(Consolidado!$D$6:$D$1000&gt;=M55,Consolidado!$D$6:$D$1000,0)))</f>
        <v>0</v>
      </c>
      <c r="P55" s="118">
        <f t="array" ref="P55">MAX(IF(Consolidado!$A$6:$A$1000='TOTALES DIARIOS'!A55,IF(Consolidado!$D$6:$D$1000&lt;=M55,Consolidado!$D$6:$D$1000,0)))</f>
        <v>0</v>
      </c>
      <c r="Q55" s="117">
        <f t="shared" si="13"/>
        <v>0</v>
      </c>
      <c r="R55" s="117">
        <f t="shared" si="12"/>
        <v>0</v>
      </c>
      <c r="S55" s="104" t="str">
        <f t="shared" si="8"/>
        <v>NO</v>
      </c>
    </row>
    <row r="56" spans="1:19" x14ac:dyDescent="0.25">
      <c r="A56" s="221">
        <f t="shared" si="11"/>
        <v>45344</v>
      </c>
      <c r="B56" s="130" t="str">
        <f t="shared" si="0"/>
        <v/>
      </c>
      <c r="C56" s="217">
        <f t="shared" si="1"/>
        <v>0</v>
      </c>
      <c r="D56" s="217">
        <f t="shared" si="1"/>
        <v>0</v>
      </c>
      <c r="E56" s="218">
        <f>SUMIF(Consolidado!$A$6:$A$380,'TOTALES DIARIOS'!A56,Consolidado!$E$6:$E$380)</f>
        <v>0</v>
      </c>
      <c r="F56" s="218">
        <f>SUMIF(Consolidado!$A$6:$A$380,'TOTALES DIARIOS'!A56,Consolidado!$F$6:$F$380)</f>
        <v>0</v>
      </c>
      <c r="G56" s="218">
        <f>SUMIF(Consolidado!$A$6:$A$380,'TOTALES DIARIOS'!A56,Consolidado!$G$6:$G$380)</f>
        <v>0</v>
      </c>
      <c r="H56" s="219">
        <f t="shared" si="2"/>
        <v>0</v>
      </c>
      <c r="I56" s="99">
        <f t="shared" si="3"/>
        <v>0</v>
      </c>
      <c r="J56" s="99">
        <f t="shared" si="4"/>
        <v>0</v>
      </c>
      <c r="K56" s="113">
        <f t="shared" si="5"/>
        <v>2024</v>
      </c>
      <c r="L56" s="113">
        <f t="shared" si="6"/>
        <v>2</v>
      </c>
      <c r="M56" s="115">
        <f t="array" ref="M56">MIN(IF(Consolidado!$A$6:$A$1000='TOTALES DIARIOS'!A56,IF(Consolidado!$C$6:$C$1000&gt;TIMEVALUE("07:00"),Consolidado!$C$6:$C$1000,1)))</f>
        <v>0</v>
      </c>
      <c r="N56" s="115">
        <f t="array" ref="N56">MIN(IF(Consolidado!$A$6:$A$1000='TOTALES DIARIOS'!A56,IF(Consolidado!$C$6:$C$1000&lt;=M56,Consolidado!$C$6:$C$1000,1)))</f>
        <v>0</v>
      </c>
      <c r="O56" s="115">
        <f t="array" ref="O56">MAX(IF(Consolidado!$A$6:$A$1000='TOTALES DIARIOS'!A56,IF(Consolidado!$D$6:$D$1000&gt;=M56,Consolidado!$D$6:$D$1000,0)))</f>
        <v>0</v>
      </c>
      <c r="P56" s="118">
        <f t="array" ref="P56">MAX(IF(Consolidado!$A$6:$A$1000='TOTALES DIARIOS'!A56,IF(Consolidado!$D$6:$D$1000&lt;=M56,Consolidado!$D$6:$D$1000,0)))</f>
        <v>0</v>
      </c>
      <c r="Q56" s="117">
        <f t="shared" si="13"/>
        <v>0</v>
      </c>
      <c r="R56" s="117">
        <f t="shared" si="12"/>
        <v>0</v>
      </c>
      <c r="S56" s="104" t="str">
        <f t="shared" si="8"/>
        <v>NO</v>
      </c>
    </row>
    <row r="57" spans="1:19" x14ac:dyDescent="0.25">
      <c r="A57" s="221">
        <f t="shared" si="11"/>
        <v>45345</v>
      </c>
      <c r="B57" s="130" t="str">
        <f t="shared" si="0"/>
        <v/>
      </c>
      <c r="C57" s="217">
        <f t="shared" si="1"/>
        <v>0</v>
      </c>
      <c r="D57" s="217">
        <f t="shared" si="1"/>
        <v>0</v>
      </c>
      <c r="E57" s="218">
        <f>SUMIF(Consolidado!$A$6:$A$380,'TOTALES DIARIOS'!A57,Consolidado!$E$6:$E$380)</f>
        <v>0</v>
      </c>
      <c r="F57" s="218">
        <f>SUMIF(Consolidado!$A$6:$A$380,'TOTALES DIARIOS'!A57,Consolidado!$F$6:$F$380)</f>
        <v>0</v>
      </c>
      <c r="G57" s="218">
        <f>SUMIF(Consolidado!$A$6:$A$380,'TOTALES DIARIOS'!A57,Consolidado!$G$6:$G$380)</f>
        <v>0</v>
      </c>
      <c r="H57" s="219">
        <f t="shared" si="2"/>
        <v>0</v>
      </c>
      <c r="I57" s="99">
        <f t="shared" si="3"/>
        <v>0</v>
      </c>
      <c r="J57" s="99">
        <f t="shared" si="4"/>
        <v>0</v>
      </c>
      <c r="K57" s="113">
        <f t="shared" si="5"/>
        <v>2024</v>
      </c>
      <c r="L57" s="113">
        <f t="shared" si="6"/>
        <v>2</v>
      </c>
      <c r="M57" s="115">
        <f t="array" ref="M57">MIN(IF(Consolidado!$A$6:$A$1000='TOTALES DIARIOS'!A57,IF(Consolidado!$C$6:$C$1000&gt;TIMEVALUE("07:00"),Consolidado!$C$6:$C$1000,1)))</f>
        <v>0</v>
      </c>
      <c r="N57" s="115">
        <f t="array" ref="N57">MIN(IF(Consolidado!$A$6:$A$1000='TOTALES DIARIOS'!A57,IF(Consolidado!$C$6:$C$1000&lt;=M57,Consolidado!$C$6:$C$1000,1)))</f>
        <v>0</v>
      </c>
      <c r="O57" s="115">
        <f t="array" ref="O57">MAX(IF(Consolidado!$A$6:$A$1000='TOTALES DIARIOS'!A57,IF(Consolidado!$D$6:$D$1000&gt;=M57,Consolidado!$D$6:$D$1000,0)))</f>
        <v>0</v>
      </c>
      <c r="P57" s="118">
        <f t="array" ref="P57">MAX(IF(Consolidado!$A$6:$A$1000='TOTALES DIARIOS'!A57,IF(Consolidado!$D$6:$D$1000&lt;=M57,Consolidado!$D$6:$D$1000,0)))</f>
        <v>0</v>
      </c>
      <c r="Q57" s="117">
        <f t="shared" si="13"/>
        <v>0</v>
      </c>
      <c r="R57" s="117">
        <f t="shared" si="12"/>
        <v>0</v>
      </c>
      <c r="S57" s="104" t="str">
        <f t="shared" si="8"/>
        <v>NO</v>
      </c>
    </row>
    <row r="58" spans="1:19" x14ac:dyDescent="0.25">
      <c r="A58" s="221">
        <f t="shared" si="11"/>
        <v>45346</v>
      </c>
      <c r="B58" s="130" t="str">
        <f t="shared" si="0"/>
        <v/>
      </c>
      <c r="C58" s="217">
        <f t="shared" si="1"/>
        <v>0</v>
      </c>
      <c r="D58" s="217">
        <f t="shared" si="1"/>
        <v>0</v>
      </c>
      <c r="E58" s="218">
        <f>SUMIF(Consolidado!$A$6:$A$380,'TOTALES DIARIOS'!A58,Consolidado!$E$6:$E$380)</f>
        <v>0</v>
      </c>
      <c r="F58" s="218">
        <f>SUMIF(Consolidado!$A$6:$A$380,'TOTALES DIARIOS'!A58,Consolidado!$F$6:$F$380)</f>
        <v>0</v>
      </c>
      <c r="G58" s="218">
        <f>SUMIF(Consolidado!$A$6:$A$380,'TOTALES DIARIOS'!A58,Consolidado!$G$6:$G$380)</f>
        <v>0</v>
      </c>
      <c r="H58" s="219">
        <f t="shared" si="2"/>
        <v>0</v>
      </c>
      <c r="I58" s="99">
        <f t="shared" si="3"/>
        <v>0</v>
      </c>
      <c r="J58" s="99">
        <f t="shared" si="4"/>
        <v>0</v>
      </c>
      <c r="K58" s="113">
        <f t="shared" si="5"/>
        <v>2024</v>
      </c>
      <c r="L58" s="113">
        <f t="shared" si="6"/>
        <v>2</v>
      </c>
      <c r="M58" s="115">
        <f t="array" ref="M58">MIN(IF(Consolidado!$A$6:$A$1000='TOTALES DIARIOS'!A58,IF(Consolidado!$C$6:$C$1000&gt;TIMEVALUE("07:00"),Consolidado!$C$6:$C$1000,1)))</f>
        <v>0</v>
      </c>
      <c r="N58" s="115">
        <f t="array" ref="N58">MIN(IF(Consolidado!$A$6:$A$1000='TOTALES DIARIOS'!A58,IF(Consolidado!$C$6:$C$1000&lt;=M58,Consolidado!$C$6:$C$1000,1)))</f>
        <v>0</v>
      </c>
      <c r="O58" s="115">
        <f t="array" ref="O58">MAX(IF(Consolidado!$A$6:$A$1000='TOTALES DIARIOS'!A58,IF(Consolidado!$D$6:$D$1000&gt;=M58,Consolidado!$D$6:$D$1000,0)))</f>
        <v>0</v>
      </c>
      <c r="P58" s="118">
        <f t="array" ref="P58">MAX(IF(Consolidado!$A$6:$A$1000='TOTALES DIARIOS'!A58,IF(Consolidado!$D$6:$D$1000&lt;=M58,Consolidado!$D$6:$D$1000,0)))</f>
        <v>0</v>
      </c>
      <c r="Q58" s="117">
        <f t="shared" si="13"/>
        <v>0</v>
      </c>
      <c r="R58" s="117">
        <f t="shared" si="12"/>
        <v>0</v>
      </c>
      <c r="S58" s="104" t="str">
        <f t="shared" si="8"/>
        <v>NO</v>
      </c>
    </row>
    <row r="59" spans="1:19" x14ac:dyDescent="0.25">
      <c r="A59" s="221">
        <f t="shared" si="11"/>
        <v>45347</v>
      </c>
      <c r="B59" s="130" t="str">
        <f t="shared" si="0"/>
        <v/>
      </c>
      <c r="C59" s="217">
        <f t="shared" si="1"/>
        <v>0</v>
      </c>
      <c r="D59" s="217">
        <f t="shared" si="1"/>
        <v>0</v>
      </c>
      <c r="E59" s="218">
        <f>SUMIF(Consolidado!$A$6:$A$380,'TOTALES DIARIOS'!A59,Consolidado!$E$6:$E$380)</f>
        <v>0</v>
      </c>
      <c r="F59" s="218">
        <f>SUMIF(Consolidado!$A$6:$A$380,'TOTALES DIARIOS'!A59,Consolidado!$F$6:$F$380)</f>
        <v>0</v>
      </c>
      <c r="G59" s="218">
        <f>SUMIF(Consolidado!$A$6:$A$380,'TOTALES DIARIOS'!A59,Consolidado!$G$6:$G$380)</f>
        <v>0</v>
      </c>
      <c r="H59" s="219">
        <f t="shared" si="2"/>
        <v>0</v>
      </c>
      <c r="I59" s="99">
        <f t="shared" si="3"/>
        <v>0</v>
      </c>
      <c r="J59" s="99">
        <f t="shared" si="4"/>
        <v>0</v>
      </c>
      <c r="K59" s="113">
        <f t="shared" si="5"/>
        <v>2024</v>
      </c>
      <c r="L59" s="113">
        <f t="shared" si="6"/>
        <v>2</v>
      </c>
      <c r="M59" s="115">
        <f t="array" ref="M59">MIN(IF(Consolidado!$A$6:$A$1000='TOTALES DIARIOS'!A59,IF(Consolidado!$C$6:$C$1000&gt;TIMEVALUE("07:00"),Consolidado!$C$6:$C$1000,1)))</f>
        <v>0</v>
      </c>
      <c r="N59" s="115">
        <f t="array" ref="N59">MIN(IF(Consolidado!$A$6:$A$1000='TOTALES DIARIOS'!A59,IF(Consolidado!$C$6:$C$1000&lt;=M59,Consolidado!$C$6:$C$1000,1)))</f>
        <v>0</v>
      </c>
      <c r="O59" s="115">
        <f t="array" ref="O59">MAX(IF(Consolidado!$A$6:$A$1000='TOTALES DIARIOS'!A59,IF(Consolidado!$D$6:$D$1000&gt;=M59,Consolidado!$D$6:$D$1000,0)))</f>
        <v>0</v>
      </c>
      <c r="P59" s="118">
        <f t="array" ref="P59">MAX(IF(Consolidado!$A$6:$A$1000='TOTALES DIARIOS'!A59,IF(Consolidado!$D$6:$D$1000&lt;=M59,Consolidado!$D$6:$D$1000,0)))</f>
        <v>0</v>
      </c>
      <c r="Q59" s="117">
        <f t="shared" si="13"/>
        <v>0</v>
      </c>
      <c r="R59" s="117">
        <f t="shared" si="12"/>
        <v>0</v>
      </c>
      <c r="S59" s="104" t="str">
        <f t="shared" si="8"/>
        <v>NO</v>
      </c>
    </row>
    <row r="60" spans="1:19" x14ac:dyDescent="0.25">
      <c r="A60" s="221">
        <f t="shared" si="11"/>
        <v>45348</v>
      </c>
      <c r="B60" s="130" t="str">
        <f t="shared" si="0"/>
        <v/>
      </c>
      <c r="C60" s="217">
        <f t="shared" si="1"/>
        <v>0</v>
      </c>
      <c r="D60" s="217">
        <f t="shared" si="1"/>
        <v>0</v>
      </c>
      <c r="E60" s="218">
        <f>SUMIF(Consolidado!$A$6:$A$380,'TOTALES DIARIOS'!A60,Consolidado!$E$6:$E$380)</f>
        <v>0</v>
      </c>
      <c r="F60" s="218">
        <f>SUMIF(Consolidado!$A$6:$A$380,'TOTALES DIARIOS'!A60,Consolidado!$F$6:$F$380)</f>
        <v>0</v>
      </c>
      <c r="G60" s="218">
        <f>SUMIF(Consolidado!$A$6:$A$380,'TOTALES DIARIOS'!A60,Consolidado!$G$6:$G$380)</f>
        <v>0</v>
      </c>
      <c r="H60" s="219">
        <f t="shared" si="2"/>
        <v>0</v>
      </c>
      <c r="I60" s="99">
        <f t="shared" si="3"/>
        <v>0</v>
      </c>
      <c r="J60" s="99">
        <f t="shared" si="4"/>
        <v>0</v>
      </c>
      <c r="K60" s="113">
        <f t="shared" si="5"/>
        <v>2024</v>
      </c>
      <c r="L60" s="113">
        <f t="shared" si="6"/>
        <v>2</v>
      </c>
      <c r="M60" s="115">
        <f t="array" ref="M60">MIN(IF(Consolidado!$A$6:$A$1000='TOTALES DIARIOS'!A60,IF(Consolidado!$C$6:$C$1000&gt;TIMEVALUE("07:00"),Consolidado!$C$6:$C$1000,1)))</f>
        <v>0</v>
      </c>
      <c r="N60" s="115">
        <f t="array" ref="N60">MIN(IF(Consolidado!$A$6:$A$1000='TOTALES DIARIOS'!A60,IF(Consolidado!$C$6:$C$1000&lt;=M60,Consolidado!$C$6:$C$1000,1)))</f>
        <v>0</v>
      </c>
      <c r="O60" s="115">
        <f t="array" ref="O60">MAX(IF(Consolidado!$A$6:$A$1000='TOTALES DIARIOS'!A60,IF(Consolidado!$D$6:$D$1000&gt;=M60,Consolidado!$D$6:$D$1000,0)))</f>
        <v>0</v>
      </c>
      <c r="P60" s="118">
        <f t="array" ref="P60">MAX(IF(Consolidado!$A$6:$A$1000='TOTALES DIARIOS'!A60,IF(Consolidado!$D$6:$D$1000&lt;=M60,Consolidado!$D$6:$D$1000,0)))</f>
        <v>0</v>
      </c>
      <c r="Q60" s="117">
        <f t="shared" si="13"/>
        <v>0</v>
      </c>
      <c r="R60" s="117">
        <f t="shared" si="12"/>
        <v>0</v>
      </c>
      <c r="S60" s="104" t="str">
        <f t="shared" si="8"/>
        <v>NO</v>
      </c>
    </row>
    <row r="61" spans="1:19" x14ac:dyDescent="0.25">
      <c r="A61" s="221">
        <f t="shared" si="11"/>
        <v>45349</v>
      </c>
      <c r="B61" s="130" t="str">
        <f t="shared" si="0"/>
        <v/>
      </c>
      <c r="C61" s="217">
        <f t="shared" si="1"/>
        <v>0</v>
      </c>
      <c r="D61" s="217">
        <f t="shared" si="1"/>
        <v>0</v>
      </c>
      <c r="E61" s="218">
        <f>SUMIF(Consolidado!$A$6:$A$380,'TOTALES DIARIOS'!A61,Consolidado!$E$6:$E$380)</f>
        <v>0</v>
      </c>
      <c r="F61" s="218">
        <f>SUMIF(Consolidado!$A$6:$A$380,'TOTALES DIARIOS'!A61,Consolidado!$F$6:$F$380)</f>
        <v>0</v>
      </c>
      <c r="G61" s="218">
        <f>SUMIF(Consolidado!$A$6:$A$380,'TOTALES DIARIOS'!A61,Consolidado!$G$6:$G$380)</f>
        <v>0</v>
      </c>
      <c r="H61" s="219">
        <f t="shared" si="2"/>
        <v>0</v>
      </c>
      <c r="I61" s="99">
        <f t="shared" si="3"/>
        <v>0</v>
      </c>
      <c r="J61" s="99">
        <f t="shared" si="4"/>
        <v>0</v>
      </c>
      <c r="K61" s="113">
        <f t="shared" si="5"/>
        <v>2024</v>
      </c>
      <c r="L61" s="113">
        <f t="shared" si="6"/>
        <v>2</v>
      </c>
      <c r="M61" s="115">
        <f t="array" ref="M61">MIN(IF(Consolidado!$A$6:$A$1000='TOTALES DIARIOS'!A61,IF(Consolidado!$C$6:$C$1000&gt;TIMEVALUE("07:00"),Consolidado!$C$6:$C$1000,1)))</f>
        <v>0</v>
      </c>
      <c r="N61" s="115">
        <f t="array" ref="N61">MIN(IF(Consolidado!$A$6:$A$1000='TOTALES DIARIOS'!A61,IF(Consolidado!$C$6:$C$1000&lt;=M61,Consolidado!$C$6:$C$1000,1)))</f>
        <v>0</v>
      </c>
      <c r="O61" s="115">
        <f t="array" ref="O61">MAX(IF(Consolidado!$A$6:$A$1000='TOTALES DIARIOS'!A61,IF(Consolidado!$D$6:$D$1000&gt;=M61,Consolidado!$D$6:$D$1000,0)))</f>
        <v>0</v>
      </c>
      <c r="P61" s="118">
        <f t="array" ref="P61">MAX(IF(Consolidado!$A$6:$A$1000='TOTALES DIARIOS'!A61,IF(Consolidado!$D$6:$D$1000&lt;=M61,Consolidado!$D$6:$D$1000,0)))</f>
        <v>0</v>
      </c>
      <c r="Q61" s="117">
        <f t="shared" si="13"/>
        <v>0</v>
      </c>
      <c r="R61" s="117">
        <f t="shared" si="12"/>
        <v>0</v>
      </c>
      <c r="S61" s="104" t="str">
        <f t="shared" si="8"/>
        <v>NO</v>
      </c>
    </row>
    <row r="62" spans="1:19" x14ac:dyDescent="0.25">
      <c r="A62" s="221">
        <f t="shared" si="11"/>
        <v>45350</v>
      </c>
      <c r="B62" s="130" t="str">
        <f t="shared" si="0"/>
        <v/>
      </c>
      <c r="C62" s="217">
        <f t="shared" si="1"/>
        <v>0</v>
      </c>
      <c r="D62" s="217">
        <f t="shared" si="1"/>
        <v>0</v>
      </c>
      <c r="E62" s="218">
        <f>SUMIF(Consolidado!$A$6:$A$380,'TOTALES DIARIOS'!A62,Consolidado!$E$6:$E$380)</f>
        <v>0</v>
      </c>
      <c r="F62" s="218">
        <f>SUMIF(Consolidado!$A$6:$A$380,'TOTALES DIARIOS'!A62,Consolidado!$F$6:$F$380)</f>
        <v>0</v>
      </c>
      <c r="G62" s="218">
        <f>SUMIF(Consolidado!$A$6:$A$380,'TOTALES DIARIOS'!A62,Consolidado!$G$6:$G$380)</f>
        <v>0</v>
      </c>
      <c r="H62" s="219">
        <f t="shared" si="2"/>
        <v>0</v>
      </c>
      <c r="I62" s="99">
        <f t="shared" si="3"/>
        <v>0</v>
      </c>
      <c r="J62" s="99">
        <f t="shared" si="4"/>
        <v>0</v>
      </c>
      <c r="K62" s="113">
        <f t="shared" si="5"/>
        <v>2024</v>
      </c>
      <c r="L62" s="113">
        <f t="shared" si="6"/>
        <v>2</v>
      </c>
      <c r="M62" s="115">
        <f t="array" ref="M62">MIN(IF(Consolidado!$A$6:$A$1000='TOTALES DIARIOS'!A62,IF(Consolidado!$C$6:$C$1000&gt;TIMEVALUE("07:00"),Consolidado!$C$6:$C$1000,1)))</f>
        <v>0</v>
      </c>
      <c r="N62" s="115">
        <f t="array" ref="N62">MIN(IF(Consolidado!$A$6:$A$1000='TOTALES DIARIOS'!A62,IF(Consolidado!$C$6:$C$1000&lt;=M62,Consolidado!$C$6:$C$1000,1)))</f>
        <v>0</v>
      </c>
      <c r="O62" s="115">
        <f t="array" ref="O62">MAX(IF(Consolidado!$A$6:$A$1000='TOTALES DIARIOS'!A62,IF(Consolidado!$D$6:$D$1000&gt;=M62,Consolidado!$D$6:$D$1000,0)))</f>
        <v>0</v>
      </c>
      <c r="P62" s="118">
        <f t="array" ref="P62">MAX(IF(Consolidado!$A$6:$A$1000='TOTALES DIARIOS'!A62,IF(Consolidado!$D$6:$D$1000&lt;=M62,Consolidado!$D$6:$D$1000,0)))</f>
        <v>0</v>
      </c>
      <c r="Q62" s="117">
        <f t="shared" si="13"/>
        <v>0</v>
      </c>
      <c r="R62" s="117">
        <f t="shared" si="12"/>
        <v>0</v>
      </c>
      <c r="S62" s="104" t="str">
        <f t="shared" si="8"/>
        <v>NO</v>
      </c>
    </row>
    <row r="63" spans="1:19" x14ac:dyDescent="0.25">
      <c r="A63" s="221">
        <f t="shared" si="11"/>
        <v>45351</v>
      </c>
      <c r="B63" s="130" t="str">
        <f t="shared" si="0"/>
        <v/>
      </c>
      <c r="C63" s="217">
        <f t="shared" si="1"/>
        <v>0</v>
      </c>
      <c r="D63" s="217">
        <f t="shared" si="1"/>
        <v>0</v>
      </c>
      <c r="E63" s="218">
        <f>SUMIF(Consolidado!$A$6:$A$380,'TOTALES DIARIOS'!A63,Consolidado!$E$6:$E$380)</f>
        <v>0</v>
      </c>
      <c r="F63" s="218">
        <f>SUMIF(Consolidado!$A$6:$A$380,'TOTALES DIARIOS'!A63,Consolidado!$F$6:$F$380)</f>
        <v>0</v>
      </c>
      <c r="G63" s="218">
        <f>SUMIF(Consolidado!$A$6:$A$380,'TOTALES DIARIOS'!A63,Consolidado!$G$6:$G$380)</f>
        <v>0</v>
      </c>
      <c r="H63" s="219">
        <f t="shared" si="2"/>
        <v>0</v>
      </c>
      <c r="I63" s="99">
        <f t="shared" si="3"/>
        <v>0</v>
      </c>
      <c r="J63" s="99">
        <f t="shared" si="4"/>
        <v>0</v>
      </c>
      <c r="K63" s="113">
        <f t="shared" si="5"/>
        <v>2024</v>
      </c>
      <c r="L63" s="113">
        <f t="shared" si="6"/>
        <v>2</v>
      </c>
      <c r="M63" s="115">
        <f t="array" ref="M63">MIN(IF(Consolidado!$A$6:$A$1000='TOTALES DIARIOS'!A63,IF(Consolidado!$C$6:$C$1000&gt;TIMEVALUE("07:00"),Consolidado!$C$6:$C$1000,1)))</f>
        <v>0</v>
      </c>
      <c r="N63" s="115">
        <f t="array" ref="N63">MIN(IF(Consolidado!$A$6:$A$1000='TOTALES DIARIOS'!A63,IF(Consolidado!$C$6:$C$1000&lt;=M63,Consolidado!$C$6:$C$1000,1)))</f>
        <v>0</v>
      </c>
      <c r="O63" s="115">
        <f t="array" ref="O63">MAX(IF(Consolidado!$A$6:$A$1000='TOTALES DIARIOS'!A63,IF(Consolidado!$D$6:$D$1000&gt;=M63,Consolidado!$D$6:$D$1000,0)))</f>
        <v>0</v>
      </c>
      <c r="P63" s="118">
        <f t="array" ref="P63">MAX(IF(Consolidado!$A$6:$A$1000='TOTALES DIARIOS'!A63,IF(Consolidado!$D$6:$D$1000&lt;=M63,Consolidado!$D$6:$D$1000,0)))</f>
        <v>0</v>
      </c>
      <c r="Q63" s="117">
        <f t="shared" si="13"/>
        <v>0</v>
      </c>
      <c r="R63" s="117">
        <f t="shared" si="12"/>
        <v>0</v>
      </c>
      <c r="S63" s="104" t="str">
        <f t="shared" si="8"/>
        <v>NO</v>
      </c>
    </row>
    <row r="64" spans="1:19" x14ac:dyDescent="0.25">
      <c r="A64" s="221">
        <f t="shared" si="11"/>
        <v>45352</v>
      </c>
      <c r="B64" s="130" t="str">
        <f t="shared" si="0"/>
        <v/>
      </c>
      <c r="C64" s="217">
        <f t="shared" si="1"/>
        <v>0</v>
      </c>
      <c r="D64" s="217">
        <f t="shared" si="1"/>
        <v>0</v>
      </c>
      <c r="E64" s="218">
        <f>SUMIF(Consolidado!$A$6:$A$380,'TOTALES DIARIOS'!A64,Consolidado!$E$6:$E$380)</f>
        <v>0</v>
      </c>
      <c r="F64" s="218">
        <f>SUMIF(Consolidado!$A$6:$A$380,'TOTALES DIARIOS'!A64,Consolidado!$F$6:$F$380)</f>
        <v>0</v>
      </c>
      <c r="G64" s="218">
        <f>SUMIF(Consolidado!$A$6:$A$380,'TOTALES DIARIOS'!A64,Consolidado!$G$6:$G$380)</f>
        <v>0</v>
      </c>
      <c r="H64" s="219">
        <f t="shared" si="2"/>
        <v>0</v>
      </c>
      <c r="I64" s="99">
        <f t="shared" si="3"/>
        <v>0</v>
      </c>
      <c r="J64" s="99">
        <f t="shared" si="4"/>
        <v>0</v>
      </c>
      <c r="K64" s="113">
        <f t="shared" si="5"/>
        <v>2024</v>
      </c>
      <c r="L64" s="113">
        <f t="shared" si="6"/>
        <v>3</v>
      </c>
      <c r="M64" s="115">
        <f t="array" ref="M64">MIN(IF(Consolidado!$A$6:$A$1000='TOTALES DIARIOS'!A64,IF(Consolidado!$C$6:$C$1000&gt;TIMEVALUE("07:00"),Consolidado!$C$6:$C$1000,1)))</f>
        <v>0</v>
      </c>
      <c r="N64" s="115">
        <f t="array" ref="N64">MIN(IF(Consolidado!$A$6:$A$1000='TOTALES DIARIOS'!A64,IF(Consolidado!$C$6:$C$1000&lt;=M64,Consolidado!$C$6:$C$1000,1)))</f>
        <v>0</v>
      </c>
      <c r="O64" s="115">
        <f t="array" ref="O64">MAX(IF(Consolidado!$A$6:$A$1000='TOTALES DIARIOS'!A64,IF(Consolidado!$D$6:$D$1000&gt;=M64,Consolidado!$D$6:$D$1000,0)))</f>
        <v>0</v>
      </c>
      <c r="P64" s="118">
        <f t="array" ref="P64">MAX(IF(Consolidado!$A$6:$A$1000='TOTALES DIARIOS'!A64,IF(Consolidado!$D$6:$D$1000&lt;=M64,Consolidado!$D$6:$D$1000,0)))</f>
        <v>0</v>
      </c>
      <c r="Q64" s="117">
        <f t="shared" si="13"/>
        <v>0</v>
      </c>
      <c r="R64" s="117">
        <f t="shared" si="12"/>
        <v>0</v>
      </c>
      <c r="S64" s="104" t="str">
        <f t="shared" si="8"/>
        <v>NO</v>
      </c>
    </row>
    <row r="65" spans="1:19" x14ac:dyDescent="0.25">
      <c r="A65" s="221">
        <f t="shared" si="11"/>
        <v>45353</v>
      </c>
      <c r="B65" s="130" t="str">
        <f t="shared" si="0"/>
        <v/>
      </c>
      <c r="C65" s="217">
        <f t="shared" si="1"/>
        <v>0</v>
      </c>
      <c r="D65" s="217">
        <f t="shared" si="1"/>
        <v>0</v>
      </c>
      <c r="E65" s="218">
        <f>SUMIF(Consolidado!$A$6:$A$380,'TOTALES DIARIOS'!A65,Consolidado!$E$6:$E$380)</f>
        <v>0</v>
      </c>
      <c r="F65" s="218">
        <f>SUMIF(Consolidado!$A$6:$A$380,'TOTALES DIARIOS'!A65,Consolidado!$F$6:$F$380)</f>
        <v>0</v>
      </c>
      <c r="G65" s="218">
        <f>SUMIF(Consolidado!$A$6:$A$380,'TOTALES DIARIOS'!A65,Consolidado!$G$6:$G$380)</f>
        <v>0</v>
      </c>
      <c r="H65" s="219">
        <f t="shared" si="2"/>
        <v>0</v>
      </c>
      <c r="I65" s="99">
        <f t="shared" si="3"/>
        <v>0</v>
      </c>
      <c r="J65" s="99">
        <f t="shared" si="4"/>
        <v>0</v>
      </c>
      <c r="K65" s="113">
        <f t="shared" si="5"/>
        <v>2024</v>
      </c>
      <c r="L65" s="113">
        <f t="shared" si="6"/>
        <v>3</v>
      </c>
      <c r="M65" s="115">
        <f t="array" ref="M65">MIN(IF(Consolidado!$A$6:$A$1000='TOTALES DIARIOS'!A65,IF(Consolidado!$C$6:$C$1000&gt;TIMEVALUE("07:00"),Consolidado!$C$6:$C$1000,1)))</f>
        <v>0</v>
      </c>
      <c r="N65" s="115">
        <f t="array" ref="N65">MIN(IF(Consolidado!$A$6:$A$1000='TOTALES DIARIOS'!A65,IF(Consolidado!$C$6:$C$1000&lt;=M65,Consolidado!$C$6:$C$1000,1)))</f>
        <v>0</v>
      </c>
      <c r="O65" s="115">
        <f t="array" ref="O65">MAX(IF(Consolidado!$A$6:$A$1000='TOTALES DIARIOS'!A65,IF(Consolidado!$D$6:$D$1000&gt;=M65,Consolidado!$D$6:$D$1000,0)))</f>
        <v>0</v>
      </c>
      <c r="P65" s="118">
        <f t="array" ref="P65">MAX(IF(Consolidado!$A$6:$A$1000='TOTALES DIARIOS'!A65,IF(Consolidado!$D$6:$D$1000&lt;=M65,Consolidado!$D$6:$D$1000,0)))</f>
        <v>0</v>
      </c>
      <c r="Q65" s="117">
        <f t="shared" si="13"/>
        <v>0</v>
      </c>
      <c r="R65" s="117">
        <f t="shared" si="12"/>
        <v>0</v>
      </c>
      <c r="S65" s="104" t="str">
        <f t="shared" si="8"/>
        <v>NO</v>
      </c>
    </row>
    <row r="66" spans="1:19" x14ac:dyDescent="0.25">
      <c r="A66" s="221">
        <f t="shared" si="11"/>
        <v>45354</v>
      </c>
      <c r="B66" s="130" t="str">
        <f t="shared" si="0"/>
        <v/>
      </c>
      <c r="C66" s="217">
        <f t="shared" si="1"/>
        <v>0</v>
      </c>
      <c r="D66" s="217">
        <f t="shared" si="1"/>
        <v>0</v>
      </c>
      <c r="E66" s="218">
        <f>SUMIF(Consolidado!$A$6:$A$380,'TOTALES DIARIOS'!A66,Consolidado!$E$6:$E$380)</f>
        <v>0</v>
      </c>
      <c r="F66" s="218">
        <f>SUMIF(Consolidado!$A$6:$A$380,'TOTALES DIARIOS'!A66,Consolidado!$F$6:$F$380)</f>
        <v>0</v>
      </c>
      <c r="G66" s="218">
        <f>SUMIF(Consolidado!$A$6:$A$380,'TOTALES DIARIOS'!A66,Consolidado!$G$6:$G$380)</f>
        <v>0</v>
      </c>
      <c r="H66" s="219">
        <f t="shared" si="2"/>
        <v>0</v>
      </c>
      <c r="I66" s="99">
        <f t="shared" si="3"/>
        <v>0</v>
      </c>
      <c r="J66" s="99">
        <f t="shared" si="4"/>
        <v>0</v>
      </c>
      <c r="K66" s="113">
        <f t="shared" si="5"/>
        <v>2024</v>
      </c>
      <c r="L66" s="113">
        <f t="shared" si="6"/>
        <v>3</v>
      </c>
      <c r="M66" s="115">
        <f t="array" ref="M66">MIN(IF(Consolidado!$A$6:$A$1000='TOTALES DIARIOS'!A66,IF(Consolidado!$C$6:$C$1000&gt;TIMEVALUE("07:00"),Consolidado!$C$6:$C$1000,1)))</f>
        <v>0</v>
      </c>
      <c r="N66" s="115">
        <f t="array" ref="N66">MIN(IF(Consolidado!$A$6:$A$1000='TOTALES DIARIOS'!A66,IF(Consolidado!$C$6:$C$1000&lt;=M66,Consolidado!$C$6:$C$1000,1)))</f>
        <v>0</v>
      </c>
      <c r="O66" s="115">
        <f t="array" ref="O66">MAX(IF(Consolidado!$A$6:$A$1000='TOTALES DIARIOS'!A66,IF(Consolidado!$D$6:$D$1000&gt;=M66,Consolidado!$D$6:$D$1000,0)))</f>
        <v>0</v>
      </c>
      <c r="P66" s="118">
        <f t="array" ref="P66">MAX(IF(Consolidado!$A$6:$A$1000='TOTALES DIARIOS'!A66,IF(Consolidado!$D$6:$D$1000&lt;=M66,Consolidado!$D$6:$D$1000,0)))</f>
        <v>0</v>
      </c>
      <c r="Q66" s="117">
        <f t="shared" si="13"/>
        <v>0</v>
      </c>
      <c r="R66" s="117">
        <f t="shared" si="12"/>
        <v>0</v>
      </c>
      <c r="S66" s="104" t="str">
        <f t="shared" si="8"/>
        <v>NO</v>
      </c>
    </row>
    <row r="67" spans="1:19" x14ac:dyDescent="0.25">
      <c r="A67" s="221">
        <f t="shared" si="11"/>
        <v>45355</v>
      </c>
      <c r="B67" s="130" t="str">
        <f t="shared" si="0"/>
        <v/>
      </c>
      <c r="C67" s="217">
        <f t="shared" si="1"/>
        <v>0</v>
      </c>
      <c r="D67" s="217">
        <f t="shared" si="1"/>
        <v>0</v>
      </c>
      <c r="E67" s="218">
        <f>SUMIF(Consolidado!$A$6:$A$380,'TOTALES DIARIOS'!A67,Consolidado!$E$6:$E$380)</f>
        <v>0</v>
      </c>
      <c r="F67" s="218">
        <f>SUMIF(Consolidado!$A$6:$A$380,'TOTALES DIARIOS'!A67,Consolidado!$F$6:$F$380)</f>
        <v>0</v>
      </c>
      <c r="G67" s="218">
        <f>SUMIF(Consolidado!$A$6:$A$380,'TOTALES DIARIOS'!A67,Consolidado!$G$6:$G$380)</f>
        <v>0</v>
      </c>
      <c r="H67" s="219">
        <f t="shared" si="2"/>
        <v>0</v>
      </c>
      <c r="I67" s="99">
        <f t="shared" si="3"/>
        <v>0</v>
      </c>
      <c r="J67" s="99">
        <f t="shared" si="4"/>
        <v>0</v>
      </c>
      <c r="K67" s="113">
        <f t="shared" si="5"/>
        <v>2024</v>
      </c>
      <c r="L67" s="113">
        <f t="shared" si="6"/>
        <v>3</v>
      </c>
      <c r="M67" s="115">
        <f t="array" ref="M67">MIN(IF(Consolidado!$A$6:$A$1000='TOTALES DIARIOS'!A67,IF(Consolidado!$C$6:$C$1000&gt;TIMEVALUE("07:00"),Consolidado!$C$6:$C$1000,1)))</f>
        <v>0</v>
      </c>
      <c r="N67" s="115">
        <f t="array" ref="N67">MIN(IF(Consolidado!$A$6:$A$1000='TOTALES DIARIOS'!A67,IF(Consolidado!$C$6:$C$1000&lt;=M67,Consolidado!$C$6:$C$1000,1)))</f>
        <v>0</v>
      </c>
      <c r="O67" s="115">
        <f t="array" ref="O67">MAX(IF(Consolidado!$A$6:$A$1000='TOTALES DIARIOS'!A67,IF(Consolidado!$D$6:$D$1000&gt;=M67,Consolidado!$D$6:$D$1000,0)))</f>
        <v>0</v>
      </c>
      <c r="P67" s="118">
        <f t="array" ref="P67">MAX(IF(Consolidado!$A$6:$A$1000='TOTALES DIARIOS'!A67,IF(Consolidado!$D$6:$D$1000&lt;=M67,Consolidado!$D$6:$D$1000,0)))</f>
        <v>0</v>
      </c>
      <c r="Q67" s="117">
        <f t="shared" si="13"/>
        <v>0</v>
      </c>
      <c r="R67" s="117">
        <f t="shared" si="12"/>
        <v>0</v>
      </c>
      <c r="S67" s="104" t="str">
        <f t="shared" si="8"/>
        <v>NO</v>
      </c>
    </row>
    <row r="68" spans="1:19" x14ac:dyDescent="0.25">
      <c r="A68" s="221">
        <f t="shared" si="11"/>
        <v>45356</v>
      </c>
      <c r="B68" s="130" t="str">
        <f t="shared" ref="B68:B131" si="14">IF(G68=0,"",C68-"1:00")</f>
        <v/>
      </c>
      <c r="C68" s="217">
        <f t="shared" ref="C68:C131" si="15">Q68</f>
        <v>0</v>
      </c>
      <c r="D68" s="217">
        <f t="shared" ref="D68:D131" si="16">R68</f>
        <v>0</v>
      </c>
      <c r="E68" s="218">
        <f>SUMIF(Consolidado!$A$6:$A$380,'TOTALES DIARIOS'!A68,Consolidado!$E$6:$E$380)</f>
        <v>0</v>
      </c>
      <c r="F68" s="218">
        <f>SUMIF(Consolidado!$A$6:$A$380,'TOTALES DIARIOS'!A68,Consolidado!$F$6:$F$380)</f>
        <v>0</v>
      </c>
      <c r="G68" s="218">
        <f>SUMIF(Consolidado!$A$6:$A$380,'TOTALES DIARIOS'!A68,Consolidado!$G$6:$G$380)</f>
        <v>0</v>
      </c>
      <c r="H68" s="219">
        <f t="shared" ref="H68:H131" si="17">IF(B68="",0,IF(B68&lt;D68,D68-B68+"0:30","24:00"-B68+D68+"0:30"))*24</f>
        <v>0</v>
      </c>
      <c r="I68" s="99">
        <f t="shared" ref="I68:I131" si="18">IF(G68&lt;&gt;0,1,0)</f>
        <v>0</v>
      </c>
      <c r="J68" s="99">
        <f t="shared" ref="J68:J131" si="19">IF(H68=0,0,IF((D68-"3:30")&gt;(C68-"3:30"),1,2))</f>
        <v>0</v>
      </c>
      <c r="K68" s="113">
        <f t="shared" ref="K68:K131" si="20">YEAR(A68)</f>
        <v>2024</v>
      </c>
      <c r="L68" s="113">
        <f t="shared" ref="L68:L131" si="21">MONTH(A68)</f>
        <v>3</v>
      </c>
      <c r="M68" s="115">
        <f t="array" ref="M68">MIN(IF(Consolidado!$A$6:$A$1000='TOTALES DIARIOS'!A68,IF(Consolidado!$C$6:$C$1000&gt;TIMEVALUE("07:00"),Consolidado!$C$6:$C$1000,1)))</f>
        <v>0</v>
      </c>
      <c r="N68" s="115">
        <f t="array" ref="N68">MIN(IF(Consolidado!$A$6:$A$1000='TOTALES DIARIOS'!A68,IF(Consolidado!$C$6:$C$1000&lt;=M68,Consolidado!$C$6:$C$1000,1)))</f>
        <v>0</v>
      </c>
      <c r="O68" s="115">
        <f t="array" ref="O68">MAX(IF(Consolidado!$A$6:$A$1000='TOTALES DIARIOS'!A68,IF(Consolidado!$D$6:$D$1000&gt;=M68,Consolidado!$D$6:$D$1000,0)))</f>
        <v>0</v>
      </c>
      <c r="P68" s="118">
        <f t="array" ref="P68">MAX(IF(Consolidado!$A$6:$A$1000='TOTALES DIARIOS'!A68,IF(Consolidado!$D$6:$D$1000&lt;=M68,Consolidado!$D$6:$D$1000,0)))</f>
        <v>0</v>
      </c>
      <c r="Q68" s="117">
        <f t="shared" si="13"/>
        <v>0</v>
      </c>
      <c r="R68" s="117">
        <f t="shared" si="12"/>
        <v>0</v>
      </c>
      <c r="S68" s="104" t="str">
        <f t="shared" ref="S68:S131" si="22">IF(D68&gt;AB68,"SI","NO")</f>
        <v>NO</v>
      </c>
    </row>
    <row r="69" spans="1:19" x14ac:dyDescent="0.25">
      <c r="A69" s="221">
        <f t="shared" si="11"/>
        <v>45357</v>
      </c>
      <c r="B69" s="130" t="str">
        <f t="shared" si="14"/>
        <v/>
      </c>
      <c r="C69" s="217">
        <f t="shared" si="15"/>
        <v>0</v>
      </c>
      <c r="D69" s="217">
        <f t="shared" si="16"/>
        <v>0</v>
      </c>
      <c r="E69" s="218">
        <f>SUMIF(Consolidado!$A$6:$A$380,'TOTALES DIARIOS'!A69,Consolidado!$E$6:$E$380)</f>
        <v>0</v>
      </c>
      <c r="F69" s="218">
        <f>SUMIF(Consolidado!$A$6:$A$380,'TOTALES DIARIOS'!A69,Consolidado!$F$6:$F$380)</f>
        <v>0</v>
      </c>
      <c r="G69" s="218">
        <f>SUMIF(Consolidado!$A$6:$A$380,'TOTALES DIARIOS'!A69,Consolidado!$G$6:$G$380)</f>
        <v>0</v>
      </c>
      <c r="H69" s="219">
        <f t="shared" si="17"/>
        <v>0</v>
      </c>
      <c r="I69" s="99">
        <f t="shared" si="18"/>
        <v>0</v>
      </c>
      <c r="J69" s="99">
        <f t="shared" si="19"/>
        <v>0</v>
      </c>
      <c r="K69" s="113">
        <f t="shared" si="20"/>
        <v>2024</v>
      </c>
      <c r="L69" s="113">
        <f t="shared" si="21"/>
        <v>3</v>
      </c>
      <c r="M69" s="115">
        <f t="array" ref="M69">MIN(IF(Consolidado!$A$6:$A$1000='TOTALES DIARIOS'!A69,IF(Consolidado!$C$6:$C$1000&gt;TIMEVALUE("07:00"),Consolidado!$C$6:$C$1000,1)))</f>
        <v>0</v>
      </c>
      <c r="N69" s="115">
        <f t="array" ref="N69">MIN(IF(Consolidado!$A$6:$A$1000='TOTALES DIARIOS'!A69,IF(Consolidado!$C$6:$C$1000&lt;=M69,Consolidado!$C$6:$C$1000,1)))</f>
        <v>0</v>
      </c>
      <c r="O69" s="115">
        <f t="array" ref="O69">MAX(IF(Consolidado!$A$6:$A$1000='TOTALES DIARIOS'!A69,IF(Consolidado!$D$6:$D$1000&gt;=M69,Consolidado!$D$6:$D$1000,0)))</f>
        <v>0</v>
      </c>
      <c r="P69" s="118">
        <f t="array" ref="P69">MAX(IF(Consolidado!$A$6:$A$1000='TOTALES DIARIOS'!A69,IF(Consolidado!$D$6:$D$1000&lt;=M69,Consolidado!$D$6:$D$1000,0)))</f>
        <v>0</v>
      </c>
      <c r="Q69" s="117">
        <f t="shared" si="13"/>
        <v>0</v>
      </c>
      <c r="R69" s="117">
        <f t="shared" si="12"/>
        <v>0</v>
      </c>
      <c r="S69" s="104" t="str">
        <f t="shared" si="22"/>
        <v>NO</v>
      </c>
    </row>
    <row r="70" spans="1:19" x14ac:dyDescent="0.25">
      <c r="A70" s="221">
        <f t="shared" ref="A70:A133" si="23">IFERROR(A69+1,"")</f>
        <v>45358</v>
      </c>
      <c r="B70" s="130" t="str">
        <f t="shared" si="14"/>
        <v/>
      </c>
      <c r="C70" s="217">
        <f t="shared" si="15"/>
        <v>0</v>
      </c>
      <c r="D70" s="217">
        <f t="shared" si="16"/>
        <v>0</v>
      </c>
      <c r="E70" s="218">
        <f>SUMIF(Consolidado!$A$6:$A$380,'TOTALES DIARIOS'!A70,Consolidado!$E$6:$E$380)</f>
        <v>0</v>
      </c>
      <c r="F70" s="218">
        <f>SUMIF(Consolidado!$A$6:$A$380,'TOTALES DIARIOS'!A70,Consolidado!$F$6:$F$380)</f>
        <v>0</v>
      </c>
      <c r="G70" s="218">
        <f>SUMIF(Consolidado!$A$6:$A$380,'TOTALES DIARIOS'!A70,Consolidado!$G$6:$G$380)</f>
        <v>0</v>
      </c>
      <c r="H70" s="219">
        <f t="shared" si="17"/>
        <v>0</v>
      </c>
      <c r="I70" s="99">
        <f t="shared" si="18"/>
        <v>0</v>
      </c>
      <c r="J70" s="99">
        <f t="shared" si="19"/>
        <v>0</v>
      </c>
      <c r="K70" s="113">
        <f t="shared" si="20"/>
        <v>2024</v>
      </c>
      <c r="L70" s="113">
        <f t="shared" si="21"/>
        <v>3</v>
      </c>
      <c r="M70" s="115">
        <f t="array" ref="M70">MIN(IF(Consolidado!$A$6:$A$1000='TOTALES DIARIOS'!A70,IF(Consolidado!$C$6:$C$1000&gt;TIMEVALUE("07:00"),Consolidado!$C$6:$C$1000,1)))</f>
        <v>0</v>
      </c>
      <c r="N70" s="115">
        <f t="array" ref="N70">MIN(IF(Consolidado!$A$6:$A$1000='TOTALES DIARIOS'!A70,IF(Consolidado!$C$6:$C$1000&lt;=M70,Consolidado!$C$6:$C$1000,1)))</f>
        <v>0</v>
      </c>
      <c r="O70" s="115">
        <f t="array" ref="O70">MAX(IF(Consolidado!$A$6:$A$1000='TOTALES DIARIOS'!A70,IF(Consolidado!$D$6:$D$1000&gt;=M70,Consolidado!$D$6:$D$1000,0)))</f>
        <v>0</v>
      </c>
      <c r="P70" s="118">
        <f t="array" ref="P70">MAX(IF(Consolidado!$A$6:$A$1000='TOTALES DIARIOS'!A70,IF(Consolidado!$D$6:$D$1000&lt;=M70,Consolidado!$D$6:$D$1000,0)))</f>
        <v>0</v>
      </c>
      <c r="Q70" s="117">
        <f t="shared" si="13"/>
        <v>0</v>
      </c>
      <c r="R70" s="117">
        <f t="shared" si="12"/>
        <v>0</v>
      </c>
      <c r="S70" s="104" t="str">
        <f t="shared" si="22"/>
        <v>NO</v>
      </c>
    </row>
    <row r="71" spans="1:19" x14ac:dyDescent="0.25">
      <c r="A71" s="221">
        <f t="shared" si="23"/>
        <v>45359</v>
      </c>
      <c r="B71" s="130" t="str">
        <f t="shared" si="14"/>
        <v/>
      </c>
      <c r="C71" s="217">
        <f t="shared" si="15"/>
        <v>0</v>
      </c>
      <c r="D71" s="217">
        <f t="shared" si="16"/>
        <v>0</v>
      </c>
      <c r="E71" s="218">
        <f>SUMIF(Consolidado!$A$6:$A$380,'TOTALES DIARIOS'!A71,Consolidado!$E$6:$E$380)</f>
        <v>0</v>
      </c>
      <c r="F71" s="218">
        <f>SUMIF(Consolidado!$A$6:$A$380,'TOTALES DIARIOS'!A71,Consolidado!$F$6:$F$380)</f>
        <v>0</v>
      </c>
      <c r="G71" s="218">
        <f>SUMIF(Consolidado!$A$6:$A$380,'TOTALES DIARIOS'!A71,Consolidado!$G$6:$G$380)</f>
        <v>0</v>
      </c>
      <c r="H71" s="219">
        <f t="shared" si="17"/>
        <v>0</v>
      </c>
      <c r="I71" s="99">
        <f t="shared" si="18"/>
        <v>0</v>
      </c>
      <c r="J71" s="99">
        <f t="shared" si="19"/>
        <v>0</v>
      </c>
      <c r="K71" s="113">
        <f t="shared" si="20"/>
        <v>2024</v>
      </c>
      <c r="L71" s="113">
        <f t="shared" si="21"/>
        <v>3</v>
      </c>
      <c r="M71" s="115">
        <f t="array" ref="M71">MIN(IF(Consolidado!$A$6:$A$1000='TOTALES DIARIOS'!A71,IF(Consolidado!$C$6:$C$1000&gt;TIMEVALUE("07:00"),Consolidado!$C$6:$C$1000,1)))</f>
        <v>0</v>
      </c>
      <c r="N71" s="115">
        <f t="array" ref="N71">MIN(IF(Consolidado!$A$6:$A$1000='TOTALES DIARIOS'!A71,IF(Consolidado!$C$6:$C$1000&lt;=M71,Consolidado!$C$6:$C$1000,1)))</f>
        <v>0</v>
      </c>
      <c r="O71" s="115">
        <f t="array" ref="O71">MAX(IF(Consolidado!$A$6:$A$1000='TOTALES DIARIOS'!A71,IF(Consolidado!$D$6:$D$1000&gt;=M71,Consolidado!$D$6:$D$1000,0)))</f>
        <v>0</v>
      </c>
      <c r="P71" s="118">
        <f t="array" ref="P71">MAX(IF(Consolidado!$A$6:$A$1000='TOTALES DIARIOS'!A71,IF(Consolidado!$D$6:$D$1000&lt;=M71,Consolidado!$D$6:$D$1000,0)))</f>
        <v>0</v>
      </c>
      <c r="Q71" s="117">
        <f t="shared" si="13"/>
        <v>0</v>
      </c>
      <c r="R71" s="117">
        <f t="shared" ref="R71:R134" si="24">IF(O71=0,P71,IF(P71=0,O71,MIN(P71,O71)))</f>
        <v>0</v>
      </c>
      <c r="S71" s="104" t="str">
        <f t="shared" si="22"/>
        <v>NO</v>
      </c>
    </row>
    <row r="72" spans="1:19" x14ac:dyDescent="0.25">
      <c r="A72" s="221">
        <f t="shared" si="23"/>
        <v>45360</v>
      </c>
      <c r="B72" s="130" t="str">
        <f t="shared" si="14"/>
        <v/>
      </c>
      <c r="C72" s="217">
        <f t="shared" si="15"/>
        <v>0</v>
      </c>
      <c r="D72" s="217">
        <f t="shared" si="16"/>
        <v>0</v>
      </c>
      <c r="E72" s="218">
        <f>SUMIF(Consolidado!$A$6:$A$380,'TOTALES DIARIOS'!A72,Consolidado!$E$6:$E$380)</f>
        <v>0</v>
      </c>
      <c r="F72" s="218">
        <f>SUMIF(Consolidado!$A$6:$A$380,'TOTALES DIARIOS'!A72,Consolidado!$F$6:$F$380)</f>
        <v>0</v>
      </c>
      <c r="G72" s="218">
        <f>SUMIF(Consolidado!$A$6:$A$380,'TOTALES DIARIOS'!A72,Consolidado!$G$6:$G$380)</f>
        <v>0</v>
      </c>
      <c r="H72" s="219">
        <f t="shared" si="17"/>
        <v>0</v>
      </c>
      <c r="I72" s="99">
        <f t="shared" si="18"/>
        <v>0</v>
      </c>
      <c r="J72" s="99">
        <f t="shared" si="19"/>
        <v>0</v>
      </c>
      <c r="K72" s="113">
        <f t="shared" si="20"/>
        <v>2024</v>
      </c>
      <c r="L72" s="113">
        <f t="shared" si="21"/>
        <v>3</v>
      </c>
      <c r="M72" s="115">
        <f t="array" ref="M72">MIN(IF(Consolidado!$A$6:$A$1000='TOTALES DIARIOS'!A72,IF(Consolidado!$C$6:$C$1000&gt;TIMEVALUE("07:00"),Consolidado!$C$6:$C$1000,1)))</f>
        <v>0</v>
      </c>
      <c r="N72" s="115">
        <f t="array" ref="N72">MIN(IF(Consolidado!$A$6:$A$1000='TOTALES DIARIOS'!A72,IF(Consolidado!$C$6:$C$1000&lt;=M72,Consolidado!$C$6:$C$1000,1)))</f>
        <v>0</v>
      </c>
      <c r="O72" s="115">
        <f t="array" ref="O72">MAX(IF(Consolidado!$A$6:$A$1000='TOTALES DIARIOS'!A72,IF(Consolidado!$D$6:$D$1000&gt;=M72,Consolidado!$D$6:$D$1000,0)))</f>
        <v>0</v>
      </c>
      <c r="P72" s="118">
        <f t="array" ref="P72">MAX(IF(Consolidado!$A$6:$A$1000='TOTALES DIARIOS'!A72,IF(Consolidado!$D$6:$D$1000&lt;=M72,Consolidado!$D$6:$D$1000,0)))</f>
        <v>0</v>
      </c>
      <c r="Q72" s="117">
        <f t="shared" si="13"/>
        <v>0</v>
      </c>
      <c r="R72" s="117">
        <f t="shared" si="24"/>
        <v>0</v>
      </c>
      <c r="S72" s="104" t="str">
        <f t="shared" si="22"/>
        <v>NO</v>
      </c>
    </row>
    <row r="73" spans="1:19" x14ac:dyDescent="0.25">
      <c r="A73" s="221">
        <f t="shared" si="23"/>
        <v>45361</v>
      </c>
      <c r="B73" s="130" t="str">
        <f t="shared" si="14"/>
        <v/>
      </c>
      <c r="C73" s="217">
        <f t="shared" si="15"/>
        <v>0</v>
      </c>
      <c r="D73" s="217">
        <f t="shared" si="16"/>
        <v>0</v>
      </c>
      <c r="E73" s="218">
        <f>SUMIF(Consolidado!$A$6:$A$380,'TOTALES DIARIOS'!A73,Consolidado!$E$6:$E$380)</f>
        <v>0</v>
      </c>
      <c r="F73" s="218">
        <f>SUMIF(Consolidado!$A$6:$A$380,'TOTALES DIARIOS'!A73,Consolidado!$F$6:$F$380)</f>
        <v>0</v>
      </c>
      <c r="G73" s="218">
        <f>SUMIF(Consolidado!$A$6:$A$380,'TOTALES DIARIOS'!A73,Consolidado!$G$6:$G$380)</f>
        <v>0</v>
      </c>
      <c r="H73" s="219">
        <f t="shared" si="17"/>
        <v>0</v>
      </c>
      <c r="I73" s="99">
        <f t="shared" si="18"/>
        <v>0</v>
      </c>
      <c r="J73" s="99">
        <f t="shared" si="19"/>
        <v>0</v>
      </c>
      <c r="K73" s="113">
        <f t="shared" si="20"/>
        <v>2024</v>
      </c>
      <c r="L73" s="113">
        <f t="shared" si="21"/>
        <v>3</v>
      </c>
      <c r="M73" s="115">
        <f t="array" ref="M73">MIN(IF(Consolidado!$A$6:$A$1000='TOTALES DIARIOS'!A73,IF(Consolidado!$C$6:$C$1000&gt;TIMEVALUE("07:00"),Consolidado!$C$6:$C$1000,1)))</f>
        <v>0</v>
      </c>
      <c r="N73" s="115">
        <f t="array" ref="N73">MIN(IF(Consolidado!$A$6:$A$1000='TOTALES DIARIOS'!A73,IF(Consolidado!$C$6:$C$1000&lt;=M73,Consolidado!$C$6:$C$1000,1)))</f>
        <v>0</v>
      </c>
      <c r="O73" s="115">
        <f t="array" ref="O73">MAX(IF(Consolidado!$A$6:$A$1000='TOTALES DIARIOS'!A73,IF(Consolidado!$D$6:$D$1000&gt;=M73,Consolidado!$D$6:$D$1000,0)))</f>
        <v>0</v>
      </c>
      <c r="P73" s="118">
        <f t="array" ref="P73">MAX(IF(Consolidado!$A$6:$A$1000='TOTALES DIARIOS'!A73,IF(Consolidado!$D$6:$D$1000&lt;=M73,Consolidado!$D$6:$D$1000,0)))</f>
        <v>0</v>
      </c>
      <c r="Q73" s="117">
        <f t="shared" ref="Q73:Q136" si="25">IF(M73&lt;&gt;1,MAX(M73,N73),N73)</f>
        <v>0</v>
      </c>
      <c r="R73" s="117">
        <f t="shared" si="24"/>
        <v>0</v>
      </c>
      <c r="S73" s="104" t="str">
        <f t="shared" si="22"/>
        <v>NO</v>
      </c>
    </row>
    <row r="74" spans="1:19" x14ac:dyDescent="0.25">
      <c r="A74" s="221">
        <f t="shared" si="23"/>
        <v>45362</v>
      </c>
      <c r="B74" s="130" t="str">
        <f t="shared" si="14"/>
        <v/>
      </c>
      <c r="C74" s="217">
        <f t="shared" si="15"/>
        <v>0</v>
      </c>
      <c r="D74" s="217">
        <f t="shared" si="16"/>
        <v>0</v>
      </c>
      <c r="E74" s="218">
        <f>SUMIF(Consolidado!$A$6:$A$380,'TOTALES DIARIOS'!A74,Consolidado!$E$6:$E$380)</f>
        <v>0</v>
      </c>
      <c r="F74" s="218">
        <f>SUMIF(Consolidado!$A$6:$A$380,'TOTALES DIARIOS'!A74,Consolidado!$F$6:$F$380)</f>
        <v>0</v>
      </c>
      <c r="G74" s="218">
        <f>SUMIF(Consolidado!$A$6:$A$380,'TOTALES DIARIOS'!A74,Consolidado!$G$6:$G$380)</f>
        <v>0</v>
      </c>
      <c r="H74" s="219">
        <f t="shared" si="17"/>
        <v>0</v>
      </c>
      <c r="I74" s="99">
        <f t="shared" si="18"/>
        <v>0</v>
      </c>
      <c r="J74" s="99">
        <f t="shared" si="19"/>
        <v>0</v>
      </c>
      <c r="K74" s="113">
        <f t="shared" si="20"/>
        <v>2024</v>
      </c>
      <c r="L74" s="113">
        <f t="shared" si="21"/>
        <v>3</v>
      </c>
      <c r="M74" s="115">
        <f t="array" ref="M74">MIN(IF(Consolidado!$A$6:$A$1000='TOTALES DIARIOS'!A74,IF(Consolidado!$C$6:$C$1000&gt;TIMEVALUE("07:00"),Consolidado!$C$6:$C$1000,1)))</f>
        <v>0</v>
      </c>
      <c r="N74" s="115">
        <f t="array" ref="N74">MIN(IF(Consolidado!$A$6:$A$1000='TOTALES DIARIOS'!A74,IF(Consolidado!$C$6:$C$1000&lt;=M74,Consolidado!$C$6:$C$1000,1)))</f>
        <v>0</v>
      </c>
      <c r="O74" s="115">
        <f t="array" ref="O74">MAX(IF(Consolidado!$A$6:$A$1000='TOTALES DIARIOS'!A74,IF(Consolidado!$D$6:$D$1000&gt;=M74,Consolidado!$D$6:$D$1000,0)))</f>
        <v>0</v>
      </c>
      <c r="P74" s="118">
        <f t="array" ref="P74">MAX(IF(Consolidado!$A$6:$A$1000='TOTALES DIARIOS'!A74,IF(Consolidado!$D$6:$D$1000&lt;=M74,Consolidado!$D$6:$D$1000,0)))</f>
        <v>0</v>
      </c>
      <c r="Q74" s="117">
        <f t="shared" si="25"/>
        <v>0</v>
      </c>
      <c r="R74" s="117">
        <f t="shared" si="24"/>
        <v>0</v>
      </c>
      <c r="S74" s="104" t="str">
        <f t="shared" si="22"/>
        <v>NO</v>
      </c>
    </row>
    <row r="75" spans="1:19" x14ac:dyDescent="0.25">
      <c r="A75" s="221">
        <f t="shared" si="23"/>
        <v>45363</v>
      </c>
      <c r="B75" s="130" t="str">
        <f t="shared" si="14"/>
        <v/>
      </c>
      <c r="C75" s="217">
        <f t="shared" si="15"/>
        <v>0</v>
      </c>
      <c r="D75" s="217">
        <f t="shared" si="16"/>
        <v>0</v>
      </c>
      <c r="E75" s="218">
        <f>SUMIF(Consolidado!$A$6:$A$380,'TOTALES DIARIOS'!A75,Consolidado!$E$6:$E$380)</f>
        <v>0</v>
      </c>
      <c r="F75" s="218">
        <f>SUMIF(Consolidado!$A$6:$A$380,'TOTALES DIARIOS'!A75,Consolidado!$F$6:$F$380)</f>
        <v>0</v>
      </c>
      <c r="G75" s="218">
        <f>SUMIF(Consolidado!$A$6:$A$380,'TOTALES DIARIOS'!A75,Consolidado!$G$6:$G$380)</f>
        <v>0</v>
      </c>
      <c r="H75" s="219">
        <f t="shared" si="17"/>
        <v>0</v>
      </c>
      <c r="I75" s="99">
        <f t="shared" si="18"/>
        <v>0</v>
      </c>
      <c r="J75" s="99">
        <f t="shared" si="19"/>
        <v>0</v>
      </c>
      <c r="K75" s="113">
        <f t="shared" si="20"/>
        <v>2024</v>
      </c>
      <c r="L75" s="113">
        <f t="shared" si="21"/>
        <v>3</v>
      </c>
      <c r="M75" s="115">
        <f t="array" ref="M75">MIN(IF(Consolidado!$A$6:$A$1000='TOTALES DIARIOS'!A75,IF(Consolidado!$C$6:$C$1000&gt;TIMEVALUE("07:00"),Consolidado!$C$6:$C$1000,1)))</f>
        <v>0</v>
      </c>
      <c r="N75" s="115">
        <f t="array" ref="N75">MIN(IF(Consolidado!$A$6:$A$1000='TOTALES DIARIOS'!A75,IF(Consolidado!$C$6:$C$1000&lt;=M75,Consolidado!$C$6:$C$1000,1)))</f>
        <v>0</v>
      </c>
      <c r="O75" s="115">
        <f t="array" ref="O75">MAX(IF(Consolidado!$A$6:$A$1000='TOTALES DIARIOS'!A75,IF(Consolidado!$D$6:$D$1000&gt;=M75,Consolidado!$D$6:$D$1000,0)))</f>
        <v>0</v>
      </c>
      <c r="P75" s="118">
        <f t="array" ref="P75">MAX(IF(Consolidado!$A$6:$A$1000='TOTALES DIARIOS'!A75,IF(Consolidado!$D$6:$D$1000&lt;=M75,Consolidado!$D$6:$D$1000,0)))</f>
        <v>0</v>
      </c>
      <c r="Q75" s="117">
        <f t="shared" si="25"/>
        <v>0</v>
      </c>
      <c r="R75" s="117">
        <f t="shared" si="24"/>
        <v>0</v>
      </c>
      <c r="S75" s="104" t="str">
        <f t="shared" si="22"/>
        <v>NO</v>
      </c>
    </row>
    <row r="76" spans="1:19" x14ac:dyDescent="0.25">
      <c r="A76" s="221">
        <f t="shared" si="23"/>
        <v>45364</v>
      </c>
      <c r="B76" s="130" t="str">
        <f t="shared" si="14"/>
        <v/>
      </c>
      <c r="C76" s="217">
        <f t="shared" si="15"/>
        <v>0</v>
      </c>
      <c r="D76" s="217">
        <f t="shared" si="16"/>
        <v>0</v>
      </c>
      <c r="E76" s="218">
        <f>SUMIF(Consolidado!$A$6:$A$380,'TOTALES DIARIOS'!A76,Consolidado!$E$6:$E$380)</f>
        <v>0</v>
      </c>
      <c r="F76" s="218">
        <f>SUMIF(Consolidado!$A$6:$A$380,'TOTALES DIARIOS'!A76,Consolidado!$F$6:$F$380)</f>
        <v>0</v>
      </c>
      <c r="G76" s="218">
        <f>SUMIF(Consolidado!$A$6:$A$380,'TOTALES DIARIOS'!A76,Consolidado!$G$6:$G$380)</f>
        <v>0</v>
      </c>
      <c r="H76" s="219">
        <f t="shared" si="17"/>
        <v>0</v>
      </c>
      <c r="I76" s="99">
        <f t="shared" si="18"/>
        <v>0</v>
      </c>
      <c r="J76" s="99">
        <f t="shared" si="19"/>
        <v>0</v>
      </c>
      <c r="K76" s="113">
        <f t="shared" si="20"/>
        <v>2024</v>
      </c>
      <c r="L76" s="113">
        <f t="shared" si="21"/>
        <v>3</v>
      </c>
      <c r="M76" s="115">
        <f t="array" ref="M76">MIN(IF(Consolidado!$A$6:$A$1000='TOTALES DIARIOS'!A76,IF(Consolidado!$C$6:$C$1000&gt;TIMEVALUE("07:00"),Consolidado!$C$6:$C$1000,1)))</f>
        <v>0</v>
      </c>
      <c r="N76" s="115">
        <f t="array" ref="N76">MIN(IF(Consolidado!$A$6:$A$1000='TOTALES DIARIOS'!A76,IF(Consolidado!$C$6:$C$1000&lt;=M76,Consolidado!$C$6:$C$1000,1)))</f>
        <v>0</v>
      </c>
      <c r="O76" s="115">
        <f t="array" ref="O76">MAX(IF(Consolidado!$A$6:$A$1000='TOTALES DIARIOS'!A76,IF(Consolidado!$D$6:$D$1000&gt;=M76,Consolidado!$D$6:$D$1000,0)))</f>
        <v>0</v>
      </c>
      <c r="P76" s="118">
        <f t="array" ref="P76">MAX(IF(Consolidado!$A$6:$A$1000='TOTALES DIARIOS'!A76,IF(Consolidado!$D$6:$D$1000&lt;=M76,Consolidado!$D$6:$D$1000,0)))</f>
        <v>0</v>
      </c>
      <c r="Q76" s="117">
        <f t="shared" si="25"/>
        <v>0</v>
      </c>
      <c r="R76" s="117">
        <f t="shared" si="24"/>
        <v>0</v>
      </c>
      <c r="S76" s="104" t="str">
        <f t="shared" si="22"/>
        <v>NO</v>
      </c>
    </row>
    <row r="77" spans="1:19" x14ac:dyDescent="0.25">
      <c r="A77" s="221">
        <f t="shared" si="23"/>
        <v>45365</v>
      </c>
      <c r="B77" s="130" t="str">
        <f t="shared" si="14"/>
        <v/>
      </c>
      <c r="C77" s="217">
        <f t="shared" si="15"/>
        <v>0</v>
      </c>
      <c r="D77" s="217">
        <f t="shared" si="16"/>
        <v>0</v>
      </c>
      <c r="E77" s="218">
        <f>SUMIF(Consolidado!$A$6:$A$380,'TOTALES DIARIOS'!A77,Consolidado!$E$6:$E$380)</f>
        <v>0</v>
      </c>
      <c r="F77" s="218">
        <f>SUMIF(Consolidado!$A$6:$A$380,'TOTALES DIARIOS'!A77,Consolidado!$F$6:$F$380)</f>
        <v>0</v>
      </c>
      <c r="G77" s="218">
        <f>SUMIF(Consolidado!$A$6:$A$380,'TOTALES DIARIOS'!A77,Consolidado!$G$6:$G$380)</f>
        <v>0</v>
      </c>
      <c r="H77" s="219">
        <f t="shared" si="17"/>
        <v>0</v>
      </c>
      <c r="I77" s="99">
        <f t="shared" si="18"/>
        <v>0</v>
      </c>
      <c r="J77" s="99">
        <f t="shared" si="19"/>
        <v>0</v>
      </c>
      <c r="K77" s="113">
        <f t="shared" si="20"/>
        <v>2024</v>
      </c>
      <c r="L77" s="113">
        <f t="shared" si="21"/>
        <v>3</v>
      </c>
      <c r="M77" s="115">
        <f t="array" ref="M77">MIN(IF(Consolidado!$A$6:$A$1000='TOTALES DIARIOS'!A77,IF(Consolidado!$C$6:$C$1000&gt;TIMEVALUE("07:00"),Consolidado!$C$6:$C$1000,1)))</f>
        <v>0</v>
      </c>
      <c r="N77" s="115">
        <f t="array" ref="N77">MIN(IF(Consolidado!$A$6:$A$1000='TOTALES DIARIOS'!A77,IF(Consolidado!$C$6:$C$1000&lt;=M77,Consolidado!$C$6:$C$1000,1)))</f>
        <v>0</v>
      </c>
      <c r="O77" s="115">
        <f t="array" ref="O77">MAX(IF(Consolidado!$A$6:$A$1000='TOTALES DIARIOS'!A77,IF(Consolidado!$D$6:$D$1000&gt;=M77,Consolidado!$D$6:$D$1000,0)))</f>
        <v>0</v>
      </c>
      <c r="P77" s="118">
        <f t="array" ref="P77">MAX(IF(Consolidado!$A$6:$A$1000='TOTALES DIARIOS'!A77,IF(Consolidado!$D$6:$D$1000&lt;=M77,Consolidado!$D$6:$D$1000,0)))</f>
        <v>0</v>
      </c>
      <c r="Q77" s="117">
        <f t="shared" si="25"/>
        <v>0</v>
      </c>
      <c r="R77" s="117">
        <f t="shared" si="24"/>
        <v>0</v>
      </c>
      <c r="S77" s="104" t="str">
        <f t="shared" si="22"/>
        <v>NO</v>
      </c>
    </row>
    <row r="78" spans="1:19" x14ac:dyDescent="0.25">
      <c r="A78" s="221">
        <f t="shared" si="23"/>
        <v>45366</v>
      </c>
      <c r="B78" s="130" t="str">
        <f t="shared" si="14"/>
        <v/>
      </c>
      <c r="C78" s="217">
        <f t="shared" si="15"/>
        <v>0</v>
      </c>
      <c r="D78" s="217">
        <f t="shared" si="16"/>
        <v>0</v>
      </c>
      <c r="E78" s="218">
        <f>SUMIF(Consolidado!$A$6:$A$380,'TOTALES DIARIOS'!A78,Consolidado!$E$6:$E$380)</f>
        <v>0</v>
      </c>
      <c r="F78" s="218">
        <f>SUMIF(Consolidado!$A$6:$A$380,'TOTALES DIARIOS'!A78,Consolidado!$F$6:$F$380)</f>
        <v>0</v>
      </c>
      <c r="G78" s="218">
        <f>SUMIF(Consolidado!$A$6:$A$380,'TOTALES DIARIOS'!A78,Consolidado!$G$6:$G$380)</f>
        <v>0</v>
      </c>
      <c r="H78" s="219">
        <f t="shared" si="17"/>
        <v>0</v>
      </c>
      <c r="I78" s="99">
        <f t="shared" si="18"/>
        <v>0</v>
      </c>
      <c r="J78" s="99">
        <f t="shared" si="19"/>
        <v>0</v>
      </c>
      <c r="K78" s="113">
        <f t="shared" si="20"/>
        <v>2024</v>
      </c>
      <c r="L78" s="113">
        <f t="shared" si="21"/>
        <v>3</v>
      </c>
      <c r="M78" s="115">
        <f t="array" ref="M78">MIN(IF(Consolidado!$A$6:$A$1000='TOTALES DIARIOS'!A78,IF(Consolidado!$C$6:$C$1000&gt;TIMEVALUE("07:00"),Consolidado!$C$6:$C$1000,1)))</f>
        <v>0</v>
      </c>
      <c r="N78" s="115">
        <f t="array" ref="N78">MIN(IF(Consolidado!$A$6:$A$1000='TOTALES DIARIOS'!A78,IF(Consolidado!$C$6:$C$1000&lt;=M78,Consolidado!$C$6:$C$1000,1)))</f>
        <v>0</v>
      </c>
      <c r="O78" s="115">
        <f t="array" ref="O78">MAX(IF(Consolidado!$A$6:$A$1000='TOTALES DIARIOS'!A78,IF(Consolidado!$D$6:$D$1000&gt;=M78,Consolidado!$D$6:$D$1000,0)))</f>
        <v>0</v>
      </c>
      <c r="P78" s="118">
        <f t="array" ref="P78">MAX(IF(Consolidado!$A$6:$A$1000='TOTALES DIARIOS'!A78,IF(Consolidado!$D$6:$D$1000&lt;=M78,Consolidado!$D$6:$D$1000,0)))</f>
        <v>0</v>
      </c>
      <c r="Q78" s="117">
        <f t="shared" si="25"/>
        <v>0</v>
      </c>
      <c r="R78" s="117">
        <f t="shared" si="24"/>
        <v>0</v>
      </c>
      <c r="S78" s="104" t="str">
        <f t="shared" si="22"/>
        <v>NO</v>
      </c>
    </row>
    <row r="79" spans="1:19" x14ac:dyDescent="0.25">
      <c r="A79" s="221">
        <f t="shared" si="23"/>
        <v>45367</v>
      </c>
      <c r="B79" s="130" t="str">
        <f t="shared" si="14"/>
        <v/>
      </c>
      <c r="C79" s="217">
        <f t="shared" si="15"/>
        <v>0</v>
      </c>
      <c r="D79" s="217">
        <f t="shared" si="16"/>
        <v>0</v>
      </c>
      <c r="E79" s="218">
        <f>SUMIF(Consolidado!$A$6:$A$380,'TOTALES DIARIOS'!A79,Consolidado!$E$6:$E$380)</f>
        <v>0</v>
      </c>
      <c r="F79" s="218">
        <f>SUMIF(Consolidado!$A$6:$A$380,'TOTALES DIARIOS'!A79,Consolidado!$F$6:$F$380)</f>
        <v>0</v>
      </c>
      <c r="G79" s="218">
        <f>SUMIF(Consolidado!$A$6:$A$380,'TOTALES DIARIOS'!A79,Consolidado!$G$6:$G$380)</f>
        <v>0</v>
      </c>
      <c r="H79" s="219">
        <f t="shared" si="17"/>
        <v>0</v>
      </c>
      <c r="I79" s="99">
        <f t="shared" si="18"/>
        <v>0</v>
      </c>
      <c r="J79" s="99">
        <f t="shared" si="19"/>
        <v>0</v>
      </c>
      <c r="K79" s="113">
        <f t="shared" si="20"/>
        <v>2024</v>
      </c>
      <c r="L79" s="113">
        <f t="shared" si="21"/>
        <v>3</v>
      </c>
      <c r="M79" s="115">
        <f t="array" ref="M79">MIN(IF(Consolidado!$A$6:$A$1000='TOTALES DIARIOS'!A79,IF(Consolidado!$C$6:$C$1000&gt;TIMEVALUE("07:00"),Consolidado!$C$6:$C$1000,1)))</f>
        <v>0</v>
      </c>
      <c r="N79" s="115">
        <f t="array" ref="N79">MIN(IF(Consolidado!$A$6:$A$1000='TOTALES DIARIOS'!A79,IF(Consolidado!$C$6:$C$1000&lt;=M79,Consolidado!$C$6:$C$1000,1)))</f>
        <v>0</v>
      </c>
      <c r="O79" s="115">
        <f t="array" ref="O79">MAX(IF(Consolidado!$A$6:$A$1000='TOTALES DIARIOS'!A79,IF(Consolidado!$D$6:$D$1000&gt;=M79,Consolidado!$D$6:$D$1000,0)))</f>
        <v>0</v>
      </c>
      <c r="P79" s="118">
        <f t="array" ref="P79">MAX(IF(Consolidado!$A$6:$A$1000='TOTALES DIARIOS'!A79,IF(Consolidado!$D$6:$D$1000&lt;=M79,Consolidado!$D$6:$D$1000,0)))</f>
        <v>0</v>
      </c>
      <c r="Q79" s="117">
        <f t="shared" si="25"/>
        <v>0</v>
      </c>
      <c r="R79" s="117">
        <f t="shared" si="24"/>
        <v>0</v>
      </c>
      <c r="S79" s="104" t="str">
        <f t="shared" si="22"/>
        <v>NO</v>
      </c>
    </row>
    <row r="80" spans="1:19" x14ac:dyDescent="0.25">
      <c r="A80" s="221">
        <f t="shared" si="23"/>
        <v>45368</v>
      </c>
      <c r="B80" s="130" t="str">
        <f t="shared" si="14"/>
        <v/>
      </c>
      <c r="C80" s="217">
        <f t="shared" si="15"/>
        <v>0</v>
      </c>
      <c r="D80" s="217">
        <f t="shared" si="16"/>
        <v>0</v>
      </c>
      <c r="E80" s="218">
        <f>SUMIF(Consolidado!$A$6:$A$380,'TOTALES DIARIOS'!A80,Consolidado!$E$6:$E$380)</f>
        <v>0</v>
      </c>
      <c r="F80" s="218">
        <f>SUMIF(Consolidado!$A$6:$A$380,'TOTALES DIARIOS'!A80,Consolidado!$F$6:$F$380)</f>
        <v>0</v>
      </c>
      <c r="G80" s="218">
        <f>SUMIF(Consolidado!$A$6:$A$380,'TOTALES DIARIOS'!A80,Consolidado!$G$6:$G$380)</f>
        <v>0</v>
      </c>
      <c r="H80" s="219">
        <f t="shared" si="17"/>
        <v>0</v>
      </c>
      <c r="I80" s="99">
        <f t="shared" si="18"/>
        <v>0</v>
      </c>
      <c r="J80" s="99">
        <f t="shared" si="19"/>
        <v>0</v>
      </c>
      <c r="K80" s="113">
        <f t="shared" si="20"/>
        <v>2024</v>
      </c>
      <c r="L80" s="113">
        <f t="shared" si="21"/>
        <v>3</v>
      </c>
      <c r="M80" s="115">
        <f t="array" ref="M80">MIN(IF(Consolidado!$A$6:$A$1000='TOTALES DIARIOS'!A80,IF(Consolidado!$C$6:$C$1000&gt;TIMEVALUE("07:00"),Consolidado!$C$6:$C$1000,1)))</f>
        <v>0</v>
      </c>
      <c r="N80" s="115">
        <f t="array" ref="N80">MIN(IF(Consolidado!$A$6:$A$1000='TOTALES DIARIOS'!A80,IF(Consolidado!$C$6:$C$1000&lt;=M80,Consolidado!$C$6:$C$1000,1)))</f>
        <v>0</v>
      </c>
      <c r="O80" s="115">
        <f t="array" ref="O80">MAX(IF(Consolidado!$A$6:$A$1000='TOTALES DIARIOS'!A80,IF(Consolidado!$D$6:$D$1000&gt;=M80,Consolidado!$D$6:$D$1000,0)))</f>
        <v>0</v>
      </c>
      <c r="P80" s="118">
        <f t="array" ref="P80">MAX(IF(Consolidado!$A$6:$A$1000='TOTALES DIARIOS'!A80,IF(Consolidado!$D$6:$D$1000&lt;=M80,Consolidado!$D$6:$D$1000,0)))</f>
        <v>0</v>
      </c>
      <c r="Q80" s="117">
        <f t="shared" si="25"/>
        <v>0</v>
      </c>
      <c r="R80" s="117">
        <f t="shared" si="24"/>
        <v>0</v>
      </c>
      <c r="S80" s="104" t="str">
        <f t="shared" si="22"/>
        <v>NO</v>
      </c>
    </row>
    <row r="81" spans="1:19" x14ac:dyDescent="0.25">
      <c r="A81" s="221">
        <f t="shared" si="23"/>
        <v>45369</v>
      </c>
      <c r="B81" s="130" t="str">
        <f t="shared" si="14"/>
        <v/>
      </c>
      <c r="C81" s="217">
        <f t="shared" si="15"/>
        <v>0</v>
      </c>
      <c r="D81" s="217">
        <f t="shared" si="16"/>
        <v>0</v>
      </c>
      <c r="E81" s="218">
        <f>SUMIF(Consolidado!$A$6:$A$380,'TOTALES DIARIOS'!A81,Consolidado!$E$6:$E$380)</f>
        <v>0</v>
      </c>
      <c r="F81" s="218">
        <f>SUMIF(Consolidado!$A$6:$A$380,'TOTALES DIARIOS'!A81,Consolidado!$F$6:$F$380)</f>
        <v>0</v>
      </c>
      <c r="G81" s="218">
        <f>SUMIF(Consolidado!$A$6:$A$380,'TOTALES DIARIOS'!A81,Consolidado!$G$6:$G$380)</f>
        <v>0</v>
      </c>
      <c r="H81" s="219">
        <f t="shared" si="17"/>
        <v>0</v>
      </c>
      <c r="I81" s="99">
        <f t="shared" si="18"/>
        <v>0</v>
      </c>
      <c r="J81" s="99">
        <f t="shared" si="19"/>
        <v>0</v>
      </c>
      <c r="K81" s="113">
        <f t="shared" si="20"/>
        <v>2024</v>
      </c>
      <c r="L81" s="113">
        <f t="shared" si="21"/>
        <v>3</v>
      </c>
      <c r="M81" s="115">
        <f t="array" ref="M81">MIN(IF(Consolidado!$A$6:$A$1000='TOTALES DIARIOS'!A81,IF(Consolidado!$C$6:$C$1000&gt;TIMEVALUE("07:00"),Consolidado!$C$6:$C$1000,1)))</f>
        <v>0</v>
      </c>
      <c r="N81" s="115">
        <f t="array" ref="N81">MIN(IF(Consolidado!$A$6:$A$1000='TOTALES DIARIOS'!A81,IF(Consolidado!$C$6:$C$1000&lt;=M81,Consolidado!$C$6:$C$1000,1)))</f>
        <v>0</v>
      </c>
      <c r="O81" s="115">
        <f t="array" ref="O81">MAX(IF(Consolidado!$A$6:$A$1000='TOTALES DIARIOS'!A81,IF(Consolidado!$D$6:$D$1000&gt;=M81,Consolidado!$D$6:$D$1000,0)))</f>
        <v>0</v>
      </c>
      <c r="P81" s="118">
        <f t="array" ref="P81">MAX(IF(Consolidado!$A$6:$A$1000='TOTALES DIARIOS'!A81,IF(Consolidado!$D$6:$D$1000&lt;=M81,Consolidado!$D$6:$D$1000,0)))</f>
        <v>0</v>
      </c>
      <c r="Q81" s="117">
        <f t="shared" si="25"/>
        <v>0</v>
      </c>
      <c r="R81" s="117">
        <f t="shared" si="24"/>
        <v>0</v>
      </c>
      <c r="S81" s="104" t="str">
        <f t="shared" si="22"/>
        <v>NO</v>
      </c>
    </row>
    <row r="82" spans="1:19" x14ac:dyDescent="0.25">
      <c r="A82" s="221">
        <f t="shared" si="23"/>
        <v>45370</v>
      </c>
      <c r="B82" s="130" t="str">
        <f t="shared" si="14"/>
        <v/>
      </c>
      <c r="C82" s="217">
        <f t="shared" si="15"/>
        <v>0</v>
      </c>
      <c r="D82" s="217">
        <f t="shared" si="16"/>
        <v>0</v>
      </c>
      <c r="E82" s="218">
        <f>SUMIF(Consolidado!$A$6:$A$380,'TOTALES DIARIOS'!A82,Consolidado!$E$6:$E$380)</f>
        <v>0</v>
      </c>
      <c r="F82" s="218">
        <f>SUMIF(Consolidado!$A$6:$A$380,'TOTALES DIARIOS'!A82,Consolidado!$F$6:$F$380)</f>
        <v>0</v>
      </c>
      <c r="G82" s="218">
        <f>SUMIF(Consolidado!$A$6:$A$380,'TOTALES DIARIOS'!A82,Consolidado!$G$6:$G$380)</f>
        <v>0</v>
      </c>
      <c r="H82" s="219">
        <f t="shared" si="17"/>
        <v>0</v>
      </c>
      <c r="I82" s="99">
        <f t="shared" si="18"/>
        <v>0</v>
      </c>
      <c r="J82" s="99">
        <f t="shared" si="19"/>
        <v>0</v>
      </c>
      <c r="K82" s="113">
        <f t="shared" si="20"/>
        <v>2024</v>
      </c>
      <c r="L82" s="113">
        <f t="shared" si="21"/>
        <v>3</v>
      </c>
      <c r="M82" s="115">
        <f t="array" ref="M82">MIN(IF(Consolidado!$A$6:$A$1000='TOTALES DIARIOS'!A82,IF(Consolidado!$C$6:$C$1000&gt;TIMEVALUE("07:00"),Consolidado!$C$6:$C$1000,1)))</f>
        <v>0</v>
      </c>
      <c r="N82" s="115">
        <f t="array" ref="N82">MIN(IF(Consolidado!$A$6:$A$1000='TOTALES DIARIOS'!A82,IF(Consolidado!$C$6:$C$1000&lt;=M82,Consolidado!$C$6:$C$1000,1)))</f>
        <v>0</v>
      </c>
      <c r="O82" s="115">
        <f t="array" ref="O82">MAX(IF(Consolidado!$A$6:$A$1000='TOTALES DIARIOS'!A82,IF(Consolidado!$D$6:$D$1000&gt;=M82,Consolidado!$D$6:$D$1000,0)))</f>
        <v>0</v>
      </c>
      <c r="P82" s="118">
        <f t="array" ref="P82">MAX(IF(Consolidado!$A$6:$A$1000='TOTALES DIARIOS'!A82,IF(Consolidado!$D$6:$D$1000&lt;=M82,Consolidado!$D$6:$D$1000,0)))</f>
        <v>0</v>
      </c>
      <c r="Q82" s="117">
        <f t="shared" si="25"/>
        <v>0</v>
      </c>
      <c r="R82" s="117">
        <f t="shared" si="24"/>
        <v>0</v>
      </c>
      <c r="S82" s="104" t="str">
        <f t="shared" si="22"/>
        <v>NO</v>
      </c>
    </row>
    <row r="83" spans="1:19" x14ac:dyDescent="0.25">
      <c r="A83" s="221">
        <f t="shared" si="23"/>
        <v>45371</v>
      </c>
      <c r="B83" s="130" t="str">
        <f t="shared" si="14"/>
        <v/>
      </c>
      <c r="C83" s="217">
        <f t="shared" si="15"/>
        <v>0</v>
      </c>
      <c r="D83" s="217">
        <f t="shared" si="16"/>
        <v>0</v>
      </c>
      <c r="E83" s="218">
        <f>SUMIF(Consolidado!$A$6:$A$380,'TOTALES DIARIOS'!A83,Consolidado!$E$6:$E$380)</f>
        <v>0</v>
      </c>
      <c r="F83" s="218">
        <f>SUMIF(Consolidado!$A$6:$A$380,'TOTALES DIARIOS'!A83,Consolidado!$F$6:$F$380)</f>
        <v>0</v>
      </c>
      <c r="G83" s="218">
        <f>SUMIF(Consolidado!$A$6:$A$380,'TOTALES DIARIOS'!A83,Consolidado!$G$6:$G$380)</f>
        <v>0</v>
      </c>
      <c r="H83" s="219">
        <f t="shared" si="17"/>
        <v>0</v>
      </c>
      <c r="I83" s="99">
        <f t="shared" si="18"/>
        <v>0</v>
      </c>
      <c r="J83" s="99">
        <f t="shared" si="19"/>
        <v>0</v>
      </c>
      <c r="K83" s="113">
        <f t="shared" si="20"/>
        <v>2024</v>
      </c>
      <c r="L83" s="113">
        <f t="shared" si="21"/>
        <v>3</v>
      </c>
      <c r="M83" s="115">
        <f t="array" ref="M83">MIN(IF(Consolidado!$A$6:$A$1000='TOTALES DIARIOS'!A83,IF(Consolidado!$C$6:$C$1000&gt;TIMEVALUE("07:00"),Consolidado!$C$6:$C$1000,1)))</f>
        <v>0</v>
      </c>
      <c r="N83" s="115">
        <f t="array" ref="N83">MIN(IF(Consolidado!$A$6:$A$1000='TOTALES DIARIOS'!A83,IF(Consolidado!$C$6:$C$1000&lt;=M83,Consolidado!$C$6:$C$1000,1)))</f>
        <v>0</v>
      </c>
      <c r="O83" s="115">
        <f t="array" ref="O83">MAX(IF(Consolidado!$A$6:$A$1000='TOTALES DIARIOS'!A83,IF(Consolidado!$D$6:$D$1000&gt;=M83,Consolidado!$D$6:$D$1000,0)))</f>
        <v>0</v>
      </c>
      <c r="P83" s="118">
        <f t="array" ref="P83">MAX(IF(Consolidado!$A$6:$A$1000='TOTALES DIARIOS'!A83,IF(Consolidado!$D$6:$D$1000&lt;=M83,Consolidado!$D$6:$D$1000,0)))</f>
        <v>0</v>
      </c>
      <c r="Q83" s="117">
        <f t="shared" si="25"/>
        <v>0</v>
      </c>
      <c r="R83" s="117">
        <f t="shared" si="24"/>
        <v>0</v>
      </c>
      <c r="S83" s="104" t="str">
        <f t="shared" si="22"/>
        <v>NO</v>
      </c>
    </row>
    <row r="84" spans="1:19" x14ac:dyDescent="0.25">
      <c r="A84" s="221">
        <f t="shared" si="23"/>
        <v>45372</v>
      </c>
      <c r="B84" s="130" t="str">
        <f t="shared" si="14"/>
        <v/>
      </c>
      <c r="C84" s="217">
        <f t="shared" si="15"/>
        <v>0</v>
      </c>
      <c r="D84" s="217">
        <f t="shared" si="16"/>
        <v>0</v>
      </c>
      <c r="E84" s="218">
        <f>SUMIF(Consolidado!$A$6:$A$380,'TOTALES DIARIOS'!A84,Consolidado!$E$6:$E$380)</f>
        <v>0</v>
      </c>
      <c r="F84" s="218">
        <f>SUMIF(Consolidado!$A$6:$A$380,'TOTALES DIARIOS'!A84,Consolidado!$F$6:$F$380)</f>
        <v>0</v>
      </c>
      <c r="G84" s="218">
        <f>SUMIF(Consolidado!$A$6:$A$380,'TOTALES DIARIOS'!A84,Consolidado!$G$6:$G$380)</f>
        <v>0</v>
      </c>
      <c r="H84" s="219">
        <f t="shared" si="17"/>
        <v>0</v>
      </c>
      <c r="I84" s="99">
        <f t="shared" si="18"/>
        <v>0</v>
      </c>
      <c r="J84" s="99">
        <f t="shared" si="19"/>
        <v>0</v>
      </c>
      <c r="K84" s="113">
        <f t="shared" si="20"/>
        <v>2024</v>
      </c>
      <c r="L84" s="113">
        <f t="shared" si="21"/>
        <v>3</v>
      </c>
      <c r="M84" s="115">
        <f t="array" ref="M84">MIN(IF(Consolidado!$A$6:$A$1000='TOTALES DIARIOS'!A84,IF(Consolidado!$C$6:$C$1000&gt;TIMEVALUE("07:00"),Consolidado!$C$6:$C$1000,1)))</f>
        <v>0</v>
      </c>
      <c r="N84" s="115">
        <f t="array" ref="N84">MIN(IF(Consolidado!$A$6:$A$1000='TOTALES DIARIOS'!A84,IF(Consolidado!$C$6:$C$1000&lt;=M84,Consolidado!$C$6:$C$1000,1)))</f>
        <v>0</v>
      </c>
      <c r="O84" s="115">
        <f t="array" ref="O84">MAX(IF(Consolidado!$A$6:$A$1000='TOTALES DIARIOS'!A84,IF(Consolidado!$D$6:$D$1000&gt;=M84,Consolidado!$D$6:$D$1000,0)))</f>
        <v>0</v>
      </c>
      <c r="P84" s="118">
        <f t="array" ref="P84">MAX(IF(Consolidado!$A$6:$A$1000='TOTALES DIARIOS'!A84,IF(Consolidado!$D$6:$D$1000&lt;=M84,Consolidado!$D$6:$D$1000,0)))</f>
        <v>0</v>
      </c>
      <c r="Q84" s="117">
        <f t="shared" si="25"/>
        <v>0</v>
      </c>
      <c r="R84" s="117">
        <f t="shared" si="24"/>
        <v>0</v>
      </c>
      <c r="S84" s="104" t="str">
        <f t="shared" si="22"/>
        <v>NO</v>
      </c>
    </row>
    <row r="85" spans="1:19" x14ac:dyDescent="0.25">
      <c r="A85" s="221">
        <f t="shared" si="23"/>
        <v>45373</v>
      </c>
      <c r="B85" s="130" t="str">
        <f t="shared" si="14"/>
        <v/>
      </c>
      <c r="C85" s="217">
        <f t="shared" si="15"/>
        <v>0</v>
      </c>
      <c r="D85" s="217">
        <f t="shared" si="16"/>
        <v>0</v>
      </c>
      <c r="E85" s="218">
        <f>SUMIF(Consolidado!$A$6:$A$380,'TOTALES DIARIOS'!A85,Consolidado!$E$6:$E$380)</f>
        <v>0</v>
      </c>
      <c r="F85" s="218">
        <f>SUMIF(Consolidado!$A$6:$A$380,'TOTALES DIARIOS'!A85,Consolidado!$F$6:$F$380)</f>
        <v>0</v>
      </c>
      <c r="G85" s="218">
        <f>SUMIF(Consolidado!$A$6:$A$380,'TOTALES DIARIOS'!A85,Consolidado!$G$6:$G$380)</f>
        <v>0</v>
      </c>
      <c r="H85" s="219">
        <f t="shared" si="17"/>
        <v>0</v>
      </c>
      <c r="I85" s="99">
        <f t="shared" si="18"/>
        <v>0</v>
      </c>
      <c r="J85" s="99">
        <f t="shared" si="19"/>
        <v>0</v>
      </c>
      <c r="K85" s="113">
        <f t="shared" si="20"/>
        <v>2024</v>
      </c>
      <c r="L85" s="113">
        <f t="shared" si="21"/>
        <v>3</v>
      </c>
      <c r="M85" s="115">
        <f t="array" ref="M85">MIN(IF(Consolidado!$A$6:$A$1000='TOTALES DIARIOS'!A85,IF(Consolidado!$C$6:$C$1000&gt;TIMEVALUE("07:00"),Consolidado!$C$6:$C$1000,1)))</f>
        <v>0</v>
      </c>
      <c r="N85" s="115">
        <f t="array" ref="N85">MIN(IF(Consolidado!$A$6:$A$1000='TOTALES DIARIOS'!A85,IF(Consolidado!$C$6:$C$1000&lt;=M85,Consolidado!$C$6:$C$1000,1)))</f>
        <v>0</v>
      </c>
      <c r="O85" s="115">
        <f t="array" ref="O85">MAX(IF(Consolidado!$A$6:$A$1000='TOTALES DIARIOS'!A85,IF(Consolidado!$D$6:$D$1000&gt;=M85,Consolidado!$D$6:$D$1000,0)))</f>
        <v>0</v>
      </c>
      <c r="P85" s="118">
        <f t="array" ref="P85">MAX(IF(Consolidado!$A$6:$A$1000='TOTALES DIARIOS'!A85,IF(Consolidado!$D$6:$D$1000&lt;=M85,Consolidado!$D$6:$D$1000,0)))</f>
        <v>0</v>
      </c>
      <c r="Q85" s="117">
        <f t="shared" si="25"/>
        <v>0</v>
      </c>
      <c r="R85" s="117">
        <f t="shared" si="24"/>
        <v>0</v>
      </c>
      <c r="S85" s="104" t="str">
        <f t="shared" si="22"/>
        <v>NO</v>
      </c>
    </row>
    <row r="86" spans="1:19" x14ac:dyDescent="0.25">
      <c r="A86" s="221">
        <f t="shared" si="23"/>
        <v>45374</v>
      </c>
      <c r="B86" s="130" t="str">
        <f t="shared" si="14"/>
        <v/>
      </c>
      <c r="C86" s="217">
        <f t="shared" si="15"/>
        <v>0</v>
      </c>
      <c r="D86" s="217">
        <f t="shared" si="16"/>
        <v>0</v>
      </c>
      <c r="E86" s="218">
        <f>SUMIF(Consolidado!$A$6:$A$380,'TOTALES DIARIOS'!A86,Consolidado!$E$6:$E$380)</f>
        <v>0</v>
      </c>
      <c r="F86" s="218">
        <f>SUMIF(Consolidado!$A$6:$A$380,'TOTALES DIARIOS'!A86,Consolidado!$F$6:$F$380)</f>
        <v>0</v>
      </c>
      <c r="G86" s="218">
        <f>SUMIF(Consolidado!$A$6:$A$380,'TOTALES DIARIOS'!A86,Consolidado!$G$6:$G$380)</f>
        <v>0</v>
      </c>
      <c r="H86" s="219">
        <f t="shared" si="17"/>
        <v>0</v>
      </c>
      <c r="I86" s="99">
        <f t="shared" si="18"/>
        <v>0</v>
      </c>
      <c r="J86" s="99">
        <f t="shared" si="19"/>
        <v>0</v>
      </c>
      <c r="K86" s="113">
        <f t="shared" si="20"/>
        <v>2024</v>
      </c>
      <c r="L86" s="113">
        <f t="shared" si="21"/>
        <v>3</v>
      </c>
      <c r="M86" s="115">
        <f t="array" ref="M86">MIN(IF(Consolidado!$A$6:$A$1000='TOTALES DIARIOS'!A86,IF(Consolidado!$C$6:$C$1000&gt;TIMEVALUE("07:00"),Consolidado!$C$6:$C$1000,1)))</f>
        <v>0</v>
      </c>
      <c r="N86" s="115">
        <f t="array" ref="N86">MIN(IF(Consolidado!$A$6:$A$1000='TOTALES DIARIOS'!A86,IF(Consolidado!$C$6:$C$1000&lt;=M86,Consolidado!$C$6:$C$1000,1)))</f>
        <v>0</v>
      </c>
      <c r="O86" s="115">
        <f t="array" ref="O86">MAX(IF(Consolidado!$A$6:$A$1000='TOTALES DIARIOS'!A86,IF(Consolidado!$D$6:$D$1000&gt;=M86,Consolidado!$D$6:$D$1000,0)))</f>
        <v>0</v>
      </c>
      <c r="P86" s="118">
        <f t="array" ref="P86">MAX(IF(Consolidado!$A$6:$A$1000='TOTALES DIARIOS'!A86,IF(Consolidado!$D$6:$D$1000&lt;=M86,Consolidado!$D$6:$D$1000,0)))</f>
        <v>0</v>
      </c>
      <c r="Q86" s="117">
        <f t="shared" si="25"/>
        <v>0</v>
      </c>
      <c r="R86" s="117">
        <f t="shared" si="24"/>
        <v>0</v>
      </c>
      <c r="S86" s="104" t="str">
        <f t="shared" si="22"/>
        <v>NO</v>
      </c>
    </row>
    <row r="87" spans="1:19" x14ac:dyDescent="0.25">
      <c r="A87" s="221">
        <f t="shared" si="23"/>
        <v>45375</v>
      </c>
      <c r="B87" s="130" t="str">
        <f t="shared" si="14"/>
        <v/>
      </c>
      <c r="C87" s="217">
        <f t="shared" si="15"/>
        <v>0</v>
      </c>
      <c r="D87" s="217">
        <f t="shared" si="16"/>
        <v>0</v>
      </c>
      <c r="E87" s="218">
        <f>SUMIF(Consolidado!$A$6:$A$380,'TOTALES DIARIOS'!A87,Consolidado!$E$6:$E$380)</f>
        <v>0</v>
      </c>
      <c r="F87" s="218">
        <f>SUMIF(Consolidado!$A$6:$A$380,'TOTALES DIARIOS'!A87,Consolidado!$F$6:$F$380)</f>
        <v>0</v>
      </c>
      <c r="G87" s="218">
        <f>SUMIF(Consolidado!$A$6:$A$380,'TOTALES DIARIOS'!A87,Consolidado!$G$6:$G$380)</f>
        <v>0</v>
      </c>
      <c r="H87" s="219">
        <f t="shared" si="17"/>
        <v>0</v>
      </c>
      <c r="I87" s="99">
        <f t="shared" si="18"/>
        <v>0</v>
      </c>
      <c r="J87" s="99">
        <f t="shared" si="19"/>
        <v>0</v>
      </c>
      <c r="K87" s="113">
        <f t="shared" si="20"/>
        <v>2024</v>
      </c>
      <c r="L87" s="113">
        <f t="shared" si="21"/>
        <v>3</v>
      </c>
      <c r="M87" s="115">
        <f t="array" ref="M87">MIN(IF(Consolidado!$A$6:$A$1000='TOTALES DIARIOS'!A87,IF(Consolidado!$C$6:$C$1000&gt;TIMEVALUE("07:00"),Consolidado!$C$6:$C$1000,1)))</f>
        <v>0</v>
      </c>
      <c r="N87" s="115">
        <f t="array" ref="N87">MIN(IF(Consolidado!$A$6:$A$1000='TOTALES DIARIOS'!A87,IF(Consolidado!$C$6:$C$1000&lt;=M87,Consolidado!$C$6:$C$1000,1)))</f>
        <v>0</v>
      </c>
      <c r="O87" s="115">
        <f t="array" ref="O87">MAX(IF(Consolidado!$A$6:$A$1000='TOTALES DIARIOS'!A87,IF(Consolidado!$D$6:$D$1000&gt;=M87,Consolidado!$D$6:$D$1000,0)))</f>
        <v>0</v>
      </c>
      <c r="P87" s="118">
        <f t="array" ref="P87">MAX(IF(Consolidado!$A$6:$A$1000='TOTALES DIARIOS'!A87,IF(Consolidado!$D$6:$D$1000&lt;=M87,Consolidado!$D$6:$D$1000,0)))</f>
        <v>0</v>
      </c>
      <c r="Q87" s="117">
        <f t="shared" si="25"/>
        <v>0</v>
      </c>
      <c r="R87" s="117">
        <f t="shared" si="24"/>
        <v>0</v>
      </c>
      <c r="S87" s="104" t="str">
        <f t="shared" si="22"/>
        <v>NO</v>
      </c>
    </row>
    <row r="88" spans="1:19" x14ac:dyDescent="0.25">
      <c r="A88" s="221">
        <f t="shared" si="23"/>
        <v>45376</v>
      </c>
      <c r="B88" s="130" t="str">
        <f t="shared" si="14"/>
        <v/>
      </c>
      <c r="C88" s="217">
        <f t="shared" si="15"/>
        <v>0</v>
      </c>
      <c r="D88" s="217">
        <f t="shared" si="16"/>
        <v>0</v>
      </c>
      <c r="E88" s="218">
        <f>SUMIF(Consolidado!$A$6:$A$380,'TOTALES DIARIOS'!A88,Consolidado!$E$6:$E$380)</f>
        <v>0</v>
      </c>
      <c r="F88" s="218">
        <f>SUMIF(Consolidado!$A$6:$A$380,'TOTALES DIARIOS'!A88,Consolidado!$F$6:$F$380)</f>
        <v>0</v>
      </c>
      <c r="G88" s="218">
        <f>SUMIF(Consolidado!$A$6:$A$380,'TOTALES DIARIOS'!A88,Consolidado!$G$6:$G$380)</f>
        <v>0</v>
      </c>
      <c r="H88" s="219">
        <f t="shared" si="17"/>
        <v>0</v>
      </c>
      <c r="I88" s="99">
        <f t="shared" si="18"/>
        <v>0</v>
      </c>
      <c r="J88" s="99">
        <f t="shared" si="19"/>
        <v>0</v>
      </c>
      <c r="K88" s="113">
        <f t="shared" si="20"/>
        <v>2024</v>
      </c>
      <c r="L88" s="113">
        <f t="shared" si="21"/>
        <v>3</v>
      </c>
      <c r="M88" s="115">
        <f t="array" ref="M88">MIN(IF(Consolidado!$A$6:$A$1000='TOTALES DIARIOS'!A88,IF(Consolidado!$C$6:$C$1000&gt;TIMEVALUE("07:00"),Consolidado!$C$6:$C$1000,1)))</f>
        <v>0</v>
      </c>
      <c r="N88" s="115">
        <f t="array" ref="N88">MIN(IF(Consolidado!$A$6:$A$1000='TOTALES DIARIOS'!A88,IF(Consolidado!$C$6:$C$1000&lt;=M88,Consolidado!$C$6:$C$1000,1)))</f>
        <v>0</v>
      </c>
      <c r="O88" s="115">
        <f t="array" ref="O88">MAX(IF(Consolidado!$A$6:$A$1000='TOTALES DIARIOS'!A88,IF(Consolidado!$D$6:$D$1000&gt;=M88,Consolidado!$D$6:$D$1000,0)))</f>
        <v>0</v>
      </c>
      <c r="P88" s="118">
        <f t="array" ref="P88">MAX(IF(Consolidado!$A$6:$A$1000='TOTALES DIARIOS'!A88,IF(Consolidado!$D$6:$D$1000&lt;=M88,Consolidado!$D$6:$D$1000,0)))</f>
        <v>0</v>
      </c>
      <c r="Q88" s="117">
        <f t="shared" si="25"/>
        <v>0</v>
      </c>
      <c r="R88" s="117">
        <f t="shared" si="24"/>
        <v>0</v>
      </c>
      <c r="S88" s="104" t="str">
        <f t="shared" si="22"/>
        <v>NO</v>
      </c>
    </row>
    <row r="89" spans="1:19" x14ac:dyDescent="0.25">
      <c r="A89" s="221">
        <f t="shared" si="23"/>
        <v>45377</v>
      </c>
      <c r="B89" s="130" t="str">
        <f t="shared" si="14"/>
        <v/>
      </c>
      <c r="C89" s="217">
        <f t="shared" si="15"/>
        <v>0</v>
      </c>
      <c r="D89" s="217">
        <f t="shared" si="16"/>
        <v>0</v>
      </c>
      <c r="E89" s="218">
        <f>SUMIF(Consolidado!$A$6:$A$380,'TOTALES DIARIOS'!A89,Consolidado!$E$6:$E$380)</f>
        <v>0</v>
      </c>
      <c r="F89" s="218">
        <f>SUMIF(Consolidado!$A$6:$A$380,'TOTALES DIARIOS'!A89,Consolidado!$F$6:$F$380)</f>
        <v>0</v>
      </c>
      <c r="G89" s="218">
        <f>SUMIF(Consolidado!$A$6:$A$380,'TOTALES DIARIOS'!A89,Consolidado!$G$6:$G$380)</f>
        <v>0</v>
      </c>
      <c r="H89" s="219">
        <f t="shared" si="17"/>
        <v>0</v>
      </c>
      <c r="I89" s="99">
        <f t="shared" si="18"/>
        <v>0</v>
      </c>
      <c r="J89" s="99">
        <f t="shared" si="19"/>
        <v>0</v>
      </c>
      <c r="K89" s="113">
        <f t="shared" si="20"/>
        <v>2024</v>
      </c>
      <c r="L89" s="113">
        <f t="shared" si="21"/>
        <v>3</v>
      </c>
      <c r="M89" s="115">
        <f t="array" ref="M89">MIN(IF(Consolidado!$A$6:$A$1000='TOTALES DIARIOS'!A89,IF(Consolidado!$C$6:$C$1000&gt;TIMEVALUE("07:00"),Consolidado!$C$6:$C$1000,1)))</f>
        <v>0</v>
      </c>
      <c r="N89" s="115">
        <f t="array" ref="N89">MIN(IF(Consolidado!$A$6:$A$1000='TOTALES DIARIOS'!A89,IF(Consolidado!$C$6:$C$1000&lt;=M89,Consolidado!$C$6:$C$1000,1)))</f>
        <v>0</v>
      </c>
      <c r="O89" s="115">
        <f t="array" ref="O89">MAX(IF(Consolidado!$A$6:$A$1000='TOTALES DIARIOS'!A89,IF(Consolidado!$D$6:$D$1000&gt;=M89,Consolidado!$D$6:$D$1000,0)))</f>
        <v>0</v>
      </c>
      <c r="P89" s="118">
        <f t="array" ref="P89">MAX(IF(Consolidado!$A$6:$A$1000='TOTALES DIARIOS'!A89,IF(Consolidado!$D$6:$D$1000&lt;=M89,Consolidado!$D$6:$D$1000,0)))</f>
        <v>0</v>
      </c>
      <c r="Q89" s="117">
        <f t="shared" si="25"/>
        <v>0</v>
      </c>
      <c r="R89" s="117">
        <f t="shared" si="24"/>
        <v>0</v>
      </c>
      <c r="S89" s="104" t="str">
        <f t="shared" si="22"/>
        <v>NO</v>
      </c>
    </row>
    <row r="90" spans="1:19" x14ac:dyDescent="0.25">
      <c r="A90" s="221">
        <f t="shared" si="23"/>
        <v>45378</v>
      </c>
      <c r="B90" s="130" t="str">
        <f t="shared" si="14"/>
        <v/>
      </c>
      <c r="C90" s="217">
        <f t="shared" si="15"/>
        <v>0</v>
      </c>
      <c r="D90" s="217">
        <f t="shared" si="16"/>
        <v>0</v>
      </c>
      <c r="E90" s="218">
        <f>SUMIF(Consolidado!$A$6:$A$380,'TOTALES DIARIOS'!A90,Consolidado!$E$6:$E$380)</f>
        <v>0</v>
      </c>
      <c r="F90" s="218">
        <f>SUMIF(Consolidado!$A$6:$A$380,'TOTALES DIARIOS'!A90,Consolidado!$F$6:$F$380)</f>
        <v>0</v>
      </c>
      <c r="G90" s="218">
        <f>SUMIF(Consolidado!$A$6:$A$380,'TOTALES DIARIOS'!A90,Consolidado!$G$6:$G$380)</f>
        <v>0</v>
      </c>
      <c r="H90" s="219">
        <f t="shared" si="17"/>
        <v>0</v>
      </c>
      <c r="I90" s="99">
        <f t="shared" si="18"/>
        <v>0</v>
      </c>
      <c r="J90" s="99">
        <f t="shared" si="19"/>
        <v>0</v>
      </c>
      <c r="K90" s="113">
        <f t="shared" si="20"/>
        <v>2024</v>
      </c>
      <c r="L90" s="113">
        <f t="shared" si="21"/>
        <v>3</v>
      </c>
      <c r="M90" s="115">
        <f t="array" ref="M90">MIN(IF(Consolidado!$A$6:$A$1000='TOTALES DIARIOS'!A90,IF(Consolidado!$C$6:$C$1000&gt;TIMEVALUE("07:00"),Consolidado!$C$6:$C$1000,1)))</f>
        <v>0</v>
      </c>
      <c r="N90" s="115">
        <f t="array" ref="N90">MIN(IF(Consolidado!$A$6:$A$1000='TOTALES DIARIOS'!A90,IF(Consolidado!$C$6:$C$1000&lt;=M90,Consolidado!$C$6:$C$1000,1)))</f>
        <v>0</v>
      </c>
      <c r="O90" s="115">
        <f t="array" ref="O90">MAX(IF(Consolidado!$A$6:$A$1000='TOTALES DIARIOS'!A90,IF(Consolidado!$D$6:$D$1000&gt;=M90,Consolidado!$D$6:$D$1000,0)))</f>
        <v>0</v>
      </c>
      <c r="P90" s="118">
        <f t="array" ref="P90">MAX(IF(Consolidado!$A$6:$A$1000='TOTALES DIARIOS'!A90,IF(Consolidado!$D$6:$D$1000&lt;=M90,Consolidado!$D$6:$D$1000,0)))</f>
        <v>0</v>
      </c>
      <c r="Q90" s="117">
        <f t="shared" si="25"/>
        <v>0</v>
      </c>
      <c r="R90" s="117">
        <f t="shared" si="24"/>
        <v>0</v>
      </c>
      <c r="S90" s="104" t="str">
        <f t="shared" si="22"/>
        <v>NO</v>
      </c>
    </row>
    <row r="91" spans="1:19" x14ac:dyDescent="0.25">
      <c r="A91" s="221">
        <f t="shared" si="23"/>
        <v>45379</v>
      </c>
      <c r="B91" s="130" t="str">
        <f t="shared" si="14"/>
        <v/>
      </c>
      <c r="C91" s="217">
        <f t="shared" si="15"/>
        <v>0</v>
      </c>
      <c r="D91" s="217">
        <f t="shared" si="16"/>
        <v>0</v>
      </c>
      <c r="E91" s="218">
        <f>SUMIF(Consolidado!$A$6:$A$380,'TOTALES DIARIOS'!A91,Consolidado!$E$6:$E$380)</f>
        <v>0</v>
      </c>
      <c r="F91" s="218">
        <f>SUMIF(Consolidado!$A$6:$A$380,'TOTALES DIARIOS'!A91,Consolidado!$F$6:$F$380)</f>
        <v>0</v>
      </c>
      <c r="G91" s="218">
        <f>SUMIF(Consolidado!$A$6:$A$380,'TOTALES DIARIOS'!A91,Consolidado!$G$6:$G$380)</f>
        <v>0</v>
      </c>
      <c r="H91" s="219">
        <f t="shared" si="17"/>
        <v>0</v>
      </c>
      <c r="I91" s="99">
        <f t="shared" si="18"/>
        <v>0</v>
      </c>
      <c r="J91" s="99">
        <f t="shared" si="19"/>
        <v>0</v>
      </c>
      <c r="K91" s="113">
        <f t="shared" si="20"/>
        <v>2024</v>
      </c>
      <c r="L91" s="113">
        <f t="shared" si="21"/>
        <v>3</v>
      </c>
      <c r="M91" s="115">
        <f t="array" ref="M91">MIN(IF(Consolidado!$A$6:$A$1000='TOTALES DIARIOS'!A91,IF(Consolidado!$C$6:$C$1000&gt;TIMEVALUE("07:00"),Consolidado!$C$6:$C$1000,1)))</f>
        <v>0</v>
      </c>
      <c r="N91" s="115">
        <f t="array" ref="N91">MIN(IF(Consolidado!$A$6:$A$1000='TOTALES DIARIOS'!A91,IF(Consolidado!$C$6:$C$1000&lt;=M91,Consolidado!$C$6:$C$1000,1)))</f>
        <v>0</v>
      </c>
      <c r="O91" s="115">
        <f t="array" ref="O91">MAX(IF(Consolidado!$A$6:$A$1000='TOTALES DIARIOS'!A91,IF(Consolidado!$D$6:$D$1000&gt;=M91,Consolidado!$D$6:$D$1000,0)))</f>
        <v>0</v>
      </c>
      <c r="P91" s="118">
        <f t="array" ref="P91">MAX(IF(Consolidado!$A$6:$A$1000='TOTALES DIARIOS'!A91,IF(Consolidado!$D$6:$D$1000&lt;=M91,Consolidado!$D$6:$D$1000,0)))</f>
        <v>0</v>
      </c>
      <c r="Q91" s="117">
        <f t="shared" si="25"/>
        <v>0</v>
      </c>
      <c r="R91" s="117">
        <f t="shared" si="24"/>
        <v>0</v>
      </c>
      <c r="S91" s="104" t="str">
        <f t="shared" si="22"/>
        <v>NO</v>
      </c>
    </row>
    <row r="92" spans="1:19" x14ac:dyDescent="0.25">
      <c r="A92" s="221">
        <f t="shared" si="23"/>
        <v>45380</v>
      </c>
      <c r="B92" s="130" t="str">
        <f t="shared" si="14"/>
        <v/>
      </c>
      <c r="C92" s="217">
        <f t="shared" si="15"/>
        <v>0</v>
      </c>
      <c r="D92" s="217">
        <f t="shared" si="16"/>
        <v>0</v>
      </c>
      <c r="E92" s="218">
        <f>SUMIF(Consolidado!$A$6:$A$380,'TOTALES DIARIOS'!A92,Consolidado!$E$6:$E$380)</f>
        <v>0</v>
      </c>
      <c r="F92" s="218">
        <f>SUMIF(Consolidado!$A$6:$A$380,'TOTALES DIARIOS'!A92,Consolidado!$F$6:$F$380)</f>
        <v>0</v>
      </c>
      <c r="G92" s="218">
        <f>SUMIF(Consolidado!$A$6:$A$380,'TOTALES DIARIOS'!A92,Consolidado!$G$6:$G$380)</f>
        <v>0</v>
      </c>
      <c r="H92" s="219">
        <f t="shared" si="17"/>
        <v>0</v>
      </c>
      <c r="I92" s="99">
        <f t="shared" si="18"/>
        <v>0</v>
      </c>
      <c r="J92" s="99">
        <f t="shared" si="19"/>
        <v>0</v>
      </c>
      <c r="K92" s="113">
        <f t="shared" si="20"/>
        <v>2024</v>
      </c>
      <c r="L92" s="113">
        <f t="shared" si="21"/>
        <v>3</v>
      </c>
      <c r="M92" s="115">
        <f t="array" ref="M92">MIN(IF(Consolidado!$A$6:$A$1000='TOTALES DIARIOS'!A92,IF(Consolidado!$C$6:$C$1000&gt;TIMEVALUE("07:00"),Consolidado!$C$6:$C$1000,1)))</f>
        <v>0</v>
      </c>
      <c r="N92" s="115">
        <f t="array" ref="N92">MIN(IF(Consolidado!$A$6:$A$1000='TOTALES DIARIOS'!A92,IF(Consolidado!$C$6:$C$1000&lt;=M92,Consolidado!$C$6:$C$1000,1)))</f>
        <v>0</v>
      </c>
      <c r="O92" s="115">
        <f t="array" ref="O92">MAX(IF(Consolidado!$A$6:$A$1000='TOTALES DIARIOS'!A92,IF(Consolidado!$D$6:$D$1000&gt;=M92,Consolidado!$D$6:$D$1000,0)))</f>
        <v>0</v>
      </c>
      <c r="P92" s="118">
        <f t="array" ref="P92">MAX(IF(Consolidado!$A$6:$A$1000='TOTALES DIARIOS'!A92,IF(Consolidado!$D$6:$D$1000&lt;=M92,Consolidado!$D$6:$D$1000,0)))</f>
        <v>0</v>
      </c>
      <c r="Q92" s="117">
        <f t="shared" si="25"/>
        <v>0</v>
      </c>
      <c r="R92" s="117">
        <f t="shared" si="24"/>
        <v>0</v>
      </c>
      <c r="S92" s="104" t="str">
        <f t="shared" si="22"/>
        <v>NO</v>
      </c>
    </row>
    <row r="93" spans="1:19" x14ac:dyDescent="0.25">
      <c r="A93" s="221">
        <f t="shared" si="23"/>
        <v>45381</v>
      </c>
      <c r="B93" s="130" t="str">
        <f t="shared" si="14"/>
        <v/>
      </c>
      <c r="C93" s="217">
        <f t="shared" si="15"/>
        <v>0</v>
      </c>
      <c r="D93" s="217">
        <f t="shared" si="16"/>
        <v>0</v>
      </c>
      <c r="E93" s="218">
        <f>SUMIF(Consolidado!$A$6:$A$380,'TOTALES DIARIOS'!A93,Consolidado!$E$6:$E$380)</f>
        <v>0</v>
      </c>
      <c r="F93" s="218">
        <f>SUMIF(Consolidado!$A$6:$A$380,'TOTALES DIARIOS'!A93,Consolidado!$F$6:$F$380)</f>
        <v>0</v>
      </c>
      <c r="G93" s="218">
        <f>SUMIF(Consolidado!$A$6:$A$380,'TOTALES DIARIOS'!A93,Consolidado!$G$6:$G$380)</f>
        <v>0</v>
      </c>
      <c r="H93" s="219">
        <f t="shared" si="17"/>
        <v>0</v>
      </c>
      <c r="I93" s="99">
        <f t="shared" si="18"/>
        <v>0</v>
      </c>
      <c r="J93" s="99">
        <f t="shared" si="19"/>
        <v>0</v>
      </c>
      <c r="K93" s="113">
        <f t="shared" si="20"/>
        <v>2024</v>
      </c>
      <c r="L93" s="113">
        <f t="shared" si="21"/>
        <v>3</v>
      </c>
      <c r="M93" s="115">
        <f t="array" ref="M93">MIN(IF(Consolidado!$A$6:$A$1000='TOTALES DIARIOS'!A93,IF(Consolidado!$C$6:$C$1000&gt;TIMEVALUE("07:00"),Consolidado!$C$6:$C$1000,1)))</f>
        <v>0</v>
      </c>
      <c r="N93" s="115">
        <f t="array" ref="N93">MIN(IF(Consolidado!$A$6:$A$1000='TOTALES DIARIOS'!A93,IF(Consolidado!$C$6:$C$1000&lt;=M93,Consolidado!$C$6:$C$1000,1)))</f>
        <v>0</v>
      </c>
      <c r="O93" s="115">
        <f t="array" ref="O93">MAX(IF(Consolidado!$A$6:$A$1000='TOTALES DIARIOS'!A93,IF(Consolidado!$D$6:$D$1000&gt;=M93,Consolidado!$D$6:$D$1000,0)))</f>
        <v>0</v>
      </c>
      <c r="P93" s="118">
        <f t="array" ref="P93">MAX(IF(Consolidado!$A$6:$A$1000='TOTALES DIARIOS'!A93,IF(Consolidado!$D$6:$D$1000&lt;=M93,Consolidado!$D$6:$D$1000,0)))</f>
        <v>0</v>
      </c>
      <c r="Q93" s="117">
        <f t="shared" si="25"/>
        <v>0</v>
      </c>
      <c r="R93" s="117">
        <f t="shared" si="24"/>
        <v>0</v>
      </c>
      <c r="S93" s="104" t="str">
        <f t="shared" si="22"/>
        <v>NO</v>
      </c>
    </row>
    <row r="94" spans="1:19" x14ac:dyDescent="0.25">
      <c r="A94" s="221">
        <f t="shared" si="23"/>
        <v>45382</v>
      </c>
      <c r="B94" s="130" t="str">
        <f t="shared" si="14"/>
        <v/>
      </c>
      <c r="C94" s="217">
        <f t="shared" si="15"/>
        <v>0</v>
      </c>
      <c r="D94" s="217">
        <f t="shared" si="16"/>
        <v>0</v>
      </c>
      <c r="E94" s="218">
        <f>SUMIF(Consolidado!$A$6:$A$380,'TOTALES DIARIOS'!A94,Consolidado!$E$6:$E$380)</f>
        <v>0</v>
      </c>
      <c r="F94" s="218">
        <f>SUMIF(Consolidado!$A$6:$A$380,'TOTALES DIARIOS'!A94,Consolidado!$F$6:$F$380)</f>
        <v>0</v>
      </c>
      <c r="G94" s="218">
        <f>SUMIF(Consolidado!$A$6:$A$380,'TOTALES DIARIOS'!A94,Consolidado!$G$6:$G$380)</f>
        <v>0</v>
      </c>
      <c r="H94" s="219">
        <f t="shared" si="17"/>
        <v>0</v>
      </c>
      <c r="I94" s="99">
        <f t="shared" si="18"/>
        <v>0</v>
      </c>
      <c r="J94" s="99">
        <f t="shared" si="19"/>
        <v>0</v>
      </c>
      <c r="K94" s="113">
        <f t="shared" si="20"/>
        <v>2024</v>
      </c>
      <c r="L94" s="113">
        <f t="shared" si="21"/>
        <v>3</v>
      </c>
      <c r="M94" s="115">
        <f t="array" ref="M94">MIN(IF(Consolidado!$A$6:$A$1000='TOTALES DIARIOS'!A94,IF(Consolidado!$C$6:$C$1000&gt;TIMEVALUE("07:00"),Consolidado!$C$6:$C$1000,1)))</f>
        <v>0</v>
      </c>
      <c r="N94" s="115">
        <f t="array" ref="N94">MIN(IF(Consolidado!$A$6:$A$1000='TOTALES DIARIOS'!A94,IF(Consolidado!$C$6:$C$1000&lt;=M94,Consolidado!$C$6:$C$1000,1)))</f>
        <v>0</v>
      </c>
      <c r="O94" s="115">
        <f t="array" ref="O94">MAX(IF(Consolidado!$A$6:$A$1000='TOTALES DIARIOS'!A94,IF(Consolidado!$D$6:$D$1000&gt;=M94,Consolidado!$D$6:$D$1000,0)))</f>
        <v>0</v>
      </c>
      <c r="P94" s="118">
        <f t="array" ref="P94">MAX(IF(Consolidado!$A$6:$A$1000='TOTALES DIARIOS'!A94,IF(Consolidado!$D$6:$D$1000&lt;=M94,Consolidado!$D$6:$D$1000,0)))</f>
        <v>0</v>
      </c>
      <c r="Q94" s="117">
        <f t="shared" si="25"/>
        <v>0</v>
      </c>
      <c r="R94" s="117">
        <f t="shared" si="24"/>
        <v>0</v>
      </c>
      <c r="S94" s="104" t="str">
        <f t="shared" si="22"/>
        <v>NO</v>
      </c>
    </row>
    <row r="95" spans="1:19" x14ac:dyDescent="0.25">
      <c r="A95" s="221">
        <f t="shared" si="23"/>
        <v>45383</v>
      </c>
      <c r="B95" s="130" t="str">
        <f t="shared" si="14"/>
        <v/>
      </c>
      <c r="C95" s="217">
        <f t="shared" si="15"/>
        <v>0</v>
      </c>
      <c r="D95" s="217">
        <f t="shared" si="16"/>
        <v>0</v>
      </c>
      <c r="E95" s="218">
        <f>SUMIF(Consolidado!$A$6:$A$380,'TOTALES DIARIOS'!A95,Consolidado!$E$6:$E$380)</f>
        <v>0</v>
      </c>
      <c r="F95" s="218">
        <f>SUMIF(Consolidado!$A$6:$A$380,'TOTALES DIARIOS'!A95,Consolidado!$F$6:$F$380)</f>
        <v>0</v>
      </c>
      <c r="G95" s="218">
        <f>SUMIF(Consolidado!$A$6:$A$380,'TOTALES DIARIOS'!A95,Consolidado!$G$6:$G$380)</f>
        <v>0</v>
      </c>
      <c r="H95" s="219">
        <f t="shared" si="17"/>
        <v>0</v>
      </c>
      <c r="I95" s="99">
        <f t="shared" si="18"/>
        <v>0</v>
      </c>
      <c r="J95" s="99">
        <f t="shared" si="19"/>
        <v>0</v>
      </c>
      <c r="K95" s="113">
        <f t="shared" si="20"/>
        <v>2024</v>
      </c>
      <c r="L95" s="113">
        <f t="shared" si="21"/>
        <v>4</v>
      </c>
      <c r="M95" s="115">
        <f t="array" ref="M95">MIN(IF(Consolidado!$A$6:$A$1000='TOTALES DIARIOS'!A95,IF(Consolidado!$C$6:$C$1000&gt;TIMEVALUE("07:00"),Consolidado!$C$6:$C$1000,1)))</f>
        <v>0</v>
      </c>
      <c r="N95" s="115">
        <f t="array" ref="N95">MIN(IF(Consolidado!$A$6:$A$1000='TOTALES DIARIOS'!A95,IF(Consolidado!$C$6:$C$1000&lt;=M95,Consolidado!$C$6:$C$1000,1)))</f>
        <v>0</v>
      </c>
      <c r="O95" s="115">
        <f t="array" ref="O95">MAX(IF(Consolidado!$A$6:$A$1000='TOTALES DIARIOS'!A95,IF(Consolidado!$D$6:$D$1000&gt;=M95,Consolidado!$D$6:$D$1000,0)))</f>
        <v>0</v>
      </c>
      <c r="P95" s="118">
        <f t="array" ref="P95">MAX(IF(Consolidado!$A$6:$A$1000='TOTALES DIARIOS'!A95,IF(Consolidado!$D$6:$D$1000&lt;=M95,Consolidado!$D$6:$D$1000,0)))</f>
        <v>0</v>
      </c>
      <c r="Q95" s="117">
        <f t="shared" si="25"/>
        <v>0</v>
      </c>
      <c r="R95" s="117">
        <f t="shared" si="24"/>
        <v>0</v>
      </c>
      <c r="S95" s="104" t="str">
        <f t="shared" si="22"/>
        <v>NO</v>
      </c>
    </row>
    <row r="96" spans="1:19" x14ac:dyDescent="0.25">
      <c r="A96" s="221">
        <f t="shared" si="23"/>
        <v>45384</v>
      </c>
      <c r="B96" s="130" t="str">
        <f t="shared" si="14"/>
        <v/>
      </c>
      <c r="C96" s="217">
        <f t="shared" si="15"/>
        <v>0</v>
      </c>
      <c r="D96" s="217">
        <f t="shared" si="16"/>
        <v>0</v>
      </c>
      <c r="E96" s="218">
        <f>SUMIF(Consolidado!$A$6:$A$380,'TOTALES DIARIOS'!A96,Consolidado!$E$6:$E$380)</f>
        <v>0</v>
      </c>
      <c r="F96" s="218">
        <f>SUMIF(Consolidado!$A$6:$A$380,'TOTALES DIARIOS'!A96,Consolidado!$F$6:$F$380)</f>
        <v>0</v>
      </c>
      <c r="G96" s="218">
        <f>SUMIF(Consolidado!$A$6:$A$380,'TOTALES DIARIOS'!A96,Consolidado!$G$6:$G$380)</f>
        <v>0</v>
      </c>
      <c r="H96" s="219">
        <f t="shared" si="17"/>
        <v>0</v>
      </c>
      <c r="I96" s="99">
        <f t="shared" si="18"/>
        <v>0</v>
      </c>
      <c r="J96" s="99">
        <f t="shared" si="19"/>
        <v>0</v>
      </c>
      <c r="K96" s="113">
        <f t="shared" si="20"/>
        <v>2024</v>
      </c>
      <c r="L96" s="113">
        <f t="shared" si="21"/>
        <v>4</v>
      </c>
      <c r="M96" s="115">
        <f t="array" ref="M96">MIN(IF(Consolidado!$A$6:$A$1000='TOTALES DIARIOS'!A96,IF(Consolidado!$C$6:$C$1000&gt;TIMEVALUE("07:00"),Consolidado!$C$6:$C$1000,1)))</f>
        <v>0</v>
      </c>
      <c r="N96" s="115">
        <f t="array" ref="N96">MIN(IF(Consolidado!$A$6:$A$1000='TOTALES DIARIOS'!A96,IF(Consolidado!$C$6:$C$1000&lt;=M96,Consolidado!$C$6:$C$1000,1)))</f>
        <v>0</v>
      </c>
      <c r="O96" s="115">
        <f t="array" ref="O96">MAX(IF(Consolidado!$A$6:$A$1000='TOTALES DIARIOS'!A96,IF(Consolidado!$D$6:$D$1000&gt;=M96,Consolidado!$D$6:$D$1000,0)))</f>
        <v>0</v>
      </c>
      <c r="P96" s="118">
        <f t="array" ref="P96">MAX(IF(Consolidado!$A$6:$A$1000='TOTALES DIARIOS'!A96,IF(Consolidado!$D$6:$D$1000&lt;=M96,Consolidado!$D$6:$D$1000,0)))</f>
        <v>0</v>
      </c>
      <c r="Q96" s="117">
        <f t="shared" si="25"/>
        <v>0</v>
      </c>
      <c r="R96" s="117">
        <f t="shared" si="24"/>
        <v>0</v>
      </c>
      <c r="S96" s="104" t="str">
        <f t="shared" si="22"/>
        <v>NO</v>
      </c>
    </row>
    <row r="97" spans="1:19" x14ac:dyDescent="0.25">
      <c r="A97" s="221">
        <f t="shared" si="23"/>
        <v>45385</v>
      </c>
      <c r="B97" s="130" t="str">
        <f t="shared" si="14"/>
        <v/>
      </c>
      <c r="C97" s="217">
        <f t="shared" si="15"/>
        <v>0</v>
      </c>
      <c r="D97" s="217">
        <f t="shared" si="16"/>
        <v>0</v>
      </c>
      <c r="E97" s="218">
        <f>SUMIF(Consolidado!$A$6:$A$380,'TOTALES DIARIOS'!A97,Consolidado!$E$6:$E$380)</f>
        <v>0</v>
      </c>
      <c r="F97" s="218">
        <f>SUMIF(Consolidado!$A$6:$A$380,'TOTALES DIARIOS'!A97,Consolidado!$F$6:$F$380)</f>
        <v>0</v>
      </c>
      <c r="G97" s="218">
        <f>SUMIF(Consolidado!$A$6:$A$380,'TOTALES DIARIOS'!A97,Consolidado!$G$6:$G$380)</f>
        <v>0</v>
      </c>
      <c r="H97" s="219">
        <f t="shared" si="17"/>
        <v>0</v>
      </c>
      <c r="I97" s="99">
        <f t="shared" si="18"/>
        <v>0</v>
      </c>
      <c r="J97" s="99">
        <f t="shared" si="19"/>
        <v>0</v>
      </c>
      <c r="K97" s="113">
        <f t="shared" si="20"/>
        <v>2024</v>
      </c>
      <c r="L97" s="113">
        <f t="shared" si="21"/>
        <v>4</v>
      </c>
      <c r="M97" s="115">
        <f t="array" ref="M97">MIN(IF(Consolidado!$A$6:$A$1000='TOTALES DIARIOS'!A97,IF(Consolidado!$C$6:$C$1000&gt;TIMEVALUE("07:00"),Consolidado!$C$6:$C$1000,1)))</f>
        <v>0</v>
      </c>
      <c r="N97" s="115">
        <f t="array" ref="N97">MIN(IF(Consolidado!$A$6:$A$1000='TOTALES DIARIOS'!A97,IF(Consolidado!$C$6:$C$1000&lt;=M97,Consolidado!$C$6:$C$1000,1)))</f>
        <v>0</v>
      </c>
      <c r="O97" s="115">
        <f t="array" ref="O97">MAX(IF(Consolidado!$A$6:$A$1000='TOTALES DIARIOS'!A97,IF(Consolidado!$D$6:$D$1000&gt;=M97,Consolidado!$D$6:$D$1000,0)))</f>
        <v>0</v>
      </c>
      <c r="P97" s="118">
        <f t="array" ref="P97">MAX(IF(Consolidado!$A$6:$A$1000='TOTALES DIARIOS'!A97,IF(Consolidado!$D$6:$D$1000&lt;=M97,Consolidado!$D$6:$D$1000,0)))</f>
        <v>0</v>
      </c>
      <c r="Q97" s="117">
        <f t="shared" si="25"/>
        <v>0</v>
      </c>
      <c r="R97" s="117">
        <f t="shared" si="24"/>
        <v>0</v>
      </c>
      <c r="S97" s="104" t="str">
        <f t="shared" si="22"/>
        <v>NO</v>
      </c>
    </row>
    <row r="98" spans="1:19" x14ac:dyDescent="0.25">
      <c r="A98" s="221">
        <f t="shared" si="23"/>
        <v>45386</v>
      </c>
      <c r="B98" s="130" t="str">
        <f t="shared" si="14"/>
        <v/>
      </c>
      <c r="C98" s="217">
        <f t="shared" si="15"/>
        <v>0</v>
      </c>
      <c r="D98" s="217">
        <f t="shared" si="16"/>
        <v>0</v>
      </c>
      <c r="E98" s="218">
        <f>SUMIF(Consolidado!$A$6:$A$380,'TOTALES DIARIOS'!A98,Consolidado!$E$6:$E$380)</f>
        <v>0</v>
      </c>
      <c r="F98" s="218">
        <f>SUMIF(Consolidado!$A$6:$A$380,'TOTALES DIARIOS'!A98,Consolidado!$F$6:$F$380)</f>
        <v>0</v>
      </c>
      <c r="G98" s="218">
        <f>SUMIF(Consolidado!$A$6:$A$380,'TOTALES DIARIOS'!A98,Consolidado!$G$6:$G$380)</f>
        <v>0</v>
      </c>
      <c r="H98" s="219">
        <f t="shared" si="17"/>
        <v>0</v>
      </c>
      <c r="I98" s="99">
        <f t="shared" si="18"/>
        <v>0</v>
      </c>
      <c r="J98" s="99">
        <f t="shared" si="19"/>
        <v>0</v>
      </c>
      <c r="K98" s="113">
        <f t="shared" si="20"/>
        <v>2024</v>
      </c>
      <c r="L98" s="113">
        <f t="shared" si="21"/>
        <v>4</v>
      </c>
      <c r="M98" s="115">
        <f t="array" ref="M98">MIN(IF(Consolidado!$A$6:$A$1000='TOTALES DIARIOS'!A98,IF(Consolidado!$C$6:$C$1000&gt;TIMEVALUE("07:00"),Consolidado!$C$6:$C$1000,1)))</f>
        <v>0</v>
      </c>
      <c r="N98" s="115">
        <f t="array" ref="N98">MIN(IF(Consolidado!$A$6:$A$1000='TOTALES DIARIOS'!A98,IF(Consolidado!$C$6:$C$1000&lt;=M98,Consolidado!$C$6:$C$1000,1)))</f>
        <v>0</v>
      </c>
      <c r="O98" s="115">
        <f t="array" ref="O98">MAX(IF(Consolidado!$A$6:$A$1000='TOTALES DIARIOS'!A98,IF(Consolidado!$D$6:$D$1000&gt;=M98,Consolidado!$D$6:$D$1000,0)))</f>
        <v>0</v>
      </c>
      <c r="P98" s="118">
        <f t="array" ref="P98">MAX(IF(Consolidado!$A$6:$A$1000='TOTALES DIARIOS'!A98,IF(Consolidado!$D$6:$D$1000&lt;=M98,Consolidado!$D$6:$D$1000,0)))</f>
        <v>0</v>
      </c>
      <c r="Q98" s="117">
        <f t="shared" si="25"/>
        <v>0</v>
      </c>
      <c r="R98" s="117">
        <f t="shared" si="24"/>
        <v>0</v>
      </c>
      <c r="S98" s="104" t="str">
        <f t="shared" si="22"/>
        <v>NO</v>
      </c>
    </row>
    <row r="99" spans="1:19" x14ac:dyDescent="0.25">
      <c r="A99" s="221">
        <f t="shared" si="23"/>
        <v>45387</v>
      </c>
      <c r="B99" s="130" t="str">
        <f t="shared" si="14"/>
        <v/>
      </c>
      <c r="C99" s="217">
        <f t="shared" si="15"/>
        <v>0</v>
      </c>
      <c r="D99" s="217">
        <f t="shared" si="16"/>
        <v>0</v>
      </c>
      <c r="E99" s="218">
        <f>SUMIF(Consolidado!$A$6:$A$380,'TOTALES DIARIOS'!A99,Consolidado!$E$6:$E$380)</f>
        <v>0</v>
      </c>
      <c r="F99" s="218">
        <f>SUMIF(Consolidado!$A$6:$A$380,'TOTALES DIARIOS'!A99,Consolidado!$F$6:$F$380)</f>
        <v>0</v>
      </c>
      <c r="G99" s="218">
        <f>SUMIF(Consolidado!$A$6:$A$380,'TOTALES DIARIOS'!A99,Consolidado!$G$6:$G$380)</f>
        <v>0</v>
      </c>
      <c r="H99" s="219">
        <f t="shared" si="17"/>
        <v>0</v>
      </c>
      <c r="I99" s="99">
        <f t="shared" si="18"/>
        <v>0</v>
      </c>
      <c r="J99" s="99">
        <f t="shared" si="19"/>
        <v>0</v>
      </c>
      <c r="K99" s="113">
        <f t="shared" si="20"/>
        <v>2024</v>
      </c>
      <c r="L99" s="113">
        <f t="shared" si="21"/>
        <v>4</v>
      </c>
      <c r="M99" s="115">
        <f t="array" ref="M99">MIN(IF(Consolidado!$A$6:$A$1000='TOTALES DIARIOS'!A99,IF(Consolidado!$C$6:$C$1000&gt;TIMEVALUE("07:00"),Consolidado!$C$6:$C$1000,1)))</f>
        <v>0</v>
      </c>
      <c r="N99" s="115">
        <f t="array" ref="N99">MIN(IF(Consolidado!$A$6:$A$1000='TOTALES DIARIOS'!A99,IF(Consolidado!$C$6:$C$1000&lt;=M99,Consolidado!$C$6:$C$1000,1)))</f>
        <v>0</v>
      </c>
      <c r="O99" s="115">
        <f t="array" ref="O99">MAX(IF(Consolidado!$A$6:$A$1000='TOTALES DIARIOS'!A99,IF(Consolidado!$D$6:$D$1000&gt;=M99,Consolidado!$D$6:$D$1000,0)))</f>
        <v>0</v>
      </c>
      <c r="P99" s="118">
        <f t="array" ref="P99">MAX(IF(Consolidado!$A$6:$A$1000='TOTALES DIARIOS'!A99,IF(Consolidado!$D$6:$D$1000&lt;=M99,Consolidado!$D$6:$D$1000,0)))</f>
        <v>0</v>
      </c>
      <c r="Q99" s="117">
        <f t="shared" si="25"/>
        <v>0</v>
      </c>
      <c r="R99" s="117">
        <f t="shared" si="24"/>
        <v>0</v>
      </c>
      <c r="S99" s="104" t="str">
        <f t="shared" si="22"/>
        <v>NO</v>
      </c>
    </row>
    <row r="100" spans="1:19" x14ac:dyDescent="0.25">
      <c r="A100" s="221">
        <f t="shared" si="23"/>
        <v>45388</v>
      </c>
      <c r="B100" s="130" t="str">
        <f t="shared" si="14"/>
        <v/>
      </c>
      <c r="C100" s="217">
        <f t="shared" si="15"/>
        <v>0</v>
      </c>
      <c r="D100" s="217">
        <f t="shared" si="16"/>
        <v>0</v>
      </c>
      <c r="E100" s="218">
        <f>SUMIF(Consolidado!$A$6:$A$380,'TOTALES DIARIOS'!A100,Consolidado!$E$6:$E$380)</f>
        <v>0</v>
      </c>
      <c r="F100" s="218">
        <f>SUMIF(Consolidado!$A$6:$A$380,'TOTALES DIARIOS'!A100,Consolidado!$F$6:$F$380)</f>
        <v>0</v>
      </c>
      <c r="G100" s="218">
        <f>SUMIF(Consolidado!$A$6:$A$380,'TOTALES DIARIOS'!A100,Consolidado!$G$6:$G$380)</f>
        <v>0</v>
      </c>
      <c r="H100" s="219">
        <f t="shared" si="17"/>
        <v>0</v>
      </c>
      <c r="I100" s="99">
        <f t="shared" si="18"/>
        <v>0</v>
      </c>
      <c r="J100" s="99">
        <f t="shared" si="19"/>
        <v>0</v>
      </c>
      <c r="K100" s="113">
        <f t="shared" si="20"/>
        <v>2024</v>
      </c>
      <c r="L100" s="113">
        <f t="shared" si="21"/>
        <v>4</v>
      </c>
      <c r="M100" s="115">
        <f t="array" ref="M100">MIN(IF(Consolidado!$A$6:$A$1000='TOTALES DIARIOS'!A100,IF(Consolidado!$C$6:$C$1000&gt;TIMEVALUE("07:00"),Consolidado!$C$6:$C$1000,1)))</f>
        <v>0</v>
      </c>
      <c r="N100" s="115">
        <f t="array" ref="N100">MIN(IF(Consolidado!$A$6:$A$1000='TOTALES DIARIOS'!A100,IF(Consolidado!$C$6:$C$1000&lt;=M100,Consolidado!$C$6:$C$1000,1)))</f>
        <v>0</v>
      </c>
      <c r="O100" s="115">
        <f t="array" ref="O100">MAX(IF(Consolidado!$A$6:$A$1000='TOTALES DIARIOS'!A100,IF(Consolidado!$D$6:$D$1000&gt;=M100,Consolidado!$D$6:$D$1000,0)))</f>
        <v>0</v>
      </c>
      <c r="P100" s="118">
        <f t="array" ref="P100">MAX(IF(Consolidado!$A$6:$A$1000='TOTALES DIARIOS'!A100,IF(Consolidado!$D$6:$D$1000&lt;=M100,Consolidado!$D$6:$D$1000,0)))</f>
        <v>0</v>
      </c>
      <c r="Q100" s="117">
        <f t="shared" si="25"/>
        <v>0</v>
      </c>
      <c r="R100" s="117">
        <f t="shared" si="24"/>
        <v>0</v>
      </c>
      <c r="S100" s="104" t="str">
        <f t="shared" si="22"/>
        <v>NO</v>
      </c>
    </row>
    <row r="101" spans="1:19" x14ac:dyDescent="0.25">
      <c r="A101" s="221">
        <f t="shared" si="23"/>
        <v>45389</v>
      </c>
      <c r="B101" s="130" t="str">
        <f t="shared" si="14"/>
        <v/>
      </c>
      <c r="C101" s="217">
        <f t="shared" si="15"/>
        <v>0</v>
      </c>
      <c r="D101" s="217">
        <f t="shared" si="16"/>
        <v>0</v>
      </c>
      <c r="E101" s="218">
        <f>SUMIF(Consolidado!$A$6:$A$380,'TOTALES DIARIOS'!A101,Consolidado!$E$6:$E$380)</f>
        <v>0</v>
      </c>
      <c r="F101" s="218">
        <f>SUMIF(Consolidado!$A$6:$A$380,'TOTALES DIARIOS'!A101,Consolidado!$F$6:$F$380)</f>
        <v>0</v>
      </c>
      <c r="G101" s="218">
        <f>SUMIF(Consolidado!$A$6:$A$380,'TOTALES DIARIOS'!A101,Consolidado!$G$6:$G$380)</f>
        <v>0</v>
      </c>
      <c r="H101" s="219">
        <f t="shared" si="17"/>
        <v>0</v>
      </c>
      <c r="I101" s="99">
        <f t="shared" si="18"/>
        <v>0</v>
      </c>
      <c r="J101" s="99">
        <f t="shared" si="19"/>
        <v>0</v>
      </c>
      <c r="K101" s="113">
        <f t="shared" si="20"/>
        <v>2024</v>
      </c>
      <c r="L101" s="113">
        <f t="shared" si="21"/>
        <v>4</v>
      </c>
      <c r="M101" s="115">
        <f t="array" ref="M101">MIN(IF(Consolidado!$A$6:$A$1000='TOTALES DIARIOS'!A101,IF(Consolidado!$C$6:$C$1000&gt;TIMEVALUE("07:00"),Consolidado!$C$6:$C$1000,1)))</f>
        <v>0</v>
      </c>
      <c r="N101" s="115">
        <f t="array" ref="N101">MIN(IF(Consolidado!$A$6:$A$1000='TOTALES DIARIOS'!A101,IF(Consolidado!$C$6:$C$1000&lt;=M101,Consolidado!$C$6:$C$1000,1)))</f>
        <v>0</v>
      </c>
      <c r="O101" s="115">
        <f t="array" ref="O101">MAX(IF(Consolidado!$A$6:$A$1000='TOTALES DIARIOS'!A101,IF(Consolidado!$D$6:$D$1000&gt;=M101,Consolidado!$D$6:$D$1000,0)))</f>
        <v>0</v>
      </c>
      <c r="P101" s="118">
        <f t="array" ref="P101">MAX(IF(Consolidado!$A$6:$A$1000='TOTALES DIARIOS'!A101,IF(Consolidado!$D$6:$D$1000&lt;=M101,Consolidado!$D$6:$D$1000,0)))</f>
        <v>0</v>
      </c>
      <c r="Q101" s="117">
        <f t="shared" si="25"/>
        <v>0</v>
      </c>
      <c r="R101" s="117">
        <f t="shared" si="24"/>
        <v>0</v>
      </c>
      <c r="S101" s="104" t="str">
        <f t="shared" si="22"/>
        <v>NO</v>
      </c>
    </row>
    <row r="102" spans="1:19" x14ac:dyDescent="0.25">
      <c r="A102" s="221">
        <f t="shared" si="23"/>
        <v>45390</v>
      </c>
      <c r="B102" s="130" t="str">
        <f t="shared" si="14"/>
        <v/>
      </c>
      <c r="C102" s="217">
        <f t="shared" si="15"/>
        <v>0</v>
      </c>
      <c r="D102" s="217">
        <f t="shared" si="16"/>
        <v>0</v>
      </c>
      <c r="E102" s="218">
        <f>SUMIF(Consolidado!$A$6:$A$380,'TOTALES DIARIOS'!A102,Consolidado!$E$6:$E$380)</f>
        <v>0</v>
      </c>
      <c r="F102" s="218">
        <f>SUMIF(Consolidado!$A$6:$A$380,'TOTALES DIARIOS'!A102,Consolidado!$F$6:$F$380)</f>
        <v>0</v>
      </c>
      <c r="G102" s="218">
        <f>SUMIF(Consolidado!$A$6:$A$380,'TOTALES DIARIOS'!A102,Consolidado!$G$6:$G$380)</f>
        <v>0</v>
      </c>
      <c r="H102" s="219">
        <f t="shared" si="17"/>
        <v>0</v>
      </c>
      <c r="I102" s="99">
        <f t="shared" si="18"/>
        <v>0</v>
      </c>
      <c r="J102" s="99">
        <f t="shared" si="19"/>
        <v>0</v>
      </c>
      <c r="K102" s="113">
        <f t="shared" si="20"/>
        <v>2024</v>
      </c>
      <c r="L102" s="113">
        <f t="shared" si="21"/>
        <v>4</v>
      </c>
      <c r="M102" s="115">
        <f t="array" ref="M102">MIN(IF(Consolidado!$A$6:$A$1000='TOTALES DIARIOS'!A102,IF(Consolidado!$C$6:$C$1000&gt;TIMEVALUE("07:00"),Consolidado!$C$6:$C$1000,1)))</f>
        <v>0</v>
      </c>
      <c r="N102" s="115">
        <f t="array" ref="N102">MIN(IF(Consolidado!$A$6:$A$1000='TOTALES DIARIOS'!A102,IF(Consolidado!$C$6:$C$1000&lt;=M102,Consolidado!$C$6:$C$1000,1)))</f>
        <v>0</v>
      </c>
      <c r="O102" s="115">
        <f t="array" ref="O102">MAX(IF(Consolidado!$A$6:$A$1000='TOTALES DIARIOS'!A102,IF(Consolidado!$D$6:$D$1000&gt;=M102,Consolidado!$D$6:$D$1000,0)))</f>
        <v>0</v>
      </c>
      <c r="P102" s="118">
        <f t="array" ref="P102">MAX(IF(Consolidado!$A$6:$A$1000='TOTALES DIARIOS'!A102,IF(Consolidado!$D$6:$D$1000&lt;=M102,Consolidado!$D$6:$D$1000,0)))</f>
        <v>0</v>
      </c>
      <c r="Q102" s="117">
        <f t="shared" si="25"/>
        <v>0</v>
      </c>
      <c r="R102" s="117">
        <f t="shared" si="24"/>
        <v>0</v>
      </c>
      <c r="S102" s="104" t="str">
        <f t="shared" si="22"/>
        <v>NO</v>
      </c>
    </row>
    <row r="103" spans="1:19" x14ac:dyDescent="0.25">
      <c r="A103" s="221">
        <f t="shared" si="23"/>
        <v>45391</v>
      </c>
      <c r="B103" s="130" t="str">
        <f t="shared" si="14"/>
        <v/>
      </c>
      <c r="C103" s="217">
        <f t="shared" si="15"/>
        <v>0</v>
      </c>
      <c r="D103" s="217">
        <f t="shared" si="16"/>
        <v>0</v>
      </c>
      <c r="E103" s="218">
        <f>SUMIF(Consolidado!$A$6:$A$380,'TOTALES DIARIOS'!A103,Consolidado!$E$6:$E$380)</f>
        <v>0</v>
      </c>
      <c r="F103" s="218">
        <f>SUMIF(Consolidado!$A$6:$A$380,'TOTALES DIARIOS'!A103,Consolidado!$F$6:$F$380)</f>
        <v>0</v>
      </c>
      <c r="G103" s="218">
        <f>SUMIF(Consolidado!$A$6:$A$380,'TOTALES DIARIOS'!A103,Consolidado!$G$6:$G$380)</f>
        <v>0</v>
      </c>
      <c r="H103" s="219">
        <f t="shared" si="17"/>
        <v>0</v>
      </c>
      <c r="I103" s="99">
        <f t="shared" si="18"/>
        <v>0</v>
      </c>
      <c r="J103" s="99">
        <f t="shared" si="19"/>
        <v>0</v>
      </c>
      <c r="K103" s="113">
        <f t="shared" si="20"/>
        <v>2024</v>
      </c>
      <c r="L103" s="113">
        <f t="shared" si="21"/>
        <v>4</v>
      </c>
      <c r="M103" s="115">
        <f t="array" ref="M103">MIN(IF(Consolidado!$A$6:$A$1000='TOTALES DIARIOS'!A103,IF(Consolidado!$C$6:$C$1000&gt;TIMEVALUE("07:00"),Consolidado!$C$6:$C$1000,1)))</f>
        <v>0</v>
      </c>
      <c r="N103" s="115">
        <f t="array" ref="N103">MIN(IF(Consolidado!$A$6:$A$1000='TOTALES DIARIOS'!A103,IF(Consolidado!$C$6:$C$1000&lt;=M103,Consolidado!$C$6:$C$1000,1)))</f>
        <v>0</v>
      </c>
      <c r="O103" s="115">
        <f t="array" ref="O103">MAX(IF(Consolidado!$A$6:$A$1000='TOTALES DIARIOS'!A103,IF(Consolidado!$D$6:$D$1000&gt;=M103,Consolidado!$D$6:$D$1000,0)))</f>
        <v>0</v>
      </c>
      <c r="P103" s="118">
        <f t="array" ref="P103">MAX(IF(Consolidado!$A$6:$A$1000='TOTALES DIARIOS'!A103,IF(Consolidado!$D$6:$D$1000&lt;=M103,Consolidado!$D$6:$D$1000,0)))</f>
        <v>0</v>
      </c>
      <c r="Q103" s="117">
        <f t="shared" si="25"/>
        <v>0</v>
      </c>
      <c r="R103" s="117">
        <f t="shared" si="24"/>
        <v>0</v>
      </c>
      <c r="S103" s="104" t="str">
        <f t="shared" si="22"/>
        <v>NO</v>
      </c>
    </row>
    <row r="104" spans="1:19" x14ac:dyDescent="0.25">
      <c r="A104" s="221">
        <f t="shared" si="23"/>
        <v>45392</v>
      </c>
      <c r="B104" s="130" t="str">
        <f t="shared" si="14"/>
        <v/>
      </c>
      <c r="C104" s="217">
        <f t="shared" si="15"/>
        <v>0</v>
      </c>
      <c r="D104" s="217">
        <f t="shared" si="16"/>
        <v>0</v>
      </c>
      <c r="E104" s="218">
        <f>SUMIF(Consolidado!$A$6:$A$380,'TOTALES DIARIOS'!A104,Consolidado!$E$6:$E$380)</f>
        <v>0</v>
      </c>
      <c r="F104" s="218">
        <f>SUMIF(Consolidado!$A$6:$A$380,'TOTALES DIARIOS'!A104,Consolidado!$F$6:$F$380)</f>
        <v>0</v>
      </c>
      <c r="G104" s="218">
        <f>SUMIF(Consolidado!$A$6:$A$380,'TOTALES DIARIOS'!A104,Consolidado!$G$6:$G$380)</f>
        <v>0</v>
      </c>
      <c r="H104" s="219">
        <f t="shared" si="17"/>
        <v>0</v>
      </c>
      <c r="I104" s="99">
        <f t="shared" si="18"/>
        <v>0</v>
      </c>
      <c r="J104" s="99">
        <f t="shared" si="19"/>
        <v>0</v>
      </c>
      <c r="K104" s="113">
        <f t="shared" si="20"/>
        <v>2024</v>
      </c>
      <c r="L104" s="113">
        <f t="shared" si="21"/>
        <v>4</v>
      </c>
      <c r="M104" s="115">
        <f t="array" ref="M104">MIN(IF(Consolidado!$A$6:$A$1000='TOTALES DIARIOS'!A104,IF(Consolidado!$C$6:$C$1000&gt;TIMEVALUE("07:00"),Consolidado!$C$6:$C$1000,1)))</f>
        <v>0</v>
      </c>
      <c r="N104" s="115">
        <f t="array" ref="N104">MIN(IF(Consolidado!$A$6:$A$1000='TOTALES DIARIOS'!A104,IF(Consolidado!$C$6:$C$1000&lt;=M104,Consolidado!$C$6:$C$1000,1)))</f>
        <v>0</v>
      </c>
      <c r="O104" s="115">
        <f t="array" ref="O104">MAX(IF(Consolidado!$A$6:$A$1000='TOTALES DIARIOS'!A104,IF(Consolidado!$D$6:$D$1000&gt;=M104,Consolidado!$D$6:$D$1000,0)))</f>
        <v>0</v>
      </c>
      <c r="P104" s="118">
        <f t="array" ref="P104">MAX(IF(Consolidado!$A$6:$A$1000='TOTALES DIARIOS'!A104,IF(Consolidado!$D$6:$D$1000&lt;=M104,Consolidado!$D$6:$D$1000,0)))</f>
        <v>0</v>
      </c>
      <c r="Q104" s="117">
        <f t="shared" si="25"/>
        <v>0</v>
      </c>
      <c r="R104" s="117">
        <f t="shared" si="24"/>
        <v>0</v>
      </c>
      <c r="S104" s="104" t="str">
        <f t="shared" si="22"/>
        <v>NO</v>
      </c>
    </row>
    <row r="105" spans="1:19" x14ac:dyDescent="0.25">
      <c r="A105" s="221">
        <f t="shared" si="23"/>
        <v>45393</v>
      </c>
      <c r="B105" s="130" t="str">
        <f t="shared" si="14"/>
        <v/>
      </c>
      <c r="C105" s="217">
        <f t="shared" si="15"/>
        <v>0</v>
      </c>
      <c r="D105" s="217">
        <f t="shared" si="16"/>
        <v>0</v>
      </c>
      <c r="E105" s="218">
        <f>SUMIF(Consolidado!$A$6:$A$380,'TOTALES DIARIOS'!A105,Consolidado!$E$6:$E$380)</f>
        <v>0</v>
      </c>
      <c r="F105" s="218">
        <f>SUMIF(Consolidado!$A$6:$A$380,'TOTALES DIARIOS'!A105,Consolidado!$F$6:$F$380)</f>
        <v>0</v>
      </c>
      <c r="G105" s="218">
        <f>SUMIF(Consolidado!$A$6:$A$380,'TOTALES DIARIOS'!A105,Consolidado!$G$6:$G$380)</f>
        <v>0</v>
      </c>
      <c r="H105" s="219">
        <f t="shared" si="17"/>
        <v>0</v>
      </c>
      <c r="I105" s="99">
        <f t="shared" si="18"/>
        <v>0</v>
      </c>
      <c r="J105" s="99">
        <f t="shared" si="19"/>
        <v>0</v>
      </c>
      <c r="K105" s="113">
        <f t="shared" si="20"/>
        <v>2024</v>
      </c>
      <c r="L105" s="113">
        <f t="shared" si="21"/>
        <v>4</v>
      </c>
      <c r="M105" s="115">
        <f t="array" ref="M105">MIN(IF(Consolidado!$A$6:$A$1000='TOTALES DIARIOS'!A105,IF(Consolidado!$C$6:$C$1000&gt;TIMEVALUE("07:00"),Consolidado!$C$6:$C$1000,1)))</f>
        <v>0</v>
      </c>
      <c r="N105" s="115">
        <f t="array" ref="N105">MIN(IF(Consolidado!$A$6:$A$1000='TOTALES DIARIOS'!A105,IF(Consolidado!$C$6:$C$1000&lt;=M105,Consolidado!$C$6:$C$1000,1)))</f>
        <v>0</v>
      </c>
      <c r="O105" s="115">
        <f t="array" ref="O105">MAX(IF(Consolidado!$A$6:$A$1000='TOTALES DIARIOS'!A105,IF(Consolidado!$D$6:$D$1000&gt;=M105,Consolidado!$D$6:$D$1000,0)))</f>
        <v>0</v>
      </c>
      <c r="P105" s="118">
        <f t="array" ref="P105">MAX(IF(Consolidado!$A$6:$A$1000='TOTALES DIARIOS'!A105,IF(Consolidado!$D$6:$D$1000&lt;=M105,Consolidado!$D$6:$D$1000,0)))</f>
        <v>0</v>
      </c>
      <c r="Q105" s="117">
        <f t="shared" si="25"/>
        <v>0</v>
      </c>
      <c r="R105" s="117">
        <f t="shared" si="24"/>
        <v>0</v>
      </c>
      <c r="S105" s="104" t="str">
        <f t="shared" si="22"/>
        <v>NO</v>
      </c>
    </row>
    <row r="106" spans="1:19" x14ac:dyDescent="0.25">
      <c r="A106" s="221">
        <f t="shared" si="23"/>
        <v>45394</v>
      </c>
      <c r="B106" s="130" t="str">
        <f t="shared" si="14"/>
        <v/>
      </c>
      <c r="C106" s="217">
        <f t="shared" si="15"/>
        <v>0</v>
      </c>
      <c r="D106" s="217">
        <f t="shared" si="16"/>
        <v>0</v>
      </c>
      <c r="E106" s="218">
        <f>SUMIF(Consolidado!$A$6:$A$380,'TOTALES DIARIOS'!A106,Consolidado!$E$6:$E$380)</f>
        <v>0</v>
      </c>
      <c r="F106" s="218">
        <f>SUMIF(Consolidado!$A$6:$A$380,'TOTALES DIARIOS'!A106,Consolidado!$F$6:$F$380)</f>
        <v>0</v>
      </c>
      <c r="G106" s="218">
        <f>SUMIF(Consolidado!$A$6:$A$380,'TOTALES DIARIOS'!A106,Consolidado!$G$6:$G$380)</f>
        <v>0</v>
      </c>
      <c r="H106" s="219">
        <f t="shared" si="17"/>
        <v>0</v>
      </c>
      <c r="I106" s="99">
        <f t="shared" si="18"/>
        <v>0</v>
      </c>
      <c r="J106" s="99">
        <f t="shared" si="19"/>
        <v>0</v>
      </c>
      <c r="K106" s="113">
        <f t="shared" si="20"/>
        <v>2024</v>
      </c>
      <c r="L106" s="113">
        <f t="shared" si="21"/>
        <v>4</v>
      </c>
      <c r="M106" s="115">
        <f t="array" ref="M106">MIN(IF(Consolidado!$A$6:$A$1000='TOTALES DIARIOS'!A106,IF(Consolidado!$C$6:$C$1000&gt;TIMEVALUE("07:00"),Consolidado!$C$6:$C$1000,1)))</f>
        <v>0</v>
      </c>
      <c r="N106" s="115">
        <f t="array" ref="N106">MIN(IF(Consolidado!$A$6:$A$1000='TOTALES DIARIOS'!A106,IF(Consolidado!$C$6:$C$1000&lt;=M106,Consolidado!$C$6:$C$1000,1)))</f>
        <v>0</v>
      </c>
      <c r="O106" s="115">
        <f t="array" ref="O106">MAX(IF(Consolidado!$A$6:$A$1000='TOTALES DIARIOS'!A106,IF(Consolidado!$D$6:$D$1000&gt;=M106,Consolidado!$D$6:$D$1000,0)))</f>
        <v>0</v>
      </c>
      <c r="P106" s="118">
        <f t="array" ref="P106">MAX(IF(Consolidado!$A$6:$A$1000='TOTALES DIARIOS'!A106,IF(Consolidado!$D$6:$D$1000&lt;=M106,Consolidado!$D$6:$D$1000,0)))</f>
        <v>0</v>
      </c>
      <c r="Q106" s="117">
        <f t="shared" si="25"/>
        <v>0</v>
      </c>
      <c r="R106" s="117">
        <f t="shared" si="24"/>
        <v>0</v>
      </c>
      <c r="S106" s="104" t="str">
        <f t="shared" si="22"/>
        <v>NO</v>
      </c>
    </row>
    <row r="107" spans="1:19" x14ac:dyDescent="0.25">
      <c r="A107" s="221">
        <f t="shared" si="23"/>
        <v>45395</v>
      </c>
      <c r="B107" s="130" t="str">
        <f t="shared" si="14"/>
        <v/>
      </c>
      <c r="C107" s="217">
        <f t="shared" si="15"/>
        <v>0</v>
      </c>
      <c r="D107" s="217">
        <f t="shared" si="16"/>
        <v>0</v>
      </c>
      <c r="E107" s="218">
        <f>SUMIF(Consolidado!$A$6:$A$380,'TOTALES DIARIOS'!A107,Consolidado!$E$6:$E$380)</f>
        <v>0</v>
      </c>
      <c r="F107" s="218">
        <f>SUMIF(Consolidado!$A$6:$A$380,'TOTALES DIARIOS'!A107,Consolidado!$F$6:$F$380)</f>
        <v>0</v>
      </c>
      <c r="G107" s="218">
        <f>SUMIF(Consolidado!$A$6:$A$380,'TOTALES DIARIOS'!A107,Consolidado!$G$6:$G$380)</f>
        <v>0</v>
      </c>
      <c r="H107" s="219">
        <f t="shared" si="17"/>
        <v>0</v>
      </c>
      <c r="I107" s="99">
        <f t="shared" si="18"/>
        <v>0</v>
      </c>
      <c r="J107" s="99">
        <f t="shared" si="19"/>
        <v>0</v>
      </c>
      <c r="K107" s="113">
        <f t="shared" si="20"/>
        <v>2024</v>
      </c>
      <c r="L107" s="113">
        <f t="shared" si="21"/>
        <v>4</v>
      </c>
      <c r="M107" s="115">
        <f t="array" ref="M107">MIN(IF(Consolidado!$A$6:$A$1000='TOTALES DIARIOS'!A107,IF(Consolidado!$C$6:$C$1000&gt;TIMEVALUE("07:00"),Consolidado!$C$6:$C$1000,1)))</f>
        <v>0</v>
      </c>
      <c r="N107" s="115">
        <f t="array" ref="N107">MIN(IF(Consolidado!$A$6:$A$1000='TOTALES DIARIOS'!A107,IF(Consolidado!$C$6:$C$1000&lt;=M107,Consolidado!$C$6:$C$1000,1)))</f>
        <v>0</v>
      </c>
      <c r="O107" s="115">
        <f t="array" ref="O107">MAX(IF(Consolidado!$A$6:$A$1000='TOTALES DIARIOS'!A107,IF(Consolidado!$D$6:$D$1000&gt;=M107,Consolidado!$D$6:$D$1000,0)))</f>
        <v>0</v>
      </c>
      <c r="P107" s="118">
        <f t="array" ref="P107">MAX(IF(Consolidado!$A$6:$A$1000='TOTALES DIARIOS'!A107,IF(Consolidado!$D$6:$D$1000&lt;=M107,Consolidado!$D$6:$D$1000,0)))</f>
        <v>0</v>
      </c>
      <c r="Q107" s="117">
        <f t="shared" si="25"/>
        <v>0</v>
      </c>
      <c r="R107" s="117">
        <f t="shared" si="24"/>
        <v>0</v>
      </c>
      <c r="S107" s="104" t="str">
        <f t="shared" si="22"/>
        <v>NO</v>
      </c>
    </row>
    <row r="108" spans="1:19" x14ac:dyDescent="0.25">
      <c r="A108" s="221">
        <f t="shared" si="23"/>
        <v>45396</v>
      </c>
      <c r="B108" s="130" t="str">
        <f t="shared" si="14"/>
        <v/>
      </c>
      <c r="C108" s="217">
        <f t="shared" si="15"/>
        <v>0</v>
      </c>
      <c r="D108" s="217">
        <f t="shared" si="16"/>
        <v>0</v>
      </c>
      <c r="E108" s="218">
        <f>SUMIF(Consolidado!$A$6:$A$380,'TOTALES DIARIOS'!A108,Consolidado!$E$6:$E$380)</f>
        <v>0</v>
      </c>
      <c r="F108" s="218">
        <f>SUMIF(Consolidado!$A$6:$A$380,'TOTALES DIARIOS'!A108,Consolidado!$F$6:$F$380)</f>
        <v>0</v>
      </c>
      <c r="G108" s="218">
        <f>SUMIF(Consolidado!$A$6:$A$380,'TOTALES DIARIOS'!A108,Consolidado!$G$6:$G$380)</f>
        <v>0</v>
      </c>
      <c r="H108" s="219">
        <f t="shared" si="17"/>
        <v>0</v>
      </c>
      <c r="I108" s="99">
        <f t="shared" si="18"/>
        <v>0</v>
      </c>
      <c r="J108" s="99">
        <f t="shared" si="19"/>
        <v>0</v>
      </c>
      <c r="K108" s="113">
        <f t="shared" si="20"/>
        <v>2024</v>
      </c>
      <c r="L108" s="113">
        <f t="shared" si="21"/>
        <v>4</v>
      </c>
      <c r="M108" s="115">
        <f t="array" ref="M108">MIN(IF(Consolidado!$A$6:$A$1000='TOTALES DIARIOS'!A108,IF(Consolidado!$C$6:$C$1000&gt;TIMEVALUE("07:00"),Consolidado!$C$6:$C$1000,1)))</f>
        <v>0</v>
      </c>
      <c r="N108" s="115">
        <f t="array" ref="N108">MIN(IF(Consolidado!$A$6:$A$1000='TOTALES DIARIOS'!A108,IF(Consolidado!$C$6:$C$1000&lt;=M108,Consolidado!$C$6:$C$1000,1)))</f>
        <v>0</v>
      </c>
      <c r="O108" s="115">
        <f t="array" ref="O108">MAX(IF(Consolidado!$A$6:$A$1000='TOTALES DIARIOS'!A108,IF(Consolidado!$D$6:$D$1000&gt;=M108,Consolidado!$D$6:$D$1000,0)))</f>
        <v>0</v>
      </c>
      <c r="P108" s="118">
        <f t="array" ref="P108">MAX(IF(Consolidado!$A$6:$A$1000='TOTALES DIARIOS'!A108,IF(Consolidado!$D$6:$D$1000&lt;=M108,Consolidado!$D$6:$D$1000,0)))</f>
        <v>0</v>
      </c>
      <c r="Q108" s="117">
        <f t="shared" si="25"/>
        <v>0</v>
      </c>
      <c r="R108" s="117">
        <f t="shared" si="24"/>
        <v>0</v>
      </c>
      <c r="S108" s="104" t="str">
        <f t="shared" si="22"/>
        <v>NO</v>
      </c>
    </row>
    <row r="109" spans="1:19" x14ac:dyDescent="0.25">
      <c r="A109" s="221">
        <f t="shared" si="23"/>
        <v>45397</v>
      </c>
      <c r="B109" s="130" t="str">
        <f t="shared" si="14"/>
        <v/>
      </c>
      <c r="C109" s="217">
        <f t="shared" si="15"/>
        <v>0</v>
      </c>
      <c r="D109" s="217">
        <f t="shared" si="16"/>
        <v>0</v>
      </c>
      <c r="E109" s="218">
        <f>SUMIF(Consolidado!$A$6:$A$380,'TOTALES DIARIOS'!A109,Consolidado!$E$6:$E$380)</f>
        <v>0</v>
      </c>
      <c r="F109" s="218">
        <f>SUMIF(Consolidado!$A$6:$A$380,'TOTALES DIARIOS'!A109,Consolidado!$F$6:$F$380)</f>
        <v>0</v>
      </c>
      <c r="G109" s="218">
        <f>SUMIF(Consolidado!$A$6:$A$380,'TOTALES DIARIOS'!A109,Consolidado!$G$6:$G$380)</f>
        <v>0</v>
      </c>
      <c r="H109" s="219">
        <f t="shared" si="17"/>
        <v>0</v>
      </c>
      <c r="I109" s="99">
        <f t="shared" si="18"/>
        <v>0</v>
      </c>
      <c r="J109" s="99">
        <f t="shared" si="19"/>
        <v>0</v>
      </c>
      <c r="K109" s="113">
        <f t="shared" si="20"/>
        <v>2024</v>
      </c>
      <c r="L109" s="113">
        <f t="shared" si="21"/>
        <v>4</v>
      </c>
      <c r="M109" s="115">
        <f t="array" ref="M109">MIN(IF(Consolidado!$A$6:$A$1000='TOTALES DIARIOS'!A109,IF(Consolidado!$C$6:$C$1000&gt;TIMEVALUE("07:00"),Consolidado!$C$6:$C$1000,1)))</f>
        <v>0</v>
      </c>
      <c r="N109" s="115">
        <f t="array" ref="N109">MIN(IF(Consolidado!$A$6:$A$1000='TOTALES DIARIOS'!A109,IF(Consolidado!$C$6:$C$1000&lt;=M109,Consolidado!$C$6:$C$1000,1)))</f>
        <v>0</v>
      </c>
      <c r="O109" s="115">
        <f t="array" ref="O109">MAX(IF(Consolidado!$A$6:$A$1000='TOTALES DIARIOS'!A109,IF(Consolidado!$D$6:$D$1000&gt;=M109,Consolidado!$D$6:$D$1000,0)))</f>
        <v>0</v>
      </c>
      <c r="P109" s="118">
        <f t="array" ref="P109">MAX(IF(Consolidado!$A$6:$A$1000='TOTALES DIARIOS'!A109,IF(Consolidado!$D$6:$D$1000&lt;=M109,Consolidado!$D$6:$D$1000,0)))</f>
        <v>0</v>
      </c>
      <c r="Q109" s="117">
        <f t="shared" si="25"/>
        <v>0</v>
      </c>
      <c r="R109" s="117">
        <f t="shared" si="24"/>
        <v>0</v>
      </c>
      <c r="S109" s="104" t="str">
        <f t="shared" si="22"/>
        <v>NO</v>
      </c>
    </row>
    <row r="110" spans="1:19" x14ac:dyDescent="0.25">
      <c r="A110" s="221">
        <f t="shared" si="23"/>
        <v>45398</v>
      </c>
      <c r="B110" s="130" t="str">
        <f t="shared" si="14"/>
        <v/>
      </c>
      <c r="C110" s="217">
        <f t="shared" si="15"/>
        <v>0</v>
      </c>
      <c r="D110" s="217">
        <f t="shared" si="16"/>
        <v>0</v>
      </c>
      <c r="E110" s="218">
        <f>SUMIF(Consolidado!$A$6:$A$380,'TOTALES DIARIOS'!A110,Consolidado!$E$6:$E$380)</f>
        <v>0</v>
      </c>
      <c r="F110" s="218">
        <f>SUMIF(Consolidado!$A$6:$A$380,'TOTALES DIARIOS'!A110,Consolidado!$F$6:$F$380)</f>
        <v>0</v>
      </c>
      <c r="G110" s="218">
        <f>SUMIF(Consolidado!$A$6:$A$380,'TOTALES DIARIOS'!A110,Consolidado!$G$6:$G$380)</f>
        <v>0</v>
      </c>
      <c r="H110" s="219">
        <f t="shared" si="17"/>
        <v>0</v>
      </c>
      <c r="I110" s="99">
        <f t="shared" si="18"/>
        <v>0</v>
      </c>
      <c r="J110" s="99">
        <f t="shared" si="19"/>
        <v>0</v>
      </c>
      <c r="K110" s="113">
        <f t="shared" si="20"/>
        <v>2024</v>
      </c>
      <c r="L110" s="113">
        <f t="shared" si="21"/>
        <v>4</v>
      </c>
      <c r="M110" s="115">
        <f t="array" ref="M110">MIN(IF(Consolidado!$A$6:$A$1000='TOTALES DIARIOS'!A110,IF(Consolidado!$C$6:$C$1000&gt;TIMEVALUE("07:00"),Consolidado!$C$6:$C$1000,1)))</f>
        <v>0</v>
      </c>
      <c r="N110" s="115">
        <f t="array" ref="N110">MIN(IF(Consolidado!$A$6:$A$1000='TOTALES DIARIOS'!A110,IF(Consolidado!$C$6:$C$1000&lt;=M110,Consolidado!$C$6:$C$1000,1)))</f>
        <v>0</v>
      </c>
      <c r="O110" s="115">
        <f t="array" ref="O110">MAX(IF(Consolidado!$A$6:$A$1000='TOTALES DIARIOS'!A110,IF(Consolidado!$D$6:$D$1000&gt;=M110,Consolidado!$D$6:$D$1000,0)))</f>
        <v>0</v>
      </c>
      <c r="P110" s="118">
        <f t="array" ref="P110">MAX(IF(Consolidado!$A$6:$A$1000='TOTALES DIARIOS'!A110,IF(Consolidado!$D$6:$D$1000&lt;=M110,Consolidado!$D$6:$D$1000,0)))</f>
        <v>0</v>
      </c>
      <c r="Q110" s="117">
        <f t="shared" si="25"/>
        <v>0</v>
      </c>
      <c r="R110" s="117">
        <f t="shared" si="24"/>
        <v>0</v>
      </c>
      <c r="S110" s="104" t="str">
        <f t="shared" si="22"/>
        <v>NO</v>
      </c>
    </row>
    <row r="111" spans="1:19" x14ac:dyDescent="0.25">
      <c r="A111" s="221">
        <f t="shared" si="23"/>
        <v>45399</v>
      </c>
      <c r="B111" s="130" t="str">
        <f t="shared" si="14"/>
        <v/>
      </c>
      <c r="C111" s="217">
        <f t="shared" si="15"/>
        <v>0</v>
      </c>
      <c r="D111" s="217">
        <f t="shared" si="16"/>
        <v>0</v>
      </c>
      <c r="E111" s="218">
        <f>SUMIF(Consolidado!$A$6:$A$380,'TOTALES DIARIOS'!A111,Consolidado!$E$6:$E$380)</f>
        <v>0</v>
      </c>
      <c r="F111" s="218">
        <f>SUMIF(Consolidado!$A$6:$A$380,'TOTALES DIARIOS'!A111,Consolidado!$F$6:$F$380)</f>
        <v>0</v>
      </c>
      <c r="G111" s="218">
        <f>SUMIF(Consolidado!$A$6:$A$380,'TOTALES DIARIOS'!A111,Consolidado!$G$6:$G$380)</f>
        <v>0</v>
      </c>
      <c r="H111" s="219">
        <f t="shared" si="17"/>
        <v>0</v>
      </c>
      <c r="I111" s="99">
        <f t="shared" si="18"/>
        <v>0</v>
      </c>
      <c r="J111" s="99">
        <f t="shared" si="19"/>
        <v>0</v>
      </c>
      <c r="K111" s="113">
        <f t="shared" si="20"/>
        <v>2024</v>
      </c>
      <c r="L111" s="113">
        <f t="shared" si="21"/>
        <v>4</v>
      </c>
      <c r="M111" s="115">
        <f t="array" ref="M111">MIN(IF(Consolidado!$A$6:$A$1000='TOTALES DIARIOS'!A111,IF(Consolidado!$C$6:$C$1000&gt;TIMEVALUE("07:00"),Consolidado!$C$6:$C$1000,1)))</f>
        <v>0</v>
      </c>
      <c r="N111" s="115">
        <f t="array" ref="N111">MIN(IF(Consolidado!$A$6:$A$1000='TOTALES DIARIOS'!A111,IF(Consolidado!$C$6:$C$1000&lt;=M111,Consolidado!$C$6:$C$1000,1)))</f>
        <v>0</v>
      </c>
      <c r="O111" s="115">
        <f t="array" ref="O111">MAX(IF(Consolidado!$A$6:$A$1000='TOTALES DIARIOS'!A111,IF(Consolidado!$D$6:$D$1000&gt;=M111,Consolidado!$D$6:$D$1000,0)))</f>
        <v>0</v>
      </c>
      <c r="P111" s="118">
        <f t="array" ref="P111">MAX(IF(Consolidado!$A$6:$A$1000='TOTALES DIARIOS'!A111,IF(Consolidado!$D$6:$D$1000&lt;=M111,Consolidado!$D$6:$D$1000,0)))</f>
        <v>0</v>
      </c>
      <c r="Q111" s="117">
        <f t="shared" si="25"/>
        <v>0</v>
      </c>
      <c r="R111" s="117">
        <f t="shared" si="24"/>
        <v>0</v>
      </c>
      <c r="S111" s="104" t="str">
        <f t="shared" si="22"/>
        <v>NO</v>
      </c>
    </row>
    <row r="112" spans="1:19" x14ac:dyDescent="0.25">
      <c r="A112" s="221">
        <f t="shared" si="23"/>
        <v>45400</v>
      </c>
      <c r="B112" s="130" t="str">
        <f t="shared" si="14"/>
        <v/>
      </c>
      <c r="C112" s="217">
        <f t="shared" si="15"/>
        <v>0</v>
      </c>
      <c r="D112" s="217">
        <f t="shared" si="16"/>
        <v>0</v>
      </c>
      <c r="E112" s="218">
        <f>SUMIF(Consolidado!$A$6:$A$380,'TOTALES DIARIOS'!A112,Consolidado!$E$6:$E$380)</f>
        <v>0</v>
      </c>
      <c r="F112" s="218">
        <f>SUMIF(Consolidado!$A$6:$A$380,'TOTALES DIARIOS'!A112,Consolidado!$F$6:$F$380)</f>
        <v>0</v>
      </c>
      <c r="G112" s="218">
        <f>SUMIF(Consolidado!$A$6:$A$380,'TOTALES DIARIOS'!A112,Consolidado!$G$6:$G$380)</f>
        <v>0</v>
      </c>
      <c r="H112" s="219">
        <f t="shared" si="17"/>
        <v>0</v>
      </c>
      <c r="I112" s="99">
        <f t="shared" si="18"/>
        <v>0</v>
      </c>
      <c r="J112" s="99">
        <f t="shared" si="19"/>
        <v>0</v>
      </c>
      <c r="K112" s="113">
        <f t="shared" si="20"/>
        <v>2024</v>
      </c>
      <c r="L112" s="113">
        <f t="shared" si="21"/>
        <v>4</v>
      </c>
      <c r="M112" s="115">
        <f t="array" ref="M112">MIN(IF(Consolidado!$A$6:$A$1000='TOTALES DIARIOS'!A112,IF(Consolidado!$C$6:$C$1000&gt;TIMEVALUE("07:00"),Consolidado!$C$6:$C$1000,1)))</f>
        <v>0</v>
      </c>
      <c r="N112" s="115">
        <f t="array" ref="N112">MIN(IF(Consolidado!$A$6:$A$1000='TOTALES DIARIOS'!A112,IF(Consolidado!$C$6:$C$1000&lt;=M112,Consolidado!$C$6:$C$1000,1)))</f>
        <v>0</v>
      </c>
      <c r="O112" s="115">
        <f t="array" ref="O112">MAX(IF(Consolidado!$A$6:$A$1000='TOTALES DIARIOS'!A112,IF(Consolidado!$D$6:$D$1000&gt;=M112,Consolidado!$D$6:$D$1000,0)))</f>
        <v>0</v>
      </c>
      <c r="P112" s="118">
        <f t="array" ref="P112">MAX(IF(Consolidado!$A$6:$A$1000='TOTALES DIARIOS'!A112,IF(Consolidado!$D$6:$D$1000&lt;=M112,Consolidado!$D$6:$D$1000,0)))</f>
        <v>0</v>
      </c>
      <c r="Q112" s="117">
        <f t="shared" si="25"/>
        <v>0</v>
      </c>
      <c r="R112" s="117">
        <f t="shared" si="24"/>
        <v>0</v>
      </c>
      <c r="S112" s="104" t="str">
        <f t="shared" si="22"/>
        <v>NO</v>
      </c>
    </row>
    <row r="113" spans="1:19" x14ac:dyDescent="0.25">
      <c r="A113" s="221">
        <f t="shared" si="23"/>
        <v>45401</v>
      </c>
      <c r="B113" s="130" t="str">
        <f t="shared" si="14"/>
        <v/>
      </c>
      <c r="C113" s="217">
        <f t="shared" si="15"/>
        <v>0</v>
      </c>
      <c r="D113" s="217">
        <f t="shared" si="16"/>
        <v>0</v>
      </c>
      <c r="E113" s="218">
        <f>SUMIF(Consolidado!$A$6:$A$380,'TOTALES DIARIOS'!A113,Consolidado!$E$6:$E$380)</f>
        <v>0</v>
      </c>
      <c r="F113" s="218">
        <f>SUMIF(Consolidado!$A$6:$A$380,'TOTALES DIARIOS'!A113,Consolidado!$F$6:$F$380)</f>
        <v>0</v>
      </c>
      <c r="G113" s="218">
        <f>SUMIF(Consolidado!$A$6:$A$380,'TOTALES DIARIOS'!A113,Consolidado!$G$6:$G$380)</f>
        <v>0</v>
      </c>
      <c r="H113" s="219">
        <f t="shared" si="17"/>
        <v>0</v>
      </c>
      <c r="I113" s="99">
        <f t="shared" si="18"/>
        <v>0</v>
      </c>
      <c r="J113" s="99">
        <f t="shared" si="19"/>
        <v>0</v>
      </c>
      <c r="K113" s="113">
        <f t="shared" si="20"/>
        <v>2024</v>
      </c>
      <c r="L113" s="113">
        <f t="shared" si="21"/>
        <v>4</v>
      </c>
      <c r="M113" s="115">
        <f t="array" ref="M113">MIN(IF(Consolidado!$A$6:$A$1000='TOTALES DIARIOS'!A113,IF(Consolidado!$C$6:$C$1000&gt;TIMEVALUE("07:00"),Consolidado!$C$6:$C$1000,1)))</f>
        <v>0</v>
      </c>
      <c r="N113" s="115">
        <f t="array" ref="N113">MIN(IF(Consolidado!$A$6:$A$1000='TOTALES DIARIOS'!A113,IF(Consolidado!$C$6:$C$1000&lt;=M113,Consolidado!$C$6:$C$1000,1)))</f>
        <v>0</v>
      </c>
      <c r="O113" s="115">
        <f t="array" ref="O113">MAX(IF(Consolidado!$A$6:$A$1000='TOTALES DIARIOS'!A113,IF(Consolidado!$D$6:$D$1000&gt;=M113,Consolidado!$D$6:$D$1000,0)))</f>
        <v>0</v>
      </c>
      <c r="P113" s="118">
        <f t="array" ref="P113">MAX(IF(Consolidado!$A$6:$A$1000='TOTALES DIARIOS'!A113,IF(Consolidado!$D$6:$D$1000&lt;=M113,Consolidado!$D$6:$D$1000,0)))</f>
        <v>0</v>
      </c>
      <c r="Q113" s="117">
        <f t="shared" si="25"/>
        <v>0</v>
      </c>
      <c r="R113" s="117">
        <f t="shared" si="24"/>
        <v>0</v>
      </c>
      <c r="S113" s="104" t="str">
        <f t="shared" si="22"/>
        <v>NO</v>
      </c>
    </row>
    <row r="114" spans="1:19" x14ac:dyDescent="0.25">
      <c r="A114" s="221">
        <f t="shared" si="23"/>
        <v>45402</v>
      </c>
      <c r="B114" s="130" t="str">
        <f t="shared" si="14"/>
        <v/>
      </c>
      <c r="C114" s="217">
        <f t="shared" si="15"/>
        <v>0</v>
      </c>
      <c r="D114" s="217">
        <f t="shared" si="16"/>
        <v>0</v>
      </c>
      <c r="E114" s="218">
        <f>SUMIF(Consolidado!$A$6:$A$380,'TOTALES DIARIOS'!A114,Consolidado!$E$6:$E$380)</f>
        <v>0</v>
      </c>
      <c r="F114" s="218">
        <f>SUMIF(Consolidado!$A$6:$A$380,'TOTALES DIARIOS'!A114,Consolidado!$F$6:$F$380)</f>
        <v>0</v>
      </c>
      <c r="G114" s="218">
        <f>SUMIF(Consolidado!$A$6:$A$380,'TOTALES DIARIOS'!A114,Consolidado!$G$6:$G$380)</f>
        <v>0</v>
      </c>
      <c r="H114" s="219">
        <f t="shared" si="17"/>
        <v>0</v>
      </c>
      <c r="I114" s="99">
        <f t="shared" si="18"/>
        <v>0</v>
      </c>
      <c r="J114" s="99">
        <f t="shared" si="19"/>
        <v>0</v>
      </c>
      <c r="K114" s="113">
        <f t="shared" si="20"/>
        <v>2024</v>
      </c>
      <c r="L114" s="113">
        <f t="shared" si="21"/>
        <v>4</v>
      </c>
      <c r="M114" s="115">
        <f t="array" ref="M114">MIN(IF(Consolidado!$A$6:$A$1000='TOTALES DIARIOS'!A114,IF(Consolidado!$C$6:$C$1000&gt;TIMEVALUE("07:00"),Consolidado!$C$6:$C$1000,1)))</f>
        <v>0</v>
      </c>
      <c r="N114" s="115">
        <f t="array" ref="N114">MIN(IF(Consolidado!$A$6:$A$1000='TOTALES DIARIOS'!A114,IF(Consolidado!$C$6:$C$1000&lt;=M114,Consolidado!$C$6:$C$1000,1)))</f>
        <v>0</v>
      </c>
      <c r="O114" s="115">
        <f t="array" ref="O114">MAX(IF(Consolidado!$A$6:$A$1000='TOTALES DIARIOS'!A114,IF(Consolidado!$D$6:$D$1000&gt;=M114,Consolidado!$D$6:$D$1000,0)))</f>
        <v>0</v>
      </c>
      <c r="P114" s="118">
        <f t="array" ref="P114">MAX(IF(Consolidado!$A$6:$A$1000='TOTALES DIARIOS'!A114,IF(Consolidado!$D$6:$D$1000&lt;=M114,Consolidado!$D$6:$D$1000,0)))</f>
        <v>0</v>
      </c>
      <c r="Q114" s="117">
        <f t="shared" si="25"/>
        <v>0</v>
      </c>
      <c r="R114" s="117">
        <f t="shared" si="24"/>
        <v>0</v>
      </c>
      <c r="S114" s="104" t="str">
        <f t="shared" si="22"/>
        <v>NO</v>
      </c>
    </row>
    <row r="115" spans="1:19" x14ac:dyDescent="0.25">
      <c r="A115" s="221">
        <f t="shared" si="23"/>
        <v>45403</v>
      </c>
      <c r="B115" s="130" t="str">
        <f t="shared" si="14"/>
        <v/>
      </c>
      <c r="C115" s="217">
        <f t="shared" si="15"/>
        <v>0</v>
      </c>
      <c r="D115" s="217">
        <f t="shared" si="16"/>
        <v>0</v>
      </c>
      <c r="E115" s="218">
        <f>SUMIF(Consolidado!$A$6:$A$380,'TOTALES DIARIOS'!A115,Consolidado!$E$6:$E$380)</f>
        <v>0</v>
      </c>
      <c r="F115" s="218">
        <f>SUMIF(Consolidado!$A$6:$A$380,'TOTALES DIARIOS'!A115,Consolidado!$F$6:$F$380)</f>
        <v>0</v>
      </c>
      <c r="G115" s="218">
        <f>SUMIF(Consolidado!$A$6:$A$380,'TOTALES DIARIOS'!A115,Consolidado!$G$6:$G$380)</f>
        <v>0</v>
      </c>
      <c r="H115" s="219">
        <f t="shared" si="17"/>
        <v>0</v>
      </c>
      <c r="I115" s="99">
        <f t="shared" si="18"/>
        <v>0</v>
      </c>
      <c r="J115" s="99">
        <f t="shared" si="19"/>
        <v>0</v>
      </c>
      <c r="K115" s="113">
        <f t="shared" si="20"/>
        <v>2024</v>
      </c>
      <c r="L115" s="113">
        <f t="shared" si="21"/>
        <v>4</v>
      </c>
      <c r="M115" s="115">
        <f t="array" ref="M115">MIN(IF(Consolidado!$A$6:$A$1000='TOTALES DIARIOS'!A115,IF(Consolidado!$C$6:$C$1000&gt;TIMEVALUE("07:00"),Consolidado!$C$6:$C$1000,1)))</f>
        <v>0</v>
      </c>
      <c r="N115" s="115">
        <f t="array" ref="N115">MIN(IF(Consolidado!$A$6:$A$1000='TOTALES DIARIOS'!A115,IF(Consolidado!$C$6:$C$1000&lt;=M115,Consolidado!$C$6:$C$1000,1)))</f>
        <v>0</v>
      </c>
      <c r="O115" s="115">
        <f t="array" ref="O115">MAX(IF(Consolidado!$A$6:$A$1000='TOTALES DIARIOS'!A115,IF(Consolidado!$D$6:$D$1000&gt;=M115,Consolidado!$D$6:$D$1000,0)))</f>
        <v>0</v>
      </c>
      <c r="P115" s="118">
        <f t="array" ref="P115">MAX(IF(Consolidado!$A$6:$A$1000='TOTALES DIARIOS'!A115,IF(Consolidado!$D$6:$D$1000&lt;=M115,Consolidado!$D$6:$D$1000,0)))</f>
        <v>0</v>
      </c>
      <c r="Q115" s="117">
        <f t="shared" si="25"/>
        <v>0</v>
      </c>
      <c r="R115" s="117">
        <f t="shared" si="24"/>
        <v>0</v>
      </c>
      <c r="S115" s="104" t="str">
        <f t="shared" si="22"/>
        <v>NO</v>
      </c>
    </row>
    <row r="116" spans="1:19" x14ac:dyDescent="0.25">
      <c r="A116" s="221">
        <f t="shared" si="23"/>
        <v>45404</v>
      </c>
      <c r="B116" s="130" t="str">
        <f t="shared" si="14"/>
        <v/>
      </c>
      <c r="C116" s="217">
        <f t="shared" si="15"/>
        <v>0</v>
      </c>
      <c r="D116" s="217">
        <f t="shared" si="16"/>
        <v>0</v>
      </c>
      <c r="E116" s="218">
        <f>SUMIF(Consolidado!$A$6:$A$380,'TOTALES DIARIOS'!A116,Consolidado!$E$6:$E$380)</f>
        <v>0</v>
      </c>
      <c r="F116" s="218">
        <f>SUMIF(Consolidado!$A$6:$A$380,'TOTALES DIARIOS'!A116,Consolidado!$F$6:$F$380)</f>
        <v>0</v>
      </c>
      <c r="G116" s="218">
        <f>SUMIF(Consolidado!$A$6:$A$380,'TOTALES DIARIOS'!A116,Consolidado!$G$6:$G$380)</f>
        <v>0</v>
      </c>
      <c r="H116" s="219">
        <f t="shared" si="17"/>
        <v>0</v>
      </c>
      <c r="I116" s="99">
        <f t="shared" si="18"/>
        <v>0</v>
      </c>
      <c r="J116" s="99">
        <f t="shared" si="19"/>
        <v>0</v>
      </c>
      <c r="K116" s="113">
        <f t="shared" si="20"/>
        <v>2024</v>
      </c>
      <c r="L116" s="113">
        <f t="shared" si="21"/>
        <v>4</v>
      </c>
      <c r="M116" s="115">
        <f t="array" ref="M116">MIN(IF(Consolidado!$A$6:$A$1000='TOTALES DIARIOS'!A116,IF(Consolidado!$C$6:$C$1000&gt;TIMEVALUE("07:00"),Consolidado!$C$6:$C$1000,1)))</f>
        <v>0</v>
      </c>
      <c r="N116" s="115">
        <f t="array" ref="N116">MIN(IF(Consolidado!$A$6:$A$1000='TOTALES DIARIOS'!A116,IF(Consolidado!$C$6:$C$1000&lt;=M116,Consolidado!$C$6:$C$1000,1)))</f>
        <v>0</v>
      </c>
      <c r="O116" s="115">
        <f t="array" ref="O116">MAX(IF(Consolidado!$A$6:$A$1000='TOTALES DIARIOS'!A116,IF(Consolidado!$D$6:$D$1000&gt;=M116,Consolidado!$D$6:$D$1000,0)))</f>
        <v>0</v>
      </c>
      <c r="P116" s="118">
        <f t="array" ref="P116">MAX(IF(Consolidado!$A$6:$A$1000='TOTALES DIARIOS'!A116,IF(Consolidado!$D$6:$D$1000&lt;=M116,Consolidado!$D$6:$D$1000,0)))</f>
        <v>0</v>
      </c>
      <c r="Q116" s="117">
        <f t="shared" si="25"/>
        <v>0</v>
      </c>
      <c r="R116" s="117">
        <f t="shared" si="24"/>
        <v>0</v>
      </c>
      <c r="S116" s="104" t="str">
        <f t="shared" si="22"/>
        <v>NO</v>
      </c>
    </row>
    <row r="117" spans="1:19" x14ac:dyDescent="0.25">
      <c r="A117" s="221">
        <f t="shared" si="23"/>
        <v>45405</v>
      </c>
      <c r="B117" s="130" t="str">
        <f t="shared" si="14"/>
        <v/>
      </c>
      <c r="C117" s="217">
        <f t="shared" si="15"/>
        <v>0</v>
      </c>
      <c r="D117" s="217">
        <f t="shared" si="16"/>
        <v>0</v>
      </c>
      <c r="E117" s="218">
        <f>SUMIF(Consolidado!$A$6:$A$380,'TOTALES DIARIOS'!A117,Consolidado!$E$6:$E$380)</f>
        <v>0</v>
      </c>
      <c r="F117" s="218">
        <f>SUMIF(Consolidado!$A$6:$A$380,'TOTALES DIARIOS'!A117,Consolidado!$F$6:$F$380)</f>
        <v>0</v>
      </c>
      <c r="G117" s="218">
        <f>SUMIF(Consolidado!$A$6:$A$380,'TOTALES DIARIOS'!A117,Consolidado!$G$6:$G$380)</f>
        <v>0</v>
      </c>
      <c r="H117" s="219">
        <f t="shared" si="17"/>
        <v>0</v>
      </c>
      <c r="I117" s="99">
        <f t="shared" si="18"/>
        <v>0</v>
      </c>
      <c r="J117" s="99">
        <f t="shared" si="19"/>
        <v>0</v>
      </c>
      <c r="K117" s="113">
        <f t="shared" si="20"/>
        <v>2024</v>
      </c>
      <c r="L117" s="113">
        <f t="shared" si="21"/>
        <v>4</v>
      </c>
      <c r="M117" s="115">
        <f t="array" ref="M117">MIN(IF(Consolidado!$A$6:$A$1000='TOTALES DIARIOS'!A117,IF(Consolidado!$C$6:$C$1000&gt;TIMEVALUE("07:00"),Consolidado!$C$6:$C$1000,1)))</f>
        <v>0</v>
      </c>
      <c r="N117" s="115">
        <f t="array" ref="N117">MIN(IF(Consolidado!$A$6:$A$1000='TOTALES DIARIOS'!A117,IF(Consolidado!$C$6:$C$1000&lt;=M117,Consolidado!$C$6:$C$1000,1)))</f>
        <v>0</v>
      </c>
      <c r="O117" s="115">
        <f t="array" ref="O117">MAX(IF(Consolidado!$A$6:$A$1000='TOTALES DIARIOS'!A117,IF(Consolidado!$D$6:$D$1000&gt;=M117,Consolidado!$D$6:$D$1000,0)))</f>
        <v>0</v>
      </c>
      <c r="P117" s="118">
        <f t="array" ref="P117">MAX(IF(Consolidado!$A$6:$A$1000='TOTALES DIARIOS'!A117,IF(Consolidado!$D$6:$D$1000&lt;=M117,Consolidado!$D$6:$D$1000,0)))</f>
        <v>0</v>
      </c>
      <c r="Q117" s="117">
        <f t="shared" si="25"/>
        <v>0</v>
      </c>
      <c r="R117" s="117">
        <f t="shared" si="24"/>
        <v>0</v>
      </c>
      <c r="S117" s="104" t="str">
        <f t="shared" si="22"/>
        <v>NO</v>
      </c>
    </row>
    <row r="118" spans="1:19" x14ac:dyDescent="0.25">
      <c r="A118" s="221">
        <f t="shared" si="23"/>
        <v>45406</v>
      </c>
      <c r="B118" s="130" t="str">
        <f t="shared" si="14"/>
        <v/>
      </c>
      <c r="C118" s="217">
        <f t="shared" si="15"/>
        <v>0</v>
      </c>
      <c r="D118" s="217">
        <f t="shared" si="16"/>
        <v>0</v>
      </c>
      <c r="E118" s="218">
        <f>SUMIF(Consolidado!$A$6:$A$380,'TOTALES DIARIOS'!A118,Consolidado!$E$6:$E$380)</f>
        <v>0</v>
      </c>
      <c r="F118" s="218">
        <f>SUMIF(Consolidado!$A$6:$A$380,'TOTALES DIARIOS'!A118,Consolidado!$F$6:$F$380)</f>
        <v>0</v>
      </c>
      <c r="G118" s="218">
        <f>SUMIF(Consolidado!$A$6:$A$380,'TOTALES DIARIOS'!A118,Consolidado!$G$6:$G$380)</f>
        <v>0</v>
      </c>
      <c r="H118" s="219">
        <f t="shared" si="17"/>
        <v>0</v>
      </c>
      <c r="I118" s="99">
        <f t="shared" si="18"/>
        <v>0</v>
      </c>
      <c r="J118" s="99">
        <f t="shared" si="19"/>
        <v>0</v>
      </c>
      <c r="K118" s="113">
        <f t="shared" si="20"/>
        <v>2024</v>
      </c>
      <c r="L118" s="113">
        <f t="shared" si="21"/>
        <v>4</v>
      </c>
      <c r="M118" s="115">
        <f t="array" ref="M118">MIN(IF(Consolidado!$A$6:$A$1000='TOTALES DIARIOS'!A118,IF(Consolidado!$C$6:$C$1000&gt;TIMEVALUE("07:00"),Consolidado!$C$6:$C$1000,1)))</f>
        <v>0</v>
      </c>
      <c r="N118" s="115">
        <f t="array" ref="N118">MIN(IF(Consolidado!$A$6:$A$1000='TOTALES DIARIOS'!A118,IF(Consolidado!$C$6:$C$1000&lt;=M118,Consolidado!$C$6:$C$1000,1)))</f>
        <v>0</v>
      </c>
      <c r="O118" s="115">
        <f t="array" ref="O118">MAX(IF(Consolidado!$A$6:$A$1000='TOTALES DIARIOS'!A118,IF(Consolidado!$D$6:$D$1000&gt;=M118,Consolidado!$D$6:$D$1000,0)))</f>
        <v>0</v>
      </c>
      <c r="P118" s="118">
        <f t="array" ref="P118">MAX(IF(Consolidado!$A$6:$A$1000='TOTALES DIARIOS'!A118,IF(Consolidado!$D$6:$D$1000&lt;=M118,Consolidado!$D$6:$D$1000,0)))</f>
        <v>0</v>
      </c>
      <c r="Q118" s="117">
        <f t="shared" si="25"/>
        <v>0</v>
      </c>
      <c r="R118" s="117">
        <f t="shared" si="24"/>
        <v>0</v>
      </c>
      <c r="S118" s="104" t="str">
        <f t="shared" si="22"/>
        <v>NO</v>
      </c>
    </row>
    <row r="119" spans="1:19" x14ac:dyDescent="0.25">
      <c r="A119" s="221">
        <f t="shared" si="23"/>
        <v>45407</v>
      </c>
      <c r="B119" s="130" t="str">
        <f t="shared" si="14"/>
        <v/>
      </c>
      <c r="C119" s="217">
        <f t="shared" si="15"/>
        <v>0</v>
      </c>
      <c r="D119" s="217">
        <f t="shared" si="16"/>
        <v>0</v>
      </c>
      <c r="E119" s="218">
        <f>SUMIF(Consolidado!$A$6:$A$380,'TOTALES DIARIOS'!A119,Consolidado!$E$6:$E$380)</f>
        <v>0</v>
      </c>
      <c r="F119" s="218">
        <f>SUMIF(Consolidado!$A$6:$A$380,'TOTALES DIARIOS'!A119,Consolidado!$F$6:$F$380)</f>
        <v>0</v>
      </c>
      <c r="G119" s="218">
        <f>SUMIF(Consolidado!$A$6:$A$380,'TOTALES DIARIOS'!A119,Consolidado!$G$6:$G$380)</f>
        <v>0</v>
      </c>
      <c r="H119" s="219">
        <f t="shared" si="17"/>
        <v>0</v>
      </c>
      <c r="I119" s="99">
        <f t="shared" si="18"/>
        <v>0</v>
      </c>
      <c r="J119" s="99">
        <f t="shared" si="19"/>
        <v>0</v>
      </c>
      <c r="K119" s="113">
        <f t="shared" si="20"/>
        <v>2024</v>
      </c>
      <c r="L119" s="113">
        <f t="shared" si="21"/>
        <v>4</v>
      </c>
      <c r="M119" s="115">
        <f t="array" ref="M119">MIN(IF(Consolidado!$A$6:$A$1000='TOTALES DIARIOS'!A119,IF(Consolidado!$C$6:$C$1000&gt;TIMEVALUE("07:00"),Consolidado!$C$6:$C$1000,1)))</f>
        <v>0</v>
      </c>
      <c r="N119" s="115">
        <f t="array" ref="N119">MIN(IF(Consolidado!$A$6:$A$1000='TOTALES DIARIOS'!A119,IF(Consolidado!$C$6:$C$1000&lt;=M119,Consolidado!$C$6:$C$1000,1)))</f>
        <v>0</v>
      </c>
      <c r="O119" s="115">
        <f t="array" ref="O119">MAX(IF(Consolidado!$A$6:$A$1000='TOTALES DIARIOS'!A119,IF(Consolidado!$D$6:$D$1000&gt;=M119,Consolidado!$D$6:$D$1000,0)))</f>
        <v>0</v>
      </c>
      <c r="P119" s="118">
        <f t="array" ref="P119">MAX(IF(Consolidado!$A$6:$A$1000='TOTALES DIARIOS'!A119,IF(Consolidado!$D$6:$D$1000&lt;=M119,Consolidado!$D$6:$D$1000,0)))</f>
        <v>0</v>
      </c>
      <c r="Q119" s="117">
        <f t="shared" si="25"/>
        <v>0</v>
      </c>
      <c r="R119" s="117">
        <f t="shared" si="24"/>
        <v>0</v>
      </c>
      <c r="S119" s="104" t="str">
        <f t="shared" si="22"/>
        <v>NO</v>
      </c>
    </row>
    <row r="120" spans="1:19" x14ac:dyDescent="0.25">
      <c r="A120" s="221">
        <f t="shared" si="23"/>
        <v>45408</v>
      </c>
      <c r="B120" s="130" t="str">
        <f t="shared" si="14"/>
        <v/>
      </c>
      <c r="C120" s="217">
        <f t="shared" si="15"/>
        <v>0</v>
      </c>
      <c r="D120" s="217">
        <f t="shared" si="16"/>
        <v>0</v>
      </c>
      <c r="E120" s="218">
        <f>SUMIF(Consolidado!$A$6:$A$380,'TOTALES DIARIOS'!A120,Consolidado!$E$6:$E$380)</f>
        <v>0</v>
      </c>
      <c r="F120" s="218">
        <f>SUMIF(Consolidado!$A$6:$A$380,'TOTALES DIARIOS'!A120,Consolidado!$F$6:$F$380)</f>
        <v>0</v>
      </c>
      <c r="G120" s="218">
        <f>SUMIF(Consolidado!$A$6:$A$380,'TOTALES DIARIOS'!A120,Consolidado!$G$6:$G$380)</f>
        <v>0</v>
      </c>
      <c r="H120" s="219">
        <f t="shared" si="17"/>
        <v>0</v>
      </c>
      <c r="I120" s="99">
        <f t="shared" si="18"/>
        <v>0</v>
      </c>
      <c r="J120" s="99">
        <f t="shared" si="19"/>
        <v>0</v>
      </c>
      <c r="K120" s="113">
        <f t="shared" si="20"/>
        <v>2024</v>
      </c>
      <c r="L120" s="113">
        <f t="shared" si="21"/>
        <v>4</v>
      </c>
      <c r="M120" s="115">
        <f t="array" ref="M120">MIN(IF(Consolidado!$A$6:$A$1000='TOTALES DIARIOS'!A120,IF(Consolidado!$C$6:$C$1000&gt;TIMEVALUE("07:00"),Consolidado!$C$6:$C$1000,1)))</f>
        <v>0</v>
      </c>
      <c r="N120" s="115">
        <f t="array" ref="N120">MIN(IF(Consolidado!$A$6:$A$1000='TOTALES DIARIOS'!A120,IF(Consolidado!$C$6:$C$1000&lt;=M120,Consolidado!$C$6:$C$1000,1)))</f>
        <v>0</v>
      </c>
      <c r="O120" s="115">
        <f t="array" ref="O120">MAX(IF(Consolidado!$A$6:$A$1000='TOTALES DIARIOS'!A120,IF(Consolidado!$D$6:$D$1000&gt;=M120,Consolidado!$D$6:$D$1000,0)))</f>
        <v>0</v>
      </c>
      <c r="P120" s="118">
        <f t="array" ref="P120">MAX(IF(Consolidado!$A$6:$A$1000='TOTALES DIARIOS'!A120,IF(Consolidado!$D$6:$D$1000&lt;=M120,Consolidado!$D$6:$D$1000,0)))</f>
        <v>0</v>
      </c>
      <c r="Q120" s="117">
        <f t="shared" si="25"/>
        <v>0</v>
      </c>
      <c r="R120" s="117">
        <f t="shared" si="24"/>
        <v>0</v>
      </c>
      <c r="S120" s="104" t="str">
        <f t="shared" si="22"/>
        <v>NO</v>
      </c>
    </row>
    <row r="121" spans="1:19" x14ac:dyDescent="0.25">
      <c r="A121" s="221">
        <f t="shared" si="23"/>
        <v>45409</v>
      </c>
      <c r="B121" s="130" t="str">
        <f t="shared" si="14"/>
        <v/>
      </c>
      <c r="C121" s="217">
        <f t="shared" si="15"/>
        <v>0</v>
      </c>
      <c r="D121" s="217">
        <f t="shared" si="16"/>
        <v>0</v>
      </c>
      <c r="E121" s="218">
        <f>SUMIF(Consolidado!$A$6:$A$380,'TOTALES DIARIOS'!A121,Consolidado!$E$6:$E$380)</f>
        <v>0</v>
      </c>
      <c r="F121" s="218">
        <f>SUMIF(Consolidado!$A$6:$A$380,'TOTALES DIARIOS'!A121,Consolidado!$F$6:$F$380)</f>
        <v>0</v>
      </c>
      <c r="G121" s="218">
        <f>SUMIF(Consolidado!$A$6:$A$380,'TOTALES DIARIOS'!A121,Consolidado!$G$6:$G$380)</f>
        <v>0</v>
      </c>
      <c r="H121" s="219">
        <f t="shared" si="17"/>
        <v>0</v>
      </c>
      <c r="I121" s="99">
        <f t="shared" si="18"/>
        <v>0</v>
      </c>
      <c r="J121" s="99">
        <f t="shared" si="19"/>
        <v>0</v>
      </c>
      <c r="K121" s="113">
        <f t="shared" si="20"/>
        <v>2024</v>
      </c>
      <c r="L121" s="113">
        <f t="shared" si="21"/>
        <v>4</v>
      </c>
      <c r="M121" s="115">
        <f t="array" ref="M121">MIN(IF(Consolidado!$A$6:$A$1000='TOTALES DIARIOS'!A121,IF(Consolidado!$C$6:$C$1000&gt;TIMEVALUE("07:00"),Consolidado!$C$6:$C$1000,1)))</f>
        <v>0</v>
      </c>
      <c r="N121" s="115">
        <f t="array" ref="N121">MIN(IF(Consolidado!$A$6:$A$1000='TOTALES DIARIOS'!A121,IF(Consolidado!$C$6:$C$1000&lt;=M121,Consolidado!$C$6:$C$1000,1)))</f>
        <v>0</v>
      </c>
      <c r="O121" s="115">
        <f t="array" ref="O121">MAX(IF(Consolidado!$A$6:$A$1000='TOTALES DIARIOS'!A121,IF(Consolidado!$D$6:$D$1000&gt;=M121,Consolidado!$D$6:$D$1000,0)))</f>
        <v>0</v>
      </c>
      <c r="P121" s="118">
        <f t="array" ref="P121">MAX(IF(Consolidado!$A$6:$A$1000='TOTALES DIARIOS'!A121,IF(Consolidado!$D$6:$D$1000&lt;=M121,Consolidado!$D$6:$D$1000,0)))</f>
        <v>0</v>
      </c>
      <c r="Q121" s="117">
        <f t="shared" si="25"/>
        <v>0</v>
      </c>
      <c r="R121" s="117">
        <f t="shared" si="24"/>
        <v>0</v>
      </c>
      <c r="S121" s="104" t="str">
        <f t="shared" si="22"/>
        <v>NO</v>
      </c>
    </row>
    <row r="122" spans="1:19" x14ac:dyDescent="0.25">
      <c r="A122" s="221">
        <f t="shared" si="23"/>
        <v>45410</v>
      </c>
      <c r="B122" s="130" t="str">
        <f t="shared" si="14"/>
        <v/>
      </c>
      <c r="C122" s="217">
        <f t="shared" si="15"/>
        <v>0</v>
      </c>
      <c r="D122" s="217">
        <f t="shared" si="16"/>
        <v>0</v>
      </c>
      <c r="E122" s="218">
        <f>SUMIF(Consolidado!$A$6:$A$380,'TOTALES DIARIOS'!A122,Consolidado!$E$6:$E$380)</f>
        <v>0</v>
      </c>
      <c r="F122" s="218">
        <f>SUMIF(Consolidado!$A$6:$A$380,'TOTALES DIARIOS'!A122,Consolidado!$F$6:$F$380)</f>
        <v>0</v>
      </c>
      <c r="G122" s="218">
        <f>SUMIF(Consolidado!$A$6:$A$380,'TOTALES DIARIOS'!A122,Consolidado!$G$6:$G$380)</f>
        <v>0</v>
      </c>
      <c r="H122" s="219">
        <f t="shared" si="17"/>
        <v>0</v>
      </c>
      <c r="I122" s="99">
        <f t="shared" si="18"/>
        <v>0</v>
      </c>
      <c r="J122" s="99">
        <f t="shared" si="19"/>
        <v>0</v>
      </c>
      <c r="K122" s="113">
        <f t="shared" si="20"/>
        <v>2024</v>
      </c>
      <c r="L122" s="113">
        <f t="shared" si="21"/>
        <v>4</v>
      </c>
      <c r="M122" s="115">
        <f t="array" ref="M122">MIN(IF(Consolidado!$A$6:$A$1000='TOTALES DIARIOS'!A122,IF(Consolidado!$C$6:$C$1000&gt;TIMEVALUE("07:00"),Consolidado!$C$6:$C$1000,1)))</f>
        <v>0</v>
      </c>
      <c r="N122" s="115">
        <f t="array" ref="N122">MIN(IF(Consolidado!$A$6:$A$1000='TOTALES DIARIOS'!A122,IF(Consolidado!$C$6:$C$1000&lt;=M122,Consolidado!$C$6:$C$1000,1)))</f>
        <v>0</v>
      </c>
      <c r="O122" s="115">
        <f t="array" ref="O122">MAX(IF(Consolidado!$A$6:$A$1000='TOTALES DIARIOS'!A122,IF(Consolidado!$D$6:$D$1000&gt;=M122,Consolidado!$D$6:$D$1000,0)))</f>
        <v>0</v>
      </c>
      <c r="P122" s="118">
        <f t="array" ref="P122">MAX(IF(Consolidado!$A$6:$A$1000='TOTALES DIARIOS'!A122,IF(Consolidado!$D$6:$D$1000&lt;=M122,Consolidado!$D$6:$D$1000,0)))</f>
        <v>0</v>
      </c>
      <c r="Q122" s="117">
        <f t="shared" si="25"/>
        <v>0</v>
      </c>
      <c r="R122" s="117">
        <f t="shared" si="24"/>
        <v>0</v>
      </c>
      <c r="S122" s="104" t="str">
        <f t="shared" si="22"/>
        <v>NO</v>
      </c>
    </row>
    <row r="123" spans="1:19" x14ac:dyDescent="0.25">
      <c r="A123" s="221">
        <f t="shared" si="23"/>
        <v>45411</v>
      </c>
      <c r="B123" s="130" t="str">
        <f t="shared" si="14"/>
        <v/>
      </c>
      <c r="C123" s="217">
        <f t="shared" si="15"/>
        <v>0</v>
      </c>
      <c r="D123" s="217">
        <f t="shared" si="16"/>
        <v>0</v>
      </c>
      <c r="E123" s="218">
        <f>SUMIF(Consolidado!$A$6:$A$380,'TOTALES DIARIOS'!A123,Consolidado!$E$6:$E$380)</f>
        <v>0</v>
      </c>
      <c r="F123" s="218">
        <f>SUMIF(Consolidado!$A$6:$A$380,'TOTALES DIARIOS'!A123,Consolidado!$F$6:$F$380)</f>
        <v>0</v>
      </c>
      <c r="G123" s="218">
        <f>SUMIF(Consolidado!$A$6:$A$380,'TOTALES DIARIOS'!A123,Consolidado!$G$6:$G$380)</f>
        <v>0</v>
      </c>
      <c r="H123" s="219">
        <f t="shared" si="17"/>
        <v>0</v>
      </c>
      <c r="I123" s="99">
        <f t="shared" si="18"/>
        <v>0</v>
      </c>
      <c r="J123" s="99">
        <f t="shared" si="19"/>
        <v>0</v>
      </c>
      <c r="K123" s="113">
        <f t="shared" si="20"/>
        <v>2024</v>
      </c>
      <c r="L123" s="113">
        <f t="shared" si="21"/>
        <v>4</v>
      </c>
      <c r="M123" s="115">
        <f t="array" ref="M123">MIN(IF(Consolidado!$A$6:$A$1000='TOTALES DIARIOS'!A123,IF(Consolidado!$C$6:$C$1000&gt;TIMEVALUE("07:00"),Consolidado!$C$6:$C$1000,1)))</f>
        <v>0</v>
      </c>
      <c r="N123" s="115">
        <f t="array" ref="N123">MIN(IF(Consolidado!$A$6:$A$1000='TOTALES DIARIOS'!A123,IF(Consolidado!$C$6:$C$1000&lt;=M123,Consolidado!$C$6:$C$1000,1)))</f>
        <v>0</v>
      </c>
      <c r="O123" s="115">
        <f t="array" ref="O123">MAX(IF(Consolidado!$A$6:$A$1000='TOTALES DIARIOS'!A123,IF(Consolidado!$D$6:$D$1000&gt;=M123,Consolidado!$D$6:$D$1000,0)))</f>
        <v>0</v>
      </c>
      <c r="P123" s="118">
        <f t="array" ref="P123">MAX(IF(Consolidado!$A$6:$A$1000='TOTALES DIARIOS'!A123,IF(Consolidado!$D$6:$D$1000&lt;=M123,Consolidado!$D$6:$D$1000,0)))</f>
        <v>0</v>
      </c>
      <c r="Q123" s="117">
        <f t="shared" si="25"/>
        <v>0</v>
      </c>
      <c r="R123" s="117">
        <f t="shared" si="24"/>
        <v>0</v>
      </c>
      <c r="S123" s="104" t="str">
        <f t="shared" si="22"/>
        <v>NO</v>
      </c>
    </row>
    <row r="124" spans="1:19" x14ac:dyDescent="0.25">
      <c r="A124" s="221">
        <f t="shared" si="23"/>
        <v>45412</v>
      </c>
      <c r="B124" s="130" t="str">
        <f t="shared" si="14"/>
        <v/>
      </c>
      <c r="C124" s="217">
        <f t="shared" si="15"/>
        <v>0</v>
      </c>
      <c r="D124" s="217">
        <f t="shared" si="16"/>
        <v>0</v>
      </c>
      <c r="E124" s="218">
        <f>SUMIF(Consolidado!$A$6:$A$380,'TOTALES DIARIOS'!A124,Consolidado!$E$6:$E$380)</f>
        <v>0</v>
      </c>
      <c r="F124" s="218">
        <f>SUMIF(Consolidado!$A$6:$A$380,'TOTALES DIARIOS'!A124,Consolidado!$F$6:$F$380)</f>
        <v>0</v>
      </c>
      <c r="G124" s="218">
        <f>SUMIF(Consolidado!$A$6:$A$380,'TOTALES DIARIOS'!A124,Consolidado!$G$6:$G$380)</f>
        <v>0</v>
      </c>
      <c r="H124" s="219">
        <f t="shared" si="17"/>
        <v>0</v>
      </c>
      <c r="I124" s="99">
        <f t="shared" si="18"/>
        <v>0</v>
      </c>
      <c r="J124" s="99">
        <f t="shared" si="19"/>
        <v>0</v>
      </c>
      <c r="K124" s="113">
        <f t="shared" si="20"/>
        <v>2024</v>
      </c>
      <c r="L124" s="113">
        <f t="shared" si="21"/>
        <v>4</v>
      </c>
      <c r="M124" s="115">
        <f t="array" ref="M124">MIN(IF(Consolidado!$A$6:$A$1000='TOTALES DIARIOS'!A124,IF(Consolidado!$C$6:$C$1000&gt;TIMEVALUE("07:00"),Consolidado!$C$6:$C$1000,1)))</f>
        <v>0</v>
      </c>
      <c r="N124" s="115">
        <f t="array" ref="N124">MIN(IF(Consolidado!$A$6:$A$1000='TOTALES DIARIOS'!A124,IF(Consolidado!$C$6:$C$1000&lt;=M124,Consolidado!$C$6:$C$1000,1)))</f>
        <v>0</v>
      </c>
      <c r="O124" s="115">
        <f t="array" ref="O124">MAX(IF(Consolidado!$A$6:$A$1000='TOTALES DIARIOS'!A124,IF(Consolidado!$D$6:$D$1000&gt;=M124,Consolidado!$D$6:$D$1000,0)))</f>
        <v>0</v>
      </c>
      <c r="P124" s="118">
        <f t="array" ref="P124">MAX(IF(Consolidado!$A$6:$A$1000='TOTALES DIARIOS'!A124,IF(Consolidado!$D$6:$D$1000&lt;=M124,Consolidado!$D$6:$D$1000,0)))</f>
        <v>0</v>
      </c>
      <c r="Q124" s="117">
        <f t="shared" si="25"/>
        <v>0</v>
      </c>
      <c r="R124" s="117">
        <f t="shared" si="24"/>
        <v>0</v>
      </c>
      <c r="S124" s="104" t="str">
        <f t="shared" si="22"/>
        <v>NO</v>
      </c>
    </row>
    <row r="125" spans="1:19" x14ac:dyDescent="0.25">
      <c r="A125" s="221">
        <f t="shared" si="23"/>
        <v>45413</v>
      </c>
      <c r="B125" s="130" t="str">
        <f t="shared" si="14"/>
        <v/>
      </c>
      <c r="C125" s="217">
        <f t="shared" si="15"/>
        <v>0</v>
      </c>
      <c r="D125" s="217">
        <f t="shared" si="16"/>
        <v>0</v>
      </c>
      <c r="E125" s="218">
        <f>SUMIF(Consolidado!$A$6:$A$380,'TOTALES DIARIOS'!A125,Consolidado!$E$6:$E$380)</f>
        <v>0</v>
      </c>
      <c r="F125" s="218">
        <f>SUMIF(Consolidado!$A$6:$A$380,'TOTALES DIARIOS'!A125,Consolidado!$F$6:$F$380)</f>
        <v>0</v>
      </c>
      <c r="G125" s="218">
        <f>SUMIF(Consolidado!$A$6:$A$380,'TOTALES DIARIOS'!A125,Consolidado!$G$6:$G$380)</f>
        <v>0</v>
      </c>
      <c r="H125" s="219">
        <f t="shared" si="17"/>
        <v>0</v>
      </c>
      <c r="I125" s="99">
        <f t="shared" si="18"/>
        <v>0</v>
      </c>
      <c r="J125" s="99">
        <f t="shared" si="19"/>
        <v>0</v>
      </c>
      <c r="K125" s="113">
        <f t="shared" si="20"/>
        <v>2024</v>
      </c>
      <c r="L125" s="113">
        <f t="shared" si="21"/>
        <v>5</v>
      </c>
      <c r="M125" s="115">
        <f t="array" ref="M125">MIN(IF(Consolidado!$A$6:$A$1000='TOTALES DIARIOS'!A125,IF(Consolidado!$C$6:$C$1000&gt;TIMEVALUE("07:00"),Consolidado!$C$6:$C$1000,1)))</f>
        <v>0</v>
      </c>
      <c r="N125" s="115">
        <f t="array" ref="N125">MIN(IF(Consolidado!$A$6:$A$1000='TOTALES DIARIOS'!A125,IF(Consolidado!$C$6:$C$1000&lt;=M125,Consolidado!$C$6:$C$1000,1)))</f>
        <v>0</v>
      </c>
      <c r="O125" s="115">
        <f t="array" ref="O125">MAX(IF(Consolidado!$A$6:$A$1000='TOTALES DIARIOS'!A125,IF(Consolidado!$D$6:$D$1000&gt;=M125,Consolidado!$D$6:$D$1000,0)))</f>
        <v>0</v>
      </c>
      <c r="P125" s="118">
        <f t="array" ref="P125">MAX(IF(Consolidado!$A$6:$A$1000='TOTALES DIARIOS'!A125,IF(Consolidado!$D$6:$D$1000&lt;=M125,Consolidado!$D$6:$D$1000,0)))</f>
        <v>0</v>
      </c>
      <c r="Q125" s="117">
        <f t="shared" si="25"/>
        <v>0</v>
      </c>
      <c r="R125" s="117">
        <f t="shared" si="24"/>
        <v>0</v>
      </c>
      <c r="S125" s="104" t="str">
        <f t="shared" si="22"/>
        <v>NO</v>
      </c>
    </row>
    <row r="126" spans="1:19" x14ac:dyDescent="0.25">
      <c r="A126" s="221">
        <f t="shared" si="23"/>
        <v>45414</v>
      </c>
      <c r="B126" s="130" t="str">
        <f t="shared" si="14"/>
        <v/>
      </c>
      <c r="C126" s="217">
        <f t="shared" si="15"/>
        <v>0</v>
      </c>
      <c r="D126" s="217">
        <f t="shared" si="16"/>
        <v>0</v>
      </c>
      <c r="E126" s="218">
        <f>SUMIF(Consolidado!$A$6:$A$380,'TOTALES DIARIOS'!A126,Consolidado!$E$6:$E$380)</f>
        <v>0</v>
      </c>
      <c r="F126" s="218">
        <f>SUMIF(Consolidado!$A$6:$A$380,'TOTALES DIARIOS'!A126,Consolidado!$F$6:$F$380)</f>
        <v>0</v>
      </c>
      <c r="G126" s="218">
        <f>SUMIF(Consolidado!$A$6:$A$380,'TOTALES DIARIOS'!A126,Consolidado!$G$6:$G$380)</f>
        <v>0</v>
      </c>
      <c r="H126" s="219">
        <f t="shared" si="17"/>
        <v>0</v>
      </c>
      <c r="I126" s="99">
        <f t="shared" si="18"/>
        <v>0</v>
      </c>
      <c r="J126" s="99">
        <f t="shared" si="19"/>
        <v>0</v>
      </c>
      <c r="K126" s="113">
        <f t="shared" si="20"/>
        <v>2024</v>
      </c>
      <c r="L126" s="113">
        <f t="shared" si="21"/>
        <v>5</v>
      </c>
      <c r="M126" s="115">
        <f t="array" ref="M126">MIN(IF(Consolidado!$A$6:$A$1000='TOTALES DIARIOS'!A126,IF(Consolidado!$C$6:$C$1000&gt;TIMEVALUE("07:00"),Consolidado!$C$6:$C$1000,1)))</f>
        <v>0</v>
      </c>
      <c r="N126" s="115">
        <f t="array" ref="N126">MIN(IF(Consolidado!$A$6:$A$1000='TOTALES DIARIOS'!A126,IF(Consolidado!$C$6:$C$1000&lt;=M126,Consolidado!$C$6:$C$1000,1)))</f>
        <v>0</v>
      </c>
      <c r="O126" s="115">
        <f t="array" ref="O126">MAX(IF(Consolidado!$A$6:$A$1000='TOTALES DIARIOS'!A126,IF(Consolidado!$D$6:$D$1000&gt;=M126,Consolidado!$D$6:$D$1000,0)))</f>
        <v>0</v>
      </c>
      <c r="P126" s="118">
        <f t="array" ref="P126">MAX(IF(Consolidado!$A$6:$A$1000='TOTALES DIARIOS'!A126,IF(Consolidado!$D$6:$D$1000&lt;=M126,Consolidado!$D$6:$D$1000,0)))</f>
        <v>0</v>
      </c>
      <c r="Q126" s="117">
        <f t="shared" si="25"/>
        <v>0</v>
      </c>
      <c r="R126" s="117">
        <f t="shared" si="24"/>
        <v>0</v>
      </c>
      <c r="S126" s="104" t="str">
        <f t="shared" si="22"/>
        <v>NO</v>
      </c>
    </row>
    <row r="127" spans="1:19" x14ac:dyDescent="0.25">
      <c r="A127" s="221">
        <f t="shared" si="23"/>
        <v>45415</v>
      </c>
      <c r="B127" s="130" t="str">
        <f t="shared" si="14"/>
        <v/>
      </c>
      <c r="C127" s="217">
        <f t="shared" si="15"/>
        <v>0</v>
      </c>
      <c r="D127" s="217">
        <f t="shared" si="16"/>
        <v>0</v>
      </c>
      <c r="E127" s="218">
        <f>SUMIF(Consolidado!$A$6:$A$380,'TOTALES DIARIOS'!A127,Consolidado!$E$6:$E$380)</f>
        <v>0</v>
      </c>
      <c r="F127" s="218">
        <f>SUMIF(Consolidado!$A$6:$A$380,'TOTALES DIARIOS'!A127,Consolidado!$F$6:$F$380)</f>
        <v>0</v>
      </c>
      <c r="G127" s="218">
        <f>SUMIF(Consolidado!$A$6:$A$380,'TOTALES DIARIOS'!A127,Consolidado!$G$6:$G$380)</f>
        <v>0</v>
      </c>
      <c r="H127" s="219">
        <f t="shared" si="17"/>
        <v>0</v>
      </c>
      <c r="I127" s="99">
        <f t="shared" si="18"/>
        <v>0</v>
      </c>
      <c r="J127" s="99">
        <f t="shared" si="19"/>
        <v>0</v>
      </c>
      <c r="K127" s="113">
        <f t="shared" si="20"/>
        <v>2024</v>
      </c>
      <c r="L127" s="113">
        <f t="shared" si="21"/>
        <v>5</v>
      </c>
      <c r="M127" s="115">
        <f t="array" ref="M127">MIN(IF(Consolidado!$A$6:$A$1000='TOTALES DIARIOS'!A127,IF(Consolidado!$C$6:$C$1000&gt;TIMEVALUE("07:00"),Consolidado!$C$6:$C$1000,1)))</f>
        <v>0</v>
      </c>
      <c r="N127" s="115">
        <f t="array" ref="N127">MIN(IF(Consolidado!$A$6:$A$1000='TOTALES DIARIOS'!A127,IF(Consolidado!$C$6:$C$1000&lt;=M127,Consolidado!$C$6:$C$1000,1)))</f>
        <v>0</v>
      </c>
      <c r="O127" s="115">
        <f t="array" ref="O127">MAX(IF(Consolidado!$A$6:$A$1000='TOTALES DIARIOS'!A127,IF(Consolidado!$D$6:$D$1000&gt;=M127,Consolidado!$D$6:$D$1000,0)))</f>
        <v>0</v>
      </c>
      <c r="P127" s="118">
        <f t="array" ref="P127">MAX(IF(Consolidado!$A$6:$A$1000='TOTALES DIARIOS'!A127,IF(Consolidado!$D$6:$D$1000&lt;=M127,Consolidado!$D$6:$D$1000,0)))</f>
        <v>0</v>
      </c>
      <c r="Q127" s="117">
        <f t="shared" si="25"/>
        <v>0</v>
      </c>
      <c r="R127" s="117">
        <f t="shared" si="24"/>
        <v>0</v>
      </c>
      <c r="S127" s="104" t="str">
        <f t="shared" si="22"/>
        <v>NO</v>
      </c>
    </row>
    <row r="128" spans="1:19" x14ac:dyDescent="0.25">
      <c r="A128" s="221">
        <f t="shared" si="23"/>
        <v>45416</v>
      </c>
      <c r="B128" s="130" t="str">
        <f t="shared" si="14"/>
        <v/>
      </c>
      <c r="C128" s="217">
        <f t="shared" si="15"/>
        <v>0</v>
      </c>
      <c r="D128" s="217">
        <f t="shared" si="16"/>
        <v>0</v>
      </c>
      <c r="E128" s="218">
        <f>SUMIF(Consolidado!$A$6:$A$380,'TOTALES DIARIOS'!A128,Consolidado!$E$6:$E$380)</f>
        <v>0</v>
      </c>
      <c r="F128" s="218">
        <f>SUMIF(Consolidado!$A$6:$A$380,'TOTALES DIARIOS'!A128,Consolidado!$F$6:$F$380)</f>
        <v>0</v>
      </c>
      <c r="G128" s="218">
        <f>SUMIF(Consolidado!$A$6:$A$380,'TOTALES DIARIOS'!A128,Consolidado!$G$6:$G$380)</f>
        <v>0</v>
      </c>
      <c r="H128" s="219">
        <f t="shared" si="17"/>
        <v>0</v>
      </c>
      <c r="I128" s="99">
        <f t="shared" si="18"/>
        <v>0</v>
      </c>
      <c r="J128" s="99">
        <f t="shared" si="19"/>
        <v>0</v>
      </c>
      <c r="K128" s="113">
        <f t="shared" si="20"/>
        <v>2024</v>
      </c>
      <c r="L128" s="113">
        <f t="shared" si="21"/>
        <v>5</v>
      </c>
      <c r="M128" s="115">
        <f t="array" ref="M128">MIN(IF(Consolidado!$A$6:$A$1000='TOTALES DIARIOS'!A128,IF(Consolidado!$C$6:$C$1000&gt;TIMEVALUE("07:00"),Consolidado!$C$6:$C$1000,1)))</f>
        <v>0</v>
      </c>
      <c r="N128" s="115">
        <f t="array" ref="N128">MIN(IF(Consolidado!$A$6:$A$1000='TOTALES DIARIOS'!A128,IF(Consolidado!$C$6:$C$1000&lt;=M128,Consolidado!$C$6:$C$1000,1)))</f>
        <v>0</v>
      </c>
      <c r="O128" s="115">
        <f t="array" ref="O128">MAX(IF(Consolidado!$A$6:$A$1000='TOTALES DIARIOS'!A128,IF(Consolidado!$D$6:$D$1000&gt;=M128,Consolidado!$D$6:$D$1000,0)))</f>
        <v>0</v>
      </c>
      <c r="P128" s="118">
        <f t="array" ref="P128">MAX(IF(Consolidado!$A$6:$A$1000='TOTALES DIARIOS'!A128,IF(Consolidado!$D$6:$D$1000&lt;=M128,Consolidado!$D$6:$D$1000,0)))</f>
        <v>0</v>
      </c>
      <c r="Q128" s="117">
        <f t="shared" si="25"/>
        <v>0</v>
      </c>
      <c r="R128" s="117">
        <f t="shared" si="24"/>
        <v>0</v>
      </c>
      <c r="S128" s="104" t="str">
        <f t="shared" si="22"/>
        <v>NO</v>
      </c>
    </row>
    <row r="129" spans="1:19" x14ac:dyDescent="0.25">
      <c r="A129" s="221">
        <f t="shared" si="23"/>
        <v>45417</v>
      </c>
      <c r="B129" s="130" t="str">
        <f t="shared" si="14"/>
        <v/>
      </c>
      <c r="C129" s="217">
        <f t="shared" si="15"/>
        <v>0</v>
      </c>
      <c r="D129" s="217">
        <f t="shared" si="16"/>
        <v>0</v>
      </c>
      <c r="E129" s="218">
        <f>SUMIF(Consolidado!$A$6:$A$380,'TOTALES DIARIOS'!A129,Consolidado!$E$6:$E$380)</f>
        <v>0</v>
      </c>
      <c r="F129" s="218">
        <f>SUMIF(Consolidado!$A$6:$A$380,'TOTALES DIARIOS'!A129,Consolidado!$F$6:$F$380)</f>
        <v>0</v>
      </c>
      <c r="G129" s="218">
        <f>SUMIF(Consolidado!$A$6:$A$380,'TOTALES DIARIOS'!A129,Consolidado!$G$6:$G$380)</f>
        <v>0</v>
      </c>
      <c r="H129" s="219">
        <f t="shared" si="17"/>
        <v>0</v>
      </c>
      <c r="I129" s="99">
        <f t="shared" si="18"/>
        <v>0</v>
      </c>
      <c r="J129" s="99">
        <f t="shared" si="19"/>
        <v>0</v>
      </c>
      <c r="K129" s="113">
        <f t="shared" si="20"/>
        <v>2024</v>
      </c>
      <c r="L129" s="113">
        <f t="shared" si="21"/>
        <v>5</v>
      </c>
      <c r="M129" s="115">
        <f t="array" ref="M129">MIN(IF(Consolidado!$A$6:$A$1000='TOTALES DIARIOS'!A129,IF(Consolidado!$C$6:$C$1000&gt;TIMEVALUE("07:00"),Consolidado!$C$6:$C$1000,1)))</f>
        <v>0</v>
      </c>
      <c r="N129" s="115">
        <f t="array" ref="N129">MIN(IF(Consolidado!$A$6:$A$1000='TOTALES DIARIOS'!A129,IF(Consolidado!$C$6:$C$1000&lt;=M129,Consolidado!$C$6:$C$1000,1)))</f>
        <v>0</v>
      </c>
      <c r="O129" s="115">
        <f t="array" ref="O129">MAX(IF(Consolidado!$A$6:$A$1000='TOTALES DIARIOS'!A129,IF(Consolidado!$D$6:$D$1000&gt;=M129,Consolidado!$D$6:$D$1000,0)))</f>
        <v>0</v>
      </c>
      <c r="P129" s="118">
        <f t="array" ref="P129">MAX(IF(Consolidado!$A$6:$A$1000='TOTALES DIARIOS'!A129,IF(Consolidado!$D$6:$D$1000&lt;=M129,Consolidado!$D$6:$D$1000,0)))</f>
        <v>0</v>
      </c>
      <c r="Q129" s="117">
        <f t="shared" si="25"/>
        <v>0</v>
      </c>
      <c r="R129" s="117">
        <f t="shared" si="24"/>
        <v>0</v>
      </c>
      <c r="S129" s="104" t="str">
        <f t="shared" si="22"/>
        <v>NO</v>
      </c>
    </row>
    <row r="130" spans="1:19" x14ac:dyDescent="0.25">
      <c r="A130" s="221">
        <f t="shared" si="23"/>
        <v>45418</v>
      </c>
      <c r="B130" s="130" t="str">
        <f t="shared" si="14"/>
        <v/>
      </c>
      <c r="C130" s="217">
        <f t="shared" si="15"/>
        <v>0</v>
      </c>
      <c r="D130" s="217">
        <f t="shared" si="16"/>
        <v>0</v>
      </c>
      <c r="E130" s="218">
        <f>SUMIF(Consolidado!$A$6:$A$380,'TOTALES DIARIOS'!A130,Consolidado!$E$6:$E$380)</f>
        <v>0</v>
      </c>
      <c r="F130" s="218">
        <f>SUMIF(Consolidado!$A$6:$A$380,'TOTALES DIARIOS'!A130,Consolidado!$F$6:$F$380)</f>
        <v>0</v>
      </c>
      <c r="G130" s="218">
        <f>SUMIF(Consolidado!$A$6:$A$380,'TOTALES DIARIOS'!A130,Consolidado!$G$6:$G$380)</f>
        <v>0</v>
      </c>
      <c r="H130" s="219">
        <f t="shared" si="17"/>
        <v>0</v>
      </c>
      <c r="I130" s="99">
        <f t="shared" si="18"/>
        <v>0</v>
      </c>
      <c r="J130" s="99">
        <f t="shared" si="19"/>
        <v>0</v>
      </c>
      <c r="K130" s="113">
        <f t="shared" si="20"/>
        <v>2024</v>
      </c>
      <c r="L130" s="113">
        <f t="shared" si="21"/>
        <v>5</v>
      </c>
      <c r="M130" s="115">
        <f t="array" ref="M130">MIN(IF(Consolidado!$A$6:$A$1000='TOTALES DIARIOS'!A130,IF(Consolidado!$C$6:$C$1000&gt;TIMEVALUE("07:00"),Consolidado!$C$6:$C$1000,1)))</f>
        <v>0</v>
      </c>
      <c r="N130" s="115">
        <f t="array" ref="N130">MIN(IF(Consolidado!$A$6:$A$1000='TOTALES DIARIOS'!A130,IF(Consolidado!$C$6:$C$1000&lt;=M130,Consolidado!$C$6:$C$1000,1)))</f>
        <v>0</v>
      </c>
      <c r="O130" s="115">
        <f t="array" ref="O130">MAX(IF(Consolidado!$A$6:$A$1000='TOTALES DIARIOS'!A130,IF(Consolidado!$D$6:$D$1000&gt;=M130,Consolidado!$D$6:$D$1000,0)))</f>
        <v>0</v>
      </c>
      <c r="P130" s="118">
        <f t="array" ref="P130">MAX(IF(Consolidado!$A$6:$A$1000='TOTALES DIARIOS'!A130,IF(Consolidado!$D$6:$D$1000&lt;=M130,Consolidado!$D$6:$D$1000,0)))</f>
        <v>0</v>
      </c>
      <c r="Q130" s="117">
        <f t="shared" si="25"/>
        <v>0</v>
      </c>
      <c r="R130" s="117">
        <f t="shared" si="24"/>
        <v>0</v>
      </c>
      <c r="S130" s="104" t="str">
        <f t="shared" si="22"/>
        <v>NO</v>
      </c>
    </row>
    <row r="131" spans="1:19" x14ac:dyDescent="0.25">
      <c r="A131" s="221">
        <f t="shared" si="23"/>
        <v>45419</v>
      </c>
      <c r="B131" s="130" t="str">
        <f t="shared" si="14"/>
        <v/>
      </c>
      <c r="C131" s="217">
        <f t="shared" si="15"/>
        <v>0</v>
      </c>
      <c r="D131" s="217">
        <f t="shared" si="16"/>
        <v>0</v>
      </c>
      <c r="E131" s="218">
        <f>SUMIF(Consolidado!$A$6:$A$380,'TOTALES DIARIOS'!A131,Consolidado!$E$6:$E$380)</f>
        <v>0</v>
      </c>
      <c r="F131" s="218">
        <f>SUMIF(Consolidado!$A$6:$A$380,'TOTALES DIARIOS'!A131,Consolidado!$F$6:$F$380)</f>
        <v>0</v>
      </c>
      <c r="G131" s="218">
        <f>SUMIF(Consolidado!$A$6:$A$380,'TOTALES DIARIOS'!A131,Consolidado!$G$6:$G$380)</f>
        <v>0</v>
      </c>
      <c r="H131" s="219">
        <f t="shared" si="17"/>
        <v>0</v>
      </c>
      <c r="I131" s="99">
        <f t="shared" si="18"/>
        <v>0</v>
      </c>
      <c r="J131" s="99">
        <f t="shared" si="19"/>
        <v>0</v>
      </c>
      <c r="K131" s="113">
        <f t="shared" si="20"/>
        <v>2024</v>
      </c>
      <c r="L131" s="113">
        <f t="shared" si="21"/>
        <v>5</v>
      </c>
      <c r="M131" s="115">
        <f t="array" ref="M131">MIN(IF(Consolidado!$A$6:$A$1000='TOTALES DIARIOS'!A131,IF(Consolidado!$C$6:$C$1000&gt;TIMEVALUE("07:00"),Consolidado!$C$6:$C$1000,1)))</f>
        <v>0</v>
      </c>
      <c r="N131" s="115">
        <f t="array" ref="N131">MIN(IF(Consolidado!$A$6:$A$1000='TOTALES DIARIOS'!A131,IF(Consolidado!$C$6:$C$1000&lt;=M131,Consolidado!$C$6:$C$1000,1)))</f>
        <v>0</v>
      </c>
      <c r="O131" s="115">
        <f t="array" ref="O131">MAX(IF(Consolidado!$A$6:$A$1000='TOTALES DIARIOS'!A131,IF(Consolidado!$D$6:$D$1000&gt;=M131,Consolidado!$D$6:$D$1000,0)))</f>
        <v>0</v>
      </c>
      <c r="P131" s="118">
        <f t="array" ref="P131">MAX(IF(Consolidado!$A$6:$A$1000='TOTALES DIARIOS'!A131,IF(Consolidado!$D$6:$D$1000&lt;=M131,Consolidado!$D$6:$D$1000,0)))</f>
        <v>0</v>
      </c>
      <c r="Q131" s="117">
        <f t="shared" si="25"/>
        <v>0</v>
      </c>
      <c r="R131" s="117">
        <f t="shared" si="24"/>
        <v>0</v>
      </c>
      <c r="S131" s="104" t="str">
        <f t="shared" si="22"/>
        <v>NO</v>
      </c>
    </row>
    <row r="132" spans="1:19" x14ac:dyDescent="0.25">
      <c r="A132" s="221">
        <f t="shared" si="23"/>
        <v>45420</v>
      </c>
      <c r="B132" s="130" t="str">
        <f t="shared" ref="B132:B195" si="26">IF(G132=0,"",C132-"1:00")</f>
        <v/>
      </c>
      <c r="C132" s="217">
        <f t="shared" ref="C132:C195" si="27">Q132</f>
        <v>0</v>
      </c>
      <c r="D132" s="217">
        <f t="shared" ref="D132:D195" si="28">R132</f>
        <v>0</v>
      </c>
      <c r="E132" s="218">
        <f>SUMIF(Consolidado!$A$6:$A$380,'TOTALES DIARIOS'!A132,Consolidado!$E$6:$E$380)</f>
        <v>0</v>
      </c>
      <c r="F132" s="218">
        <f>SUMIF(Consolidado!$A$6:$A$380,'TOTALES DIARIOS'!A132,Consolidado!$F$6:$F$380)</f>
        <v>0</v>
      </c>
      <c r="G132" s="218">
        <f>SUMIF(Consolidado!$A$6:$A$380,'TOTALES DIARIOS'!A132,Consolidado!$G$6:$G$380)</f>
        <v>0</v>
      </c>
      <c r="H132" s="219">
        <f t="shared" ref="H132:H195" si="29">IF(B132="",0,IF(B132&lt;D132,D132-B132+"0:30","24:00"-B132+D132+"0:30"))*24</f>
        <v>0</v>
      </c>
      <c r="I132" s="99">
        <f t="shared" ref="I132:I195" si="30">IF(G132&lt;&gt;0,1,0)</f>
        <v>0</v>
      </c>
      <c r="J132" s="99">
        <f t="shared" ref="J132:J195" si="31">IF(H132=0,0,IF((D132-"3:30")&gt;(C132-"3:30"),1,2))</f>
        <v>0</v>
      </c>
      <c r="K132" s="113">
        <f t="shared" ref="K132:K195" si="32">YEAR(A132)</f>
        <v>2024</v>
      </c>
      <c r="L132" s="113">
        <f t="shared" ref="L132:L195" si="33">MONTH(A132)</f>
        <v>5</v>
      </c>
      <c r="M132" s="115">
        <f t="array" ref="M132">MIN(IF(Consolidado!$A$6:$A$1000='TOTALES DIARIOS'!A132,IF(Consolidado!$C$6:$C$1000&gt;TIMEVALUE("07:00"),Consolidado!$C$6:$C$1000,1)))</f>
        <v>0</v>
      </c>
      <c r="N132" s="115">
        <f t="array" ref="N132">MIN(IF(Consolidado!$A$6:$A$1000='TOTALES DIARIOS'!A132,IF(Consolidado!$C$6:$C$1000&lt;=M132,Consolidado!$C$6:$C$1000,1)))</f>
        <v>0</v>
      </c>
      <c r="O132" s="115">
        <f t="array" ref="O132">MAX(IF(Consolidado!$A$6:$A$1000='TOTALES DIARIOS'!A132,IF(Consolidado!$D$6:$D$1000&gt;=M132,Consolidado!$D$6:$D$1000,0)))</f>
        <v>0</v>
      </c>
      <c r="P132" s="118">
        <f t="array" ref="P132">MAX(IF(Consolidado!$A$6:$A$1000='TOTALES DIARIOS'!A132,IF(Consolidado!$D$6:$D$1000&lt;=M132,Consolidado!$D$6:$D$1000,0)))</f>
        <v>0</v>
      </c>
      <c r="Q132" s="117">
        <f t="shared" si="25"/>
        <v>0</v>
      </c>
      <c r="R132" s="117">
        <f t="shared" si="24"/>
        <v>0</v>
      </c>
      <c r="S132" s="104" t="str">
        <f t="shared" ref="S132:S195" si="34">IF(D132&gt;AB132,"SI","NO")</f>
        <v>NO</v>
      </c>
    </row>
    <row r="133" spans="1:19" x14ac:dyDescent="0.25">
      <c r="A133" s="221">
        <f t="shared" si="23"/>
        <v>45421</v>
      </c>
      <c r="B133" s="130" t="str">
        <f t="shared" si="26"/>
        <v/>
      </c>
      <c r="C133" s="217">
        <f t="shared" si="27"/>
        <v>0</v>
      </c>
      <c r="D133" s="217">
        <f t="shared" si="28"/>
        <v>0</v>
      </c>
      <c r="E133" s="218">
        <f>SUMIF(Consolidado!$A$6:$A$380,'TOTALES DIARIOS'!A133,Consolidado!$E$6:$E$380)</f>
        <v>0</v>
      </c>
      <c r="F133" s="218">
        <f>SUMIF(Consolidado!$A$6:$A$380,'TOTALES DIARIOS'!A133,Consolidado!$F$6:$F$380)</f>
        <v>0</v>
      </c>
      <c r="G133" s="218">
        <f>SUMIF(Consolidado!$A$6:$A$380,'TOTALES DIARIOS'!A133,Consolidado!$G$6:$G$380)</f>
        <v>0</v>
      </c>
      <c r="H133" s="219">
        <f t="shared" si="29"/>
        <v>0</v>
      </c>
      <c r="I133" s="99">
        <f t="shared" si="30"/>
        <v>0</v>
      </c>
      <c r="J133" s="99">
        <f t="shared" si="31"/>
        <v>0</v>
      </c>
      <c r="K133" s="113">
        <f t="shared" si="32"/>
        <v>2024</v>
      </c>
      <c r="L133" s="113">
        <f t="shared" si="33"/>
        <v>5</v>
      </c>
      <c r="M133" s="115">
        <f t="array" ref="M133">MIN(IF(Consolidado!$A$6:$A$1000='TOTALES DIARIOS'!A133,IF(Consolidado!$C$6:$C$1000&gt;TIMEVALUE("07:00"),Consolidado!$C$6:$C$1000,1)))</f>
        <v>0</v>
      </c>
      <c r="N133" s="115">
        <f t="array" ref="N133">MIN(IF(Consolidado!$A$6:$A$1000='TOTALES DIARIOS'!A133,IF(Consolidado!$C$6:$C$1000&lt;=M133,Consolidado!$C$6:$C$1000,1)))</f>
        <v>0</v>
      </c>
      <c r="O133" s="115">
        <f t="array" ref="O133">MAX(IF(Consolidado!$A$6:$A$1000='TOTALES DIARIOS'!A133,IF(Consolidado!$D$6:$D$1000&gt;=M133,Consolidado!$D$6:$D$1000,0)))</f>
        <v>0</v>
      </c>
      <c r="P133" s="118">
        <f t="array" ref="P133">MAX(IF(Consolidado!$A$6:$A$1000='TOTALES DIARIOS'!A133,IF(Consolidado!$D$6:$D$1000&lt;=M133,Consolidado!$D$6:$D$1000,0)))</f>
        <v>0</v>
      </c>
      <c r="Q133" s="117">
        <f t="shared" si="25"/>
        <v>0</v>
      </c>
      <c r="R133" s="117">
        <f t="shared" si="24"/>
        <v>0</v>
      </c>
      <c r="S133" s="104" t="str">
        <f t="shared" si="34"/>
        <v>NO</v>
      </c>
    </row>
    <row r="134" spans="1:19" x14ac:dyDescent="0.25">
      <c r="A134" s="221">
        <f t="shared" ref="A134:A197" si="35">IFERROR(A133+1,"")</f>
        <v>45422</v>
      </c>
      <c r="B134" s="130" t="str">
        <f t="shared" si="26"/>
        <v/>
      </c>
      <c r="C134" s="217">
        <f t="shared" si="27"/>
        <v>0</v>
      </c>
      <c r="D134" s="217">
        <f t="shared" si="28"/>
        <v>0</v>
      </c>
      <c r="E134" s="218">
        <f>SUMIF(Consolidado!$A$6:$A$380,'TOTALES DIARIOS'!A134,Consolidado!$E$6:$E$380)</f>
        <v>0</v>
      </c>
      <c r="F134" s="218">
        <f>SUMIF(Consolidado!$A$6:$A$380,'TOTALES DIARIOS'!A134,Consolidado!$F$6:$F$380)</f>
        <v>0</v>
      </c>
      <c r="G134" s="218">
        <f>SUMIF(Consolidado!$A$6:$A$380,'TOTALES DIARIOS'!A134,Consolidado!$G$6:$G$380)</f>
        <v>0</v>
      </c>
      <c r="H134" s="219">
        <f t="shared" si="29"/>
        <v>0</v>
      </c>
      <c r="I134" s="99">
        <f t="shared" si="30"/>
        <v>0</v>
      </c>
      <c r="J134" s="99">
        <f t="shared" si="31"/>
        <v>0</v>
      </c>
      <c r="K134" s="113">
        <f t="shared" si="32"/>
        <v>2024</v>
      </c>
      <c r="L134" s="113">
        <f t="shared" si="33"/>
        <v>5</v>
      </c>
      <c r="M134" s="115">
        <f t="array" ref="M134">MIN(IF(Consolidado!$A$6:$A$1000='TOTALES DIARIOS'!A134,IF(Consolidado!$C$6:$C$1000&gt;TIMEVALUE("07:00"),Consolidado!$C$6:$C$1000,1)))</f>
        <v>0</v>
      </c>
      <c r="N134" s="115">
        <f t="array" ref="N134">MIN(IF(Consolidado!$A$6:$A$1000='TOTALES DIARIOS'!A134,IF(Consolidado!$C$6:$C$1000&lt;=M134,Consolidado!$C$6:$C$1000,1)))</f>
        <v>0</v>
      </c>
      <c r="O134" s="115">
        <f t="array" ref="O134">MAX(IF(Consolidado!$A$6:$A$1000='TOTALES DIARIOS'!A134,IF(Consolidado!$D$6:$D$1000&gt;=M134,Consolidado!$D$6:$D$1000,0)))</f>
        <v>0</v>
      </c>
      <c r="P134" s="118">
        <f t="array" ref="P134">MAX(IF(Consolidado!$A$6:$A$1000='TOTALES DIARIOS'!A134,IF(Consolidado!$D$6:$D$1000&lt;=M134,Consolidado!$D$6:$D$1000,0)))</f>
        <v>0</v>
      </c>
      <c r="Q134" s="117">
        <f t="shared" si="25"/>
        <v>0</v>
      </c>
      <c r="R134" s="117">
        <f t="shared" si="24"/>
        <v>0</v>
      </c>
      <c r="S134" s="104" t="str">
        <f t="shared" si="34"/>
        <v>NO</v>
      </c>
    </row>
    <row r="135" spans="1:19" x14ac:dyDescent="0.25">
      <c r="A135" s="221">
        <f t="shared" si="35"/>
        <v>45423</v>
      </c>
      <c r="B135" s="130" t="str">
        <f t="shared" si="26"/>
        <v/>
      </c>
      <c r="C135" s="217">
        <f t="shared" si="27"/>
        <v>0</v>
      </c>
      <c r="D135" s="217">
        <f t="shared" si="28"/>
        <v>0</v>
      </c>
      <c r="E135" s="218">
        <f>SUMIF(Consolidado!$A$6:$A$380,'TOTALES DIARIOS'!A135,Consolidado!$E$6:$E$380)</f>
        <v>0</v>
      </c>
      <c r="F135" s="218">
        <f>SUMIF(Consolidado!$A$6:$A$380,'TOTALES DIARIOS'!A135,Consolidado!$F$6:$F$380)</f>
        <v>0</v>
      </c>
      <c r="G135" s="218">
        <f>SUMIF(Consolidado!$A$6:$A$380,'TOTALES DIARIOS'!A135,Consolidado!$G$6:$G$380)</f>
        <v>0</v>
      </c>
      <c r="H135" s="219">
        <f t="shared" si="29"/>
        <v>0</v>
      </c>
      <c r="I135" s="99">
        <f t="shared" si="30"/>
        <v>0</v>
      </c>
      <c r="J135" s="99">
        <f t="shared" si="31"/>
        <v>0</v>
      </c>
      <c r="K135" s="113">
        <f t="shared" si="32"/>
        <v>2024</v>
      </c>
      <c r="L135" s="113">
        <f t="shared" si="33"/>
        <v>5</v>
      </c>
      <c r="M135" s="115">
        <f t="array" ref="M135">MIN(IF(Consolidado!$A$6:$A$1000='TOTALES DIARIOS'!A135,IF(Consolidado!$C$6:$C$1000&gt;TIMEVALUE("07:00"),Consolidado!$C$6:$C$1000,1)))</f>
        <v>0</v>
      </c>
      <c r="N135" s="115">
        <f t="array" ref="N135">MIN(IF(Consolidado!$A$6:$A$1000='TOTALES DIARIOS'!A135,IF(Consolidado!$C$6:$C$1000&lt;=M135,Consolidado!$C$6:$C$1000,1)))</f>
        <v>0</v>
      </c>
      <c r="O135" s="115">
        <f t="array" ref="O135">MAX(IF(Consolidado!$A$6:$A$1000='TOTALES DIARIOS'!A135,IF(Consolidado!$D$6:$D$1000&gt;=M135,Consolidado!$D$6:$D$1000,0)))</f>
        <v>0</v>
      </c>
      <c r="P135" s="118">
        <f t="array" ref="P135">MAX(IF(Consolidado!$A$6:$A$1000='TOTALES DIARIOS'!A135,IF(Consolidado!$D$6:$D$1000&lt;=M135,Consolidado!$D$6:$D$1000,0)))</f>
        <v>0</v>
      </c>
      <c r="Q135" s="117">
        <f t="shared" si="25"/>
        <v>0</v>
      </c>
      <c r="R135" s="117">
        <f t="shared" ref="R135:R198" si="36">IF(O135=0,P135,IF(P135=0,O135,MIN(P135,O135)))</f>
        <v>0</v>
      </c>
      <c r="S135" s="104" t="str">
        <f t="shared" si="34"/>
        <v>NO</v>
      </c>
    </row>
    <row r="136" spans="1:19" x14ac:dyDescent="0.25">
      <c r="A136" s="221">
        <f t="shared" si="35"/>
        <v>45424</v>
      </c>
      <c r="B136" s="130" t="str">
        <f t="shared" si="26"/>
        <v/>
      </c>
      <c r="C136" s="217">
        <f t="shared" si="27"/>
        <v>0</v>
      </c>
      <c r="D136" s="217">
        <f t="shared" si="28"/>
        <v>0</v>
      </c>
      <c r="E136" s="218">
        <f>SUMIF(Consolidado!$A$6:$A$380,'TOTALES DIARIOS'!A136,Consolidado!$E$6:$E$380)</f>
        <v>0</v>
      </c>
      <c r="F136" s="218">
        <f>SUMIF(Consolidado!$A$6:$A$380,'TOTALES DIARIOS'!A136,Consolidado!$F$6:$F$380)</f>
        <v>0</v>
      </c>
      <c r="G136" s="218">
        <f>SUMIF(Consolidado!$A$6:$A$380,'TOTALES DIARIOS'!A136,Consolidado!$G$6:$G$380)</f>
        <v>0</v>
      </c>
      <c r="H136" s="219">
        <f t="shared" si="29"/>
        <v>0</v>
      </c>
      <c r="I136" s="99">
        <f t="shared" si="30"/>
        <v>0</v>
      </c>
      <c r="J136" s="99">
        <f t="shared" si="31"/>
        <v>0</v>
      </c>
      <c r="K136" s="113">
        <f t="shared" si="32"/>
        <v>2024</v>
      </c>
      <c r="L136" s="113">
        <f t="shared" si="33"/>
        <v>5</v>
      </c>
      <c r="M136" s="115">
        <f t="array" ref="M136">MIN(IF(Consolidado!$A$6:$A$1000='TOTALES DIARIOS'!A136,IF(Consolidado!$C$6:$C$1000&gt;TIMEVALUE("07:00"),Consolidado!$C$6:$C$1000,1)))</f>
        <v>0</v>
      </c>
      <c r="N136" s="115">
        <f t="array" ref="N136">MIN(IF(Consolidado!$A$6:$A$1000='TOTALES DIARIOS'!A136,IF(Consolidado!$C$6:$C$1000&lt;=M136,Consolidado!$C$6:$C$1000,1)))</f>
        <v>0</v>
      </c>
      <c r="O136" s="115">
        <f t="array" ref="O136">MAX(IF(Consolidado!$A$6:$A$1000='TOTALES DIARIOS'!A136,IF(Consolidado!$D$6:$D$1000&gt;=M136,Consolidado!$D$6:$D$1000,0)))</f>
        <v>0</v>
      </c>
      <c r="P136" s="118">
        <f t="array" ref="P136">MAX(IF(Consolidado!$A$6:$A$1000='TOTALES DIARIOS'!A136,IF(Consolidado!$D$6:$D$1000&lt;=M136,Consolidado!$D$6:$D$1000,0)))</f>
        <v>0</v>
      </c>
      <c r="Q136" s="117">
        <f t="shared" si="25"/>
        <v>0</v>
      </c>
      <c r="R136" s="117">
        <f t="shared" si="36"/>
        <v>0</v>
      </c>
      <c r="S136" s="104" t="str">
        <f t="shared" si="34"/>
        <v>NO</v>
      </c>
    </row>
    <row r="137" spans="1:19" x14ac:dyDescent="0.25">
      <c r="A137" s="221">
        <f t="shared" si="35"/>
        <v>45425</v>
      </c>
      <c r="B137" s="130" t="str">
        <f t="shared" si="26"/>
        <v/>
      </c>
      <c r="C137" s="217">
        <f t="shared" si="27"/>
        <v>0</v>
      </c>
      <c r="D137" s="217">
        <f t="shared" si="28"/>
        <v>0</v>
      </c>
      <c r="E137" s="218">
        <f>SUMIF(Consolidado!$A$6:$A$380,'TOTALES DIARIOS'!A137,Consolidado!$E$6:$E$380)</f>
        <v>0</v>
      </c>
      <c r="F137" s="218">
        <f>SUMIF(Consolidado!$A$6:$A$380,'TOTALES DIARIOS'!A137,Consolidado!$F$6:$F$380)</f>
        <v>0</v>
      </c>
      <c r="G137" s="218">
        <f>SUMIF(Consolidado!$A$6:$A$380,'TOTALES DIARIOS'!A137,Consolidado!$G$6:$G$380)</f>
        <v>0</v>
      </c>
      <c r="H137" s="219">
        <f t="shared" si="29"/>
        <v>0</v>
      </c>
      <c r="I137" s="99">
        <f t="shared" si="30"/>
        <v>0</v>
      </c>
      <c r="J137" s="99">
        <f t="shared" si="31"/>
        <v>0</v>
      </c>
      <c r="K137" s="113">
        <f t="shared" si="32"/>
        <v>2024</v>
      </c>
      <c r="L137" s="113">
        <f t="shared" si="33"/>
        <v>5</v>
      </c>
      <c r="M137" s="115">
        <f t="array" ref="M137">MIN(IF(Consolidado!$A$6:$A$1000='TOTALES DIARIOS'!A137,IF(Consolidado!$C$6:$C$1000&gt;TIMEVALUE("07:00"),Consolidado!$C$6:$C$1000,1)))</f>
        <v>0</v>
      </c>
      <c r="N137" s="115">
        <f t="array" ref="N137">MIN(IF(Consolidado!$A$6:$A$1000='TOTALES DIARIOS'!A137,IF(Consolidado!$C$6:$C$1000&lt;=M137,Consolidado!$C$6:$C$1000,1)))</f>
        <v>0</v>
      </c>
      <c r="O137" s="115">
        <f t="array" ref="O137">MAX(IF(Consolidado!$A$6:$A$1000='TOTALES DIARIOS'!A137,IF(Consolidado!$D$6:$D$1000&gt;=M137,Consolidado!$D$6:$D$1000,0)))</f>
        <v>0</v>
      </c>
      <c r="P137" s="118">
        <f t="array" ref="P137">MAX(IF(Consolidado!$A$6:$A$1000='TOTALES DIARIOS'!A137,IF(Consolidado!$D$6:$D$1000&lt;=M137,Consolidado!$D$6:$D$1000,0)))</f>
        <v>0</v>
      </c>
      <c r="Q137" s="117">
        <f t="shared" ref="Q137:Q200" si="37">IF(M137&lt;&gt;1,MAX(M137,N137),N137)</f>
        <v>0</v>
      </c>
      <c r="R137" s="117">
        <f t="shared" si="36"/>
        <v>0</v>
      </c>
      <c r="S137" s="104" t="str">
        <f t="shared" si="34"/>
        <v>NO</v>
      </c>
    </row>
    <row r="138" spans="1:19" x14ac:dyDescent="0.25">
      <c r="A138" s="221">
        <f t="shared" si="35"/>
        <v>45426</v>
      </c>
      <c r="B138" s="130" t="str">
        <f t="shared" si="26"/>
        <v/>
      </c>
      <c r="C138" s="217">
        <f t="shared" si="27"/>
        <v>0</v>
      </c>
      <c r="D138" s="217">
        <f t="shared" si="28"/>
        <v>0</v>
      </c>
      <c r="E138" s="218">
        <f>SUMIF(Consolidado!$A$6:$A$380,'TOTALES DIARIOS'!A138,Consolidado!$E$6:$E$380)</f>
        <v>0</v>
      </c>
      <c r="F138" s="218">
        <f>SUMIF(Consolidado!$A$6:$A$380,'TOTALES DIARIOS'!A138,Consolidado!$F$6:$F$380)</f>
        <v>0</v>
      </c>
      <c r="G138" s="218">
        <f>SUMIF(Consolidado!$A$6:$A$380,'TOTALES DIARIOS'!A138,Consolidado!$G$6:$G$380)</f>
        <v>0</v>
      </c>
      <c r="H138" s="219">
        <f t="shared" si="29"/>
        <v>0</v>
      </c>
      <c r="I138" s="99">
        <f t="shared" si="30"/>
        <v>0</v>
      </c>
      <c r="J138" s="99">
        <f t="shared" si="31"/>
        <v>0</v>
      </c>
      <c r="K138" s="113">
        <f t="shared" si="32"/>
        <v>2024</v>
      </c>
      <c r="L138" s="113">
        <f t="shared" si="33"/>
        <v>5</v>
      </c>
      <c r="M138" s="115">
        <f t="array" ref="M138">MIN(IF(Consolidado!$A$6:$A$1000='TOTALES DIARIOS'!A138,IF(Consolidado!$C$6:$C$1000&gt;TIMEVALUE("07:00"),Consolidado!$C$6:$C$1000,1)))</f>
        <v>0</v>
      </c>
      <c r="N138" s="115">
        <f t="array" ref="N138">MIN(IF(Consolidado!$A$6:$A$1000='TOTALES DIARIOS'!A138,IF(Consolidado!$C$6:$C$1000&lt;=M138,Consolidado!$C$6:$C$1000,1)))</f>
        <v>0</v>
      </c>
      <c r="O138" s="115">
        <f t="array" ref="O138">MAX(IF(Consolidado!$A$6:$A$1000='TOTALES DIARIOS'!A138,IF(Consolidado!$D$6:$D$1000&gt;=M138,Consolidado!$D$6:$D$1000,0)))</f>
        <v>0</v>
      </c>
      <c r="P138" s="118">
        <f t="array" ref="P138">MAX(IF(Consolidado!$A$6:$A$1000='TOTALES DIARIOS'!A138,IF(Consolidado!$D$6:$D$1000&lt;=M138,Consolidado!$D$6:$D$1000,0)))</f>
        <v>0</v>
      </c>
      <c r="Q138" s="117">
        <f t="shared" si="37"/>
        <v>0</v>
      </c>
      <c r="R138" s="117">
        <f t="shared" si="36"/>
        <v>0</v>
      </c>
      <c r="S138" s="104" t="str">
        <f t="shared" si="34"/>
        <v>NO</v>
      </c>
    </row>
    <row r="139" spans="1:19" x14ac:dyDescent="0.25">
      <c r="A139" s="221">
        <f t="shared" si="35"/>
        <v>45427</v>
      </c>
      <c r="B139" s="130" t="str">
        <f t="shared" si="26"/>
        <v/>
      </c>
      <c r="C139" s="217">
        <f t="shared" si="27"/>
        <v>0</v>
      </c>
      <c r="D139" s="217">
        <f t="shared" si="28"/>
        <v>0</v>
      </c>
      <c r="E139" s="218">
        <f>SUMIF(Consolidado!$A$6:$A$380,'TOTALES DIARIOS'!A139,Consolidado!$E$6:$E$380)</f>
        <v>0</v>
      </c>
      <c r="F139" s="218">
        <f>SUMIF(Consolidado!$A$6:$A$380,'TOTALES DIARIOS'!A139,Consolidado!$F$6:$F$380)</f>
        <v>0</v>
      </c>
      <c r="G139" s="218">
        <f>SUMIF(Consolidado!$A$6:$A$380,'TOTALES DIARIOS'!A139,Consolidado!$G$6:$G$380)</f>
        <v>0</v>
      </c>
      <c r="H139" s="219">
        <f t="shared" si="29"/>
        <v>0</v>
      </c>
      <c r="I139" s="99">
        <f t="shared" si="30"/>
        <v>0</v>
      </c>
      <c r="J139" s="99">
        <f t="shared" si="31"/>
        <v>0</v>
      </c>
      <c r="K139" s="113">
        <f t="shared" si="32"/>
        <v>2024</v>
      </c>
      <c r="L139" s="113">
        <f t="shared" si="33"/>
        <v>5</v>
      </c>
      <c r="M139" s="115">
        <f t="array" ref="M139">MIN(IF(Consolidado!$A$6:$A$1000='TOTALES DIARIOS'!A139,IF(Consolidado!$C$6:$C$1000&gt;TIMEVALUE("07:00"),Consolidado!$C$6:$C$1000,1)))</f>
        <v>0</v>
      </c>
      <c r="N139" s="115">
        <f t="array" ref="N139">MIN(IF(Consolidado!$A$6:$A$1000='TOTALES DIARIOS'!A139,IF(Consolidado!$C$6:$C$1000&lt;=M139,Consolidado!$C$6:$C$1000,1)))</f>
        <v>0</v>
      </c>
      <c r="O139" s="115">
        <f t="array" ref="O139">MAX(IF(Consolidado!$A$6:$A$1000='TOTALES DIARIOS'!A139,IF(Consolidado!$D$6:$D$1000&gt;=M139,Consolidado!$D$6:$D$1000,0)))</f>
        <v>0</v>
      </c>
      <c r="P139" s="118">
        <f t="array" ref="P139">MAX(IF(Consolidado!$A$6:$A$1000='TOTALES DIARIOS'!A139,IF(Consolidado!$D$6:$D$1000&lt;=M139,Consolidado!$D$6:$D$1000,0)))</f>
        <v>0</v>
      </c>
      <c r="Q139" s="117">
        <f t="shared" si="37"/>
        <v>0</v>
      </c>
      <c r="R139" s="117">
        <f t="shared" si="36"/>
        <v>0</v>
      </c>
      <c r="S139" s="104" t="str">
        <f t="shared" si="34"/>
        <v>NO</v>
      </c>
    </row>
    <row r="140" spans="1:19" x14ac:dyDescent="0.25">
      <c r="A140" s="221">
        <f t="shared" si="35"/>
        <v>45428</v>
      </c>
      <c r="B140" s="130" t="str">
        <f t="shared" si="26"/>
        <v/>
      </c>
      <c r="C140" s="217">
        <f t="shared" si="27"/>
        <v>0</v>
      </c>
      <c r="D140" s="217">
        <f t="shared" si="28"/>
        <v>0</v>
      </c>
      <c r="E140" s="218">
        <f>SUMIF(Consolidado!$A$6:$A$380,'TOTALES DIARIOS'!A140,Consolidado!$E$6:$E$380)</f>
        <v>0</v>
      </c>
      <c r="F140" s="218">
        <f>SUMIF(Consolidado!$A$6:$A$380,'TOTALES DIARIOS'!A140,Consolidado!$F$6:$F$380)</f>
        <v>0</v>
      </c>
      <c r="G140" s="218">
        <f>SUMIF(Consolidado!$A$6:$A$380,'TOTALES DIARIOS'!A140,Consolidado!$G$6:$G$380)</f>
        <v>0</v>
      </c>
      <c r="H140" s="219">
        <f t="shared" si="29"/>
        <v>0</v>
      </c>
      <c r="I140" s="99">
        <f t="shared" si="30"/>
        <v>0</v>
      </c>
      <c r="J140" s="99">
        <f t="shared" si="31"/>
        <v>0</v>
      </c>
      <c r="K140" s="113">
        <f t="shared" si="32"/>
        <v>2024</v>
      </c>
      <c r="L140" s="113">
        <f t="shared" si="33"/>
        <v>5</v>
      </c>
      <c r="M140" s="115">
        <f t="array" ref="M140">MIN(IF(Consolidado!$A$6:$A$1000='TOTALES DIARIOS'!A140,IF(Consolidado!$C$6:$C$1000&gt;TIMEVALUE("07:00"),Consolidado!$C$6:$C$1000,1)))</f>
        <v>0</v>
      </c>
      <c r="N140" s="115">
        <f t="array" ref="N140">MIN(IF(Consolidado!$A$6:$A$1000='TOTALES DIARIOS'!A140,IF(Consolidado!$C$6:$C$1000&lt;=M140,Consolidado!$C$6:$C$1000,1)))</f>
        <v>0</v>
      </c>
      <c r="O140" s="115">
        <f t="array" ref="O140">MAX(IF(Consolidado!$A$6:$A$1000='TOTALES DIARIOS'!A140,IF(Consolidado!$D$6:$D$1000&gt;=M140,Consolidado!$D$6:$D$1000,0)))</f>
        <v>0</v>
      </c>
      <c r="P140" s="118">
        <f t="array" ref="P140">MAX(IF(Consolidado!$A$6:$A$1000='TOTALES DIARIOS'!A140,IF(Consolidado!$D$6:$D$1000&lt;=M140,Consolidado!$D$6:$D$1000,0)))</f>
        <v>0</v>
      </c>
      <c r="Q140" s="117">
        <f t="shared" si="37"/>
        <v>0</v>
      </c>
      <c r="R140" s="117">
        <f t="shared" si="36"/>
        <v>0</v>
      </c>
      <c r="S140" s="104" t="str">
        <f t="shared" si="34"/>
        <v>NO</v>
      </c>
    </row>
    <row r="141" spans="1:19" x14ac:dyDescent="0.25">
      <c r="A141" s="221">
        <f t="shared" si="35"/>
        <v>45429</v>
      </c>
      <c r="B141" s="130" t="str">
        <f t="shared" si="26"/>
        <v/>
      </c>
      <c r="C141" s="217">
        <f t="shared" si="27"/>
        <v>0</v>
      </c>
      <c r="D141" s="217">
        <f t="shared" si="28"/>
        <v>0</v>
      </c>
      <c r="E141" s="218">
        <f>SUMIF(Consolidado!$A$6:$A$380,'TOTALES DIARIOS'!A141,Consolidado!$E$6:$E$380)</f>
        <v>0</v>
      </c>
      <c r="F141" s="218">
        <f>SUMIF(Consolidado!$A$6:$A$380,'TOTALES DIARIOS'!A141,Consolidado!$F$6:$F$380)</f>
        <v>0</v>
      </c>
      <c r="G141" s="218">
        <f>SUMIF(Consolidado!$A$6:$A$380,'TOTALES DIARIOS'!A141,Consolidado!$G$6:$G$380)</f>
        <v>0</v>
      </c>
      <c r="H141" s="219">
        <f t="shared" si="29"/>
        <v>0</v>
      </c>
      <c r="I141" s="99">
        <f t="shared" si="30"/>
        <v>0</v>
      </c>
      <c r="J141" s="99">
        <f t="shared" si="31"/>
        <v>0</v>
      </c>
      <c r="K141" s="113">
        <f t="shared" si="32"/>
        <v>2024</v>
      </c>
      <c r="L141" s="113">
        <f t="shared" si="33"/>
        <v>5</v>
      </c>
      <c r="M141" s="115">
        <f t="array" ref="M141">MIN(IF(Consolidado!$A$6:$A$1000='TOTALES DIARIOS'!A141,IF(Consolidado!$C$6:$C$1000&gt;TIMEVALUE("07:00"),Consolidado!$C$6:$C$1000,1)))</f>
        <v>0</v>
      </c>
      <c r="N141" s="115">
        <f t="array" ref="N141">MIN(IF(Consolidado!$A$6:$A$1000='TOTALES DIARIOS'!A141,IF(Consolidado!$C$6:$C$1000&lt;=M141,Consolidado!$C$6:$C$1000,1)))</f>
        <v>0</v>
      </c>
      <c r="O141" s="115">
        <f t="array" ref="O141">MAX(IF(Consolidado!$A$6:$A$1000='TOTALES DIARIOS'!A141,IF(Consolidado!$D$6:$D$1000&gt;=M141,Consolidado!$D$6:$D$1000,0)))</f>
        <v>0</v>
      </c>
      <c r="P141" s="118">
        <f t="array" ref="P141">MAX(IF(Consolidado!$A$6:$A$1000='TOTALES DIARIOS'!A141,IF(Consolidado!$D$6:$D$1000&lt;=M141,Consolidado!$D$6:$D$1000,0)))</f>
        <v>0</v>
      </c>
      <c r="Q141" s="117">
        <f t="shared" si="37"/>
        <v>0</v>
      </c>
      <c r="R141" s="117">
        <f t="shared" si="36"/>
        <v>0</v>
      </c>
      <c r="S141" s="104" t="str">
        <f t="shared" si="34"/>
        <v>NO</v>
      </c>
    </row>
    <row r="142" spans="1:19" x14ac:dyDescent="0.25">
      <c r="A142" s="221">
        <f t="shared" si="35"/>
        <v>45430</v>
      </c>
      <c r="B142" s="130" t="str">
        <f t="shared" si="26"/>
        <v/>
      </c>
      <c r="C142" s="217">
        <f t="shared" si="27"/>
        <v>0</v>
      </c>
      <c r="D142" s="217">
        <f t="shared" si="28"/>
        <v>0</v>
      </c>
      <c r="E142" s="218">
        <f>SUMIF(Consolidado!$A$6:$A$380,'TOTALES DIARIOS'!A142,Consolidado!$E$6:$E$380)</f>
        <v>0</v>
      </c>
      <c r="F142" s="218">
        <f>SUMIF(Consolidado!$A$6:$A$380,'TOTALES DIARIOS'!A142,Consolidado!$F$6:$F$380)</f>
        <v>0</v>
      </c>
      <c r="G142" s="218">
        <f>SUMIF(Consolidado!$A$6:$A$380,'TOTALES DIARIOS'!A142,Consolidado!$G$6:$G$380)</f>
        <v>0</v>
      </c>
      <c r="H142" s="219">
        <f t="shared" si="29"/>
        <v>0</v>
      </c>
      <c r="I142" s="99">
        <f t="shared" si="30"/>
        <v>0</v>
      </c>
      <c r="J142" s="99">
        <f t="shared" si="31"/>
        <v>0</v>
      </c>
      <c r="K142" s="113">
        <f t="shared" si="32"/>
        <v>2024</v>
      </c>
      <c r="L142" s="113">
        <f t="shared" si="33"/>
        <v>5</v>
      </c>
      <c r="M142" s="115">
        <f t="array" ref="M142">MIN(IF(Consolidado!$A$6:$A$1000='TOTALES DIARIOS'!A142,IF(Consolidado!$C$6:$C$1000&gt;TIMEVALUE("07:00"),Consolidado!$C$6:$C$1000,1)))</f>
        <v>0</v>
      </c>
      <c r="N142" s="115">
        <f t="array" ref="N142">MIN(IF(Consolidado!$A$6:$A$1000='TOTALES DIARIOS'!A142,IF(Consolidado!$C$6:$C$1000&lt;=M142,Consolidado!$C$6:$C$1000,1)))</f>
        <v>0</v>
      </c>
      <c r="O142" s="115">
        <f t="array" ref="O142">MAX(IF(Consolidado!$A$6:$A$1000='TOTALES DIARIOS'!A142,IF(Consolidado!$D$6:$D$1000&gt;=M142,Consolidado!$D$6:$D$1000,0)))</f>
        <v>0</v>
      </c>
      <c r="P142" s="118">
        <f t="array" ref="P142">MAX(IF(Consolidado!$A$6:$A$1000='TOTALES DIARIOS'!A142,IF(Consolidado!$D$6:$D$1000&lt;=M142,Consolidado!$D$6:$D$1000,0)))</f>
        <v>0</v>
      </c>
      <c r="Q142" s="117">
        <f t="shared" si="37"/>
        <v>0</v>
      </c>
      <c r="R142" s="117">
        <f t="shared" si="36"/>
        <v>0</v>
      </c>
      <c r="S142" s="104" t="str">
        <f t="shared" si="34"/>
        <v>NO</v>
      </c>
    </row>
    <row r="143" spans="1:19" x14ac:dyDescent="0.25">
      <c r="A143" s="221">
        <f t="shared" si="35"/>
        <v>45431</v>
      </c>
      <c r="B143" s="130" t="str">
        <f t="shared" si="26"/>
        <v/>
      </c>
      <c r="C143" s="217">
        <f t="shared" si="27"/>
        <v>0</v>
      </c>
      <c r="D143" s="217">
        <f t="shared" si="28"/>
        <v>0</v>
      </c>
      <c r="E143" s="218">
        <f>SUMIF(Consolidado!$A$6:$A$380,'TOTALES DIARIOS'!A143,Consolidado!$E$6:$E$380)</f>
        <v>0</v>
      </c>
      <c r="F143" s="218">
        <f>SUMIF(Consolidado!$A$6:$A$380,'TOTALES DIARIOS'!A143,Consolidado!$F$6:$F$380)</f>
        <v>0</v>
      </c>
      <c r="G143" s="218">
        <f>SUMIF(Consolidado!$A$6:$A$380,'TOTALES DIARIOS'!A143,Consolidado!$G$6:$G$380)</f>
        <v>0</v>
      </c>
      <c r="H143" s="219">
        <f t="shared" si="29"/>
        <v>0</v>
      </c>
      <c r="I143" s="99">
        <f t="shared" si="30"/>
        <v>0</v>
      </c>
      <c r="J143" s="99">
        <f t="shared" si="31"/>
        <v>0</v>
      </c>
      <c r="K143" s="113">
        <f t="shared" si="32"/>
        <v>2024</v>
      </c>
      <c r="L143" s="113">
        <f t="shared" si="33"/>
        <v>5</v>
      </c>
      <c r="M143" s="115">
        <f t="array" ref="M143">MIN(IF(Consolidado!$A$6:$A$1000='TOTALES DIARIOS'!A143,IF(Consolidado!$C$6:$C$1000&gt;TIMEVALUE("07:00"),Consolidado!$C$6:$C$1000,1)))</f>
        <v>0</v>
      </c>
      <c r="N143" s="115">
        <f t="array" ref="N143">MIN(IF(Consolidado!$A$6:$A$1000='TOTALES DIARIOS'!A143,IF(Consolidado!$C$6:$C$1000&lt;=M143,Consolidado!$C$6:$C$1000,1)))</f>
        <v>0</v>
      </c>
      <c r="O143" s="115">
        <f t="array" ref="O143">MAX(IF(Consolidado!$A$6:$A$1000='TOTALES DIARIOS'!A143,IF(Consolidado!$D$6:$D$1000&gt;=M143,Consolidado!$D$6:$D$1000,0)))</f>
        <v>0</v>
      </c>
      <c r="P143" s="118">
        <f t="array" ref="P143">MAX(IF(Consolidado!$A$6:$A$1000='TOTALES DIARIOS'!A143,IF(Consolidado!$D$6:$D$1000&lt;=M143,Consolidado!$D$6:$D$1000,0)))</f>
        <v>0</v>
      </c>
      <c r="Q143" s="117">
        <f t="shared" si="37"/>
        <v>0</v>
      </c>
      <c r="R143" s="117">
        <f t="shared" si="36"/>
        <v>0</v>
      </c>
      <c r="S143" s="104" t="str">
        <f t="shared" si="34"/>
        <v>NO</v>
      </c>
    </row>
    <row r="144" spans="1:19" x14ac:dyDescent="0.25">
      <c r="A144" s="221">
        <f t="shared" si="35"/>
        <v>45432</v>
      </c>
      <c r="B144" s="130" t="str">
        <f t="shared" si="26"/>
        <v/>
      </c>
      <c r="C144" s="217">
        <f t="shared" si="27"/>
        <v>0</v>
      </c>
      <c r="D144" s="217">
        <f t="shared" si="28"/>
        <v>0</v>
      </c>
      <c r="E144" s="218">
        <f>SUMIF(Consolidado!$A$6:$A$380,'TOTALES DIARIOS'!A144,Consolidado!$E$6:$E$380)</f>
        <v>0</v>
      </c>
      <c r="F144" s="218">
        <f>SUMIF(Consolidado!$A$6:$A$380,'TOTALES DIARIOS'!A144,Consolidado!$F$6:$F$380)</f>
        <v>0</v>
      </c>
      <c r="G144" s="218">
        <f>SUMIF(Consolidado!$A$6:$A$380,'TOTALES DIARIOS'!A144,Consolidado!$G$6:$G$380)</f>
        <v>0</v>
      </c>
      <c r="H144" s="219">
        <f t="shared" si="29"/>
        <v>0</v>
      </c>
      <c r="I144" s="99">
        <f t="shared" si="30"/>
        <v>0</v>
      </c>
      <c r="J144" s="99">
        <f t="shared" si="31"/>
        <v>0</v>
      </c>
      <c r="K144" s="113">
        <f t="shared" si="32"/>
        <v>2024</v>
      </c>
      <c r="L144" s="113">
        <f t="shared" si="33"/>
        <v>5</v>
      </c>
      <c r="M144" s="115">
        <f t="array" ref="M144">MIN(IF(Consolidado!$A$6:$A$1000='TOTALES DIARIOS'!A144,IF(Consolidado!$C$6:$C$1000&gt;TIMEVALUE("07:00"),Consolidado!$C$6:$C$1000,1)))</f>
        <v>0</v>
      </c>
      <c r="N144" s="115">
        <f t="array" ref="N144">MIN(IF(Consolidado!$A$6:$A$1000='TOTALES DIARIOS'!A144,IF(Consolidado!$C$6:$C$1000&lt;=M144,Consolidado!$C$6:$C$1000,1)))</f>
        <v>0</v>
      </c>
      <c r="O144" s="115">
        <f t="array" ref="O144">MAX(IF(Consolidado!$A$6:$A$1000='TOTALES DIARIOS'!A144,IF(Consolidado!$D$6:$D$1000&gt;=M144,Consolidado!$D$6:$D$1000,0)))</f>
        <v>0</v>
      </c>
      <c r="P144" s="118">
        <f t="array" ref="P144">MAX(IF(Consolidado!$A$6:$A$1000='TOTALES DIARIOS'!A144,IF(Consolidado!$D$6:$D$1000&lt;=M144,Consolidado!$D$6:$D$1000,0)))</f>
        <v>0</v>
      </c>
      <c r="Q144" s="117">
        <f t="shared" si="37"/>
        <v>0</v>
      </c>
      <c r="R144" s="117">
        <f t="shared" si="36"/>
        <v>0</v>
      </c>
      <c r="S144" s="104" t="str">
        <f t="shared" si="34"/>
        <v>NO</v>
      </c>
    </row>
    <row r="145" spans="1:19" x14ac:dyDescent="0.25">
      <c r="A145" s="221">
        <f t="shared" si="35"/>
        <v>45433</v>
      </c>
      <c r="B145" s="130" t="str">
        <f t="shared" si="26"/>
        <v/>
      </c>
      <c r="C145" s="217">
        <f t="shared" si="27"/>
        <v>0</v>
      </c>
      <c r="D145" s="217">
        <f t="shared" si="28"/>
        <v>0</v>
      </c>
      <c r="E145" s="218">
        <f>SUMIF(Consolidado!$A$6:$A$380,'TOTALES DIARIOS'!A145,Consolidado!$E$6:$E$380)</f>
        <v>0</v>
      </c>
      <c r="F145" s="218">
        <f>SUMIF(Consolidado!$A$6:$A$380,'TOTALES DIARIOS'!A145,Consolidado!$F$6:$F$380)</f>
        <v>0</v>
      </c>
      <c r="G145" s="218">
        <f>SUMIF(Consolidado!$A$6:$A$380,'TOTALES DIARIOS'!A145,Consolidado!$G$6:$G$380)</f>
        <v>0</v>
      </c>
      <c r="H145" s="219">
        <f t="shared" si="29"/>
        <v>0</v>
      </c>
      <c r="I145" s="99">
        <f t="shared" si="30"/>
        <v>0</v>
      </c>
      <c r="J145" s="99">
        <f t="shared" si="31"/>
        <v>0</v>
      </c>
      <c r="K145" s="113">
        <f t="shared" si="32"/>
        <v>2024</v>
      </c>
      <c r="L145" s="113">
        <f t="shared" si="33"/>
        <v>5</v>
      </c>
      <c r="M145" s="115">
        <f t="array" ref="M145">MIN(IF(Consolidado!$A$6:$A$1000='TOTALES DIARIOS'!A145,IF(Consolidado!$C$6:$C$1000&gt;TIMEVALUE("07:00"),Consolidado!$C$6:$C$1000,1)))</f>
        <v>0</v>
      </c>
      <c r="N145" s="115">
        <f t="array" ref="N145">MIN(IF(Consolidado!$A$6:$A$1000='TOTALES DIARIOS'!A145,IF(Consolidado!$C$6:$C$1000&lt;=M145,Consolidado!$C$6:$C$1000,1)))</f>
        <v>0</v>
      </c>
      <c r="O145" s="115">
        <f t="array" ref="O145">MAX(IF(Consolidado!$A$6:$A$1000='TOTALES DIARIOS'!A145,IF(Consolidado!$D$6:$D$1000&gt;=M145,Consolidado!$D$6:$D$1000,0)))</f>
        <v>0</v>
      </c>
      <c r="P145" s="118">
        <f t="array" ref="P145">MAX(IF(Consolidado!$A$6:$A$1000='TOTALES DIARIOS'!A145,IF(Consolidado!$D$6:$D$1000&lt;=M145,Consolidado!$D$6:$D$1000,0)))</f>
        <v>0</v>
      </c>
      <c r="Q145" s="117">
        <f t="shared" si="37"/>
        <v>0</v>
      </c>
      <c r="R145" s="117">
        <f t="shared" si="36"/>
        <v>0</v>
      </c>
      <c r="S145" s="104" t="str">
        <f t="shared" si="34"/>
        <v>NO</v>
      </c>
    </row>
    <row r="146" spans="1:19" x14ac:dyDescent="0.25">
      <c r="A146" s="221">
        <f t="shared" si="35"/>
        <v>45434</v>
      </c>
      <c r="B146" s="130" t="str">
        <f t="shared" si="26"/>
        <v/>
      </c>
      <c r="C146" s="217">
        <f t="shared" si="27"/>
        <v>0</v>
      </c>
      <c r="D146" s="217">
        <f t="shared" si="28"/>
        <v>0</v>
      </c>
      <c r="E146" s="218">
        <f>SUMIF(Consolidado!$A$6:$A$380,'TOTALES DIARIOS'!A146,Consolidado!$E$6:$E$380)</f>
        <v>0</v>
      </c>
      <c r="F146" s="218">
        <f>SUMIF(Consolidado!$A$6:$A$380,'TOTALES DIARIOS'!A146,Consolidado!$F$6:$F$380)</f>
        <v>0</v>
      </c>
      <c r="G146" s="218">
        <f>SUMIF(Consolidado!$A$6:$A$380,'TOTALES DIARIOS'!A146,Consolidado!$G$6:$G$380)</f>
        <v>0</v>
      </c>
      <c r="H146" s="219">
        <f t="shared" si="29"/>
        <v>0</v>
      </c>
      <c r="I146" s="99">
        <f t="shared" si="30"/>
        <v>0</v>
      </c>
      <c r="J146" s="99">
        <f t="shared" si="31"/>
        <v>0</v>
      </c>
      <c r="K146" s="113">
        <f t="shared" si="32"/>
        <v>2024</v>
      </c>
      <c r="L146" s="113">
        <f t="shared" si="33"/>
        <v>5</v>
      </c>
      <c r="M146" s="115">
        <f t="array" ref="M146">MIN(IF(Consolidado!$A$6:$A$1000='TOTALES DIARIOS'!A146,IF(Consolidado!$C$6:$C$1000&gt;TIMEVALUE("07:00"),Consolidado!$C$6:$C$1000,1)))</f>
        <v>0</v>
      </c>
      <c r="N146" s="115">
        <f t="array" ref="N146">MIN(IF(Consolidado!$A$6:$A$1000='TOTALES DIARIOS'!A146,IF(Consolidado!$C$6:$C$1000&lt;=M146,Consolidado!$C$6:$C$1000,1)))</f>
        <v>0</v>
      </c>
      <c r="O146" s="115">
        <f t="array" ref="O146">MAX(IF(Consolidado!$A$6:$A$1000='TOTALES DIARIOS'!A146,IF(Consolidado!$D$6:$D$1000&gt;=M146,Consolidado!$D$6:$D$1000,0)))</f>
        <v>0</v>
      </c>
      <c r="P146" s="118">
        <f t="array" ref="P146">MAX(IF(Consolidado!$A$6:$A$1000='TOTALES DIARIOS'!A146,IF(Consolidado!$D$6:$D$1000&lt;=M146,Consolidado!$D$6:$D$1000,0)))</f>
        <v>0</v>
      </c>
      <c r="Q146" s="117">
        <f t="shared" si="37"/>
        <v>0</v>
      </c>
      <c r="R146" s="117">
        <f t="shared" si="36"/>
        <v>0</v>
      </c>
      <c r="S146" s="104" t="str">
        <f t="shared" si="34"/>
        <v>NO</v>
      </c>
    </row>
    <row r="147" spans="1:19" x14ac:dyDescent="0.25">
      <c r="A147" s="221">
        <f t="shared" si="35"/>
        <v>45435</v>
      </c>
      <c r="B147" s="130" t="str">
        <f t="shared" si="26"/>
        <v/>
      </c>
      <c r="C147" s="217">
        <f t="shared" si="27"/>
        <v>0</v>
      </c>
      <c r="D147" s="217">
        <f t="shared" si="28"/>
        <v>0</v>
      </c>
      <c r="E147" s="218">
        <f>SUMIF(Consolidado!$A$6:$A$380,'TOTALES DIARIOS'!A147,Consolidado!$E$6:$E$380)</f>
        <v>0</v>
      </c>
      <c r="F147" s="218">
        <f>SUMIF(Consolidado!$A$6:$A$380,'TOTALES DIARIOS'!A147,Consolidado!$F$6:$F$380)</f>
        <v>0</v>
      </c>
      <c r="G147" s="218">
        <f>SUMIF(Consolidado!$A$6:$A$380,'TOTALES DIARIOS'!A147,Consolidado!$G$6:$G$380)</f>
        <v>0</v>
      </c>
      <c r="H147" s="219">
        <f t="shared" si="29"/>
        <v>0</v>
      </c>
      <c r="I147" s="99">
        <f t="shared" si="30"/>
        <v>0</v>
      </c>
      <c r="J147" s="99">
        <f t="shared" si="31"/>
        <v>0</v>
      </c>
      <c r="K147" s="113">
        <f t="shared" si="32"/>
        <v>2024</v>
      </c>
      <c r="L147" s="113">
        <f t="shared" si="33"/>
        <v>5</v>
      </c>
      <c r="M147" s="115">
        <f t="array" ref="M147">MIN(IF(Consolidado!$A$6:$A$1000='TOTALES DIARIOS'!A147,IF(Consolidado!$C$6:$C$1000&gt;TIMEVALUE("07:00"),Consolidado!$C$6:$C$1000,1)))</f>
        <v>0</v>
      </c>
      <c r="N147" s="115">
        <f t="array" ref="N147">MIN(IF(Consolidado!$A$6:$A$1000='TOTALES DIARIOS'!A147,IF(Consolidado!$C$6:$C$1000&lt;=M147,Consolidado!$C$6:$C$1000,1)))</f>
        <v>0</v>
      </c>
      <c r="O147" s="115">
        <f t="array" ref="O147">MAX(IF(Consolidado!$A$6:$A$1000='TOTALES DIARIOS'!A147,IF(Consolidado!$D$6:$D$1000&gt;=M147,Consolidado!$D$6:$D$1000,0)))</f>
        <v>0</v>
      </c>
      <c r="P147" s="118">
        <f t="array" ref="P147">MAX(IF(Consolidado!$A$6:$A$1000='TOTALES DIARIOS'!A147,IF(Consolidado!$D$6:$D$1000&lt;=M147,Consolidado!$D$6:$D$1000,0)))</f>
        <v>0</v>
      </c>
      <c r="Q147" s="117">
        <f t="shared" si="37"/>
        <v>0</v>
      </c>
      <c r="R147" s="117">
        <f t="shared" si="36"/>
        <v>0</v>
      </c>
      <c r="S147" s="104" t="str">
        <f t="shared" si="34"/>
        <v>NO</v>
      </c>
    </row>
    <row r="148" spans="1:19" x14ac:dyDescent="0.25">
      <c r="A148" s="221">
        <f t="shared" si="35"/>
        <v>45436</v>
      </c>
      <c r="B148" s="130" t="str">
        <f t="shared" si="26"/>
        <v/>
      </c>
      <c r="C148" s="217">
        <f t="shared" si="27"/>
        <v>0</v>
      </c>
      <c r="D148" s="217">
        <f t="shared" si="28"/>
        <v>0</v>
      </c>
      <c r="E148" s="218">
        <f>SUMIF(Consolidado!$A$6:$A$380,'TOTALES DIARIOS'!A148,Consolidado!$E$6:$E$380)</f>
        <v>0</v>
      </c>
      <c r="F148" s="218">
        <f>SUMIF(Consolidado!$A$6:$A$380,'TOTALES DIARIOS'!A148,Consolidado!$F$6:$F$380)</f>
        <v>0</v>
      </c>
      <c r="G148" s="218">
        <f>SUMIF(Consolidado!$A$6:$A$380,'TOTALES DIARIOS'!A148,Consolidado!$G$6:$G$380)</f>
        <v>0</v>
      </c>
      <c r="H148" s="219">
        <f t="shared" si="29"/>
        <v>0</v>
      </c>
      <c r="I148" s="99">
        <f t="shared" si="30"/>
        <v>0</v>
      </c>
      <c r="J148" s="99">
        <f t="shared" si="31"/>
        <v>0</v>
      </c>
      <c r="K148" s="113">
        <f t="shared" si="32"/>
        <v>2024</v>
      </c>
      <c r="L148" s="113">
        <f t="shared" si="33"/>
        <v>5</v>
      </c>
      <c r="M148" s="115">
        <f t="array" ref="M148">MIN(IF(Consolidado!$A$6:$A$1000='TOTALES DIARIOS'!A148,IF(Consolidado!$C$6:$C$1000&gt;TIMEVALUE("07:00"),Consolidado!$C$6:$C$1000,1)))</f>
        <v>0</v>
      </c>
      <c r="N148" s="115">
        <f t="array" ref="N148">MIN(IF(Consolidado!$A$6:$A$1000='TOTALES DIARIOS'!A148,IF(Consolidado!$C$6:$C$1000&lt;=M148,Consolidado!$C$6:$C$1000,1)))</f>
        <v>0</v>
      </c>
      <c r="O148" s="115">
        <f t="array" ref="O148">MAX(IF(Consolidado!$A$6:$A$1000='TOTALES DIARIOS'!A148,IF(Consolidado!$D$6:$D$1000&gt;=M148,Consolidado!$D$6:$D$1000,0)))</f>
        <v>0</v>
      </c>
      <c r="P148" s="118">
        <f t="array" ref="P148">MAX(IF(Consolidado!$A$6:$A$1000='TOTALES DIARIOS'!A148,IF(Consolidado!$D$6:$D$1000&lt;=M148,Consolidado!$D$6:$D$1000,0)))</f>
        <v>0</v>
      </c>
      <c r="Q148" s="117">
        <f t="shared" si="37"/>
        <v>0</v>
      </c>
      <c r="R148" s="117">
        <f t="shared" si="36"/>
        <v>0</v>
      </c>
      <c r="S148" s="104" t="str">
        <f t="shared" si="34"/>
        <v>NO</v>
      </c>
    </row>
    <row r="149" spans="1:19" x14ac:dyDescent="0.25">
      <c r="A149" s="221">
        <f t="shared" si="35"/>
        <v>45437</v>
      </c>
      <c r="B149" s="130" t="str">
        <f t="shared" si="26"/>
        <v/>
      </c>
      <c r="C149" s="217">
        <f t="shared" si="27"/>
        <v>0</v>
      </c>
      <c r="D149" s="217">
        <f t="shared" si="28"/>
        <v>0</v>
      </c>
      <c r="E149" s="218">
        <f>SUMIF(Consolidado!$A$6:$A$380,'TOTALES DIARIOS'!A149,Consolidado!$E$6:$E$380)</f>
        <v>0</v>
      </c>
      <c r="F149" s="218">
        <f>SUMIF(Consolidado!$A$6:$A$380,'TOTALES DIARIOS'!A149,Consolidado!$F$6:$F$380)</f>
        <v>0</v>
      </c>
      <c r="G149" s="218">
        <f>SUMIF(Consolidado!$A$6:$A$380,'TOTALES DIARIOS'!A149,Consolidado!$G$6:$G$380)</f>
        <v>0</v>
      </c>
      <c r="H149" s="219">
        <f t="shared" si="29"/>
        <v>0</v>
      </c>
      <c r="I149" s="99">
        <f t="shared" si="30"/>
        <v>0</v>
      </c>
      <c r="J149" s="99">
        <f t="shared" si="31"/>
        <v>0</v>
      </c>
      <c r="K149" s="113">
        <f t="shared" si="32"/>
        <v>2024</v>
      </c>
      <c r="L149" s="113">
        <f t="shared" si="33"/>
        <v>5</v>
      </c>
      <c r="M149" s="115">
        <f t="array" ref="M149">MIN(IF(Consolidado!$A$6:$A$1000='TOTALES DIARIOS'!A149,IF(Consolidado!$C$6:$C$1000&gt;TIMEVALUE("07:00"),Consolidado!$C$6:$C$1000,1)))</f>
        <v>0</v>
      </c>
      <c r="N149" s="115">
        <f t="array" ref="N149">MIN(IF(Consolidado!$A$6:$A$1000='TOTALES DIARIOS'!A149,IF(Consolidado!$C$6:$C$1000&lt;=M149,Consolidado!$C$6:$C$1000,1)))</f>
        <v>0</v>
      </c>
      <c r="O149" s="115">
        <f t="array" ref="O149">MAX(IF(Consolidado!$A$6:$A$1000='TOTALES DIARIOS'!A149,IF(Consolidado!$D$6:$D$1000&gt;=M149,Consolidado!$D$6:$D$1000,0)))</f>
        <v>0</v>
      </c>
      <c r="P149" s="118">
        <f t="array" ref="P149">MAX(IF(Consolidado!$A$6:$A$1000='TOTALES DIARIOS'!A149,IF(Consolidado!$D$6:$D$1000&lt;=M149,Consolidado!$D$6:$D$1000,0)))</f>
        <v>0</v>
      </c>
      <c r="Q149" s="117">
        <f t="shared" si="37"/>
        <v>0</v>
      </c>
      <c r="R149" s="117">
        <f t="shared" si="36"/>
        <v>0</v>
      </c>
      <c r="S149" s="104" t="str">
        <f t="shared" si="34"/>
        <v>NO</v>
      </c>
    </row>
    <row r="150" spans="1:19" x14ac:dyDescent="0.25">
      <c r="A150" s="221">
        <f t="shared" si="35"/>
        <v>45438</v>
      </c>
      <c r="B150" s="130" t="str">
        <f t="shared" si="26"/>
        <v/>
      </c>
      <c r="C150" s="217">
        <f t="shared" si="27"/>
        <v>0</v>
      </c>
      <c r="D150" s="217">
        <f t="shared" si="28"/>
        <v>0</v>
      </c>
      <c r="E150" s="218">
        <f>SUMIF(Consolidado!$A$6:$A$380,'TOTALES DIARIOS'!A150,Consolidado!$E$6:$E$380)</f>
        <v>0</v>
      </c>
      <c r="F150" s="218">
        <f>SUMIF(Consolidado!$A$6:$A$380,'TOTALES DIARIOS'!A150,Consolidado!$F$6:$F$380)</f>
        <v>0</v>
      </c>
      <c r="G150" s="218">
        <f>SUMIF(Consolidado!$A$6:$A$380,'TOTALES DIARIOS'!A150,Consolidado!$G$6:$G$380)</f>
        <v>0</v>
      </c>
      <c r="H150" s="219">
        <f t="shared" si="29"/>
        <v>0</v>
      </c>
      <c r="I150" s="99">
        <f t="shared" si="30"/>
        <v>0</v>
      </c>
      <c r="J150" s="99">
        <f t="shared" si="31"/>
        <v>0</v>
      </c>
      <c r="K150" s="113">
        <f t="shared" si="32"/>
        <v>2024</v>
      </c>
      <c r="L150" s="113">
        <f t="shared" si="33"/>
        <v>5</v>
      </c>
      <c r="M150" s="115">
        <f t="array" ref="M150">MIN(IF(Consolidado!$A$6:$A$1000='TOTALES DIARIOS'!A150,IF(Consolidado!$C$6:$C$1000&gt;TIMEVALUE("07:00"),Consolidado!$C$6:$C$1000,1)))</f>
        <v>0</v>
      </c>
      <c r="N150" s="115">
        <f t="array" ref="N150">MIN(IF(Consolidado!$A$6:$A$1000='TOTALES DIARIOS'!A150,IF(Consolidado!$C$6:$C$1000&lt;=M150,Consolidado!$C$6:$C$1000,1)))</f>
        <v>0</v>
      </c>
      <c r="O150" s="115">
        <f t="array" ref="O150">MAX(IF(Consolidado!$A$6:$A$1000='TOTALES DIARIOS'!A150,IF(Consolidado!$D$6:$D$1000&gt;=M150,Consolidado!$D$6:$D$1000,0)))</f>
        <v>0</v>
      </c>
      <c r="P150" s="118">
        <f t="array" ref="P150">MAX(IF(Consolidado!$A$6:$A$1000='TOTALES DIARIOS'!A150,IF(Consolidado!$D$6:$D$1000&lt;=M150,Consolidado!$D$6:$D$1000,0)))</f>
        <v>0</v>
      </c>
      <c r="Q150" s="117">
        <f t="shared" si="37"/>
        <v>0</v>
      </c>
      <c r="R150" s="117">
        <f t="shared" si="36"/>
        <v>0</v>
      </c>
      <c r="S150" s="104" t="str">
        <f t="shared" si="34"/>
        <v>NO</v>
      </c>
    </row>
    <row r="151" spans="1:19" x14ac:dyDescent="0.25">
      <c r="A151" s="221">
        <f t="shared" si="35"/>
        <v>45439</v>
      </c>
      <c r="B151" s="130" t="str">
        <f t="shared" si="26"/>
        <v/>
      </c>
      <c r="C151" s="217">
        <f t="shared" si="27"/>
        <v>0</v>
      </c>
      <c r="D151" s="217">
        <f t="shared" si="28"/>
        <v>0</v>
      </c>
      <c r="E151" s="218">
        <f>SUMIF(Consolidado!$A$6:$A$380,'TOTALES DIARIOS'!A151,Consolidado!$E$6:$E$380)</f>
        <v>0</v>
      </c>
      <c r="F151" s="218">
        <f>SUMIF(Consolidado!$A$6:$A$380,'TOTALES DIARIOS'!A151,Consolidado!$F$6:$F$380)</f>
        <v>0</v>
      </c>
      <c r="G151" s="218">
        <f>SUMIF(Consolidado!$A$6:$A$380,'TOTALES DIARIOS'!A151,Consolidado!$G$6:$G$380)</f>
        <v>0</v>
      </c>
      <c r="H151" s="219">
        <f t="shared" si="29"/>
        <v>0</v>
      </c>
      <c r="I151" s="99">
        <f t="shared" si="30"/>
        <v>0</v>
      </c>
      <c r="J151" s="99">
        <f t="shared" si="31"/>
        <v>0</v>
      </c>
      <c r="K151" s="113">
        <f t="shared" si="32"/>
        <v>2024</v>
      </c>
      <c r="L151" s="113">
        <f t="shared" si="33"/>
        <v>5</v>
      </c>
      <c r="M151" s="115">
        <f t="array" ref="M151">MIN(IF(Consolidado!$A$6:$A$1000='TOTALES DIARIOS'!A151,IF(Consolidado!$C$6:$C$1000&gt;TIMEVALUE("07:00"),Consolidado!$C$6:$C$1000,1)))</f>
        <v>0</v>
      </c>
      <c r="N151" s="115">
        <f t="array" ref="N151">MIN(IF(Consolidado!$A$6:$A$1000='TOTALES DIARIOS'!A151,IF(Consolidado!$C$6:$C$1000&lt;=M151,Consolidado!$C$6:$C$1000,1)))</f>
        <v>0</v>
      </c>
      <c r="O151" s="115">
        <f t="array" ref="O151">MAX(IF(Consolidado!$A$6:$A$1000='TOTALES DIARIOS'!A151,IF(Consolidado!$D$6:$D$1000&gt;=M151,Consolidado!$D$6:$D$1000,0)))</f>
        <v>0</v>
      </c>
      <c r="P151" s="118">
        <f t="array" ref="P151">MAX(IF(Consolidado!$A$6:$A$1000='TOTALES DIARIOS'!A151,IF(Consolidado!$D$6:$D$1000&lt;=M151,Consolidado!$D$6:$D$1000,0)))</f>
        <v>0</v>
      </c>
      <c r="Q151" s="117">
        <f t="shared" si="37"/>
        <v>0</v>
      </c>
      <c r="R151" s="117">
        <f t="shared" si="36"/>
        <v>0</v>
      </c>
      <c r="S151" s="104" t="str">
        <f t="shared" si="34"/>
        <v>NO</v>
      </c>
    </row>
    <row r="152" spans="1:19" x14ac:dyDescent="0.25">
      <c r="A152" s="221">
        <f t="shared" si="35"/>
        <v>45440</v>
      </c>
      <c r="B152" s="130" t="str">
        <f t="shared" si="26"/>
        <v/>
      </c>
      <c r="C152" s="217">
        <f t="shared" si="27"/>
        <v>0</v>
      </c>
      <c r="D152" s="217">
        <f t="shared" si="28"/>
        <v>0</v>
      </c>
      <c r="E152" s="218">
        <f>SUMIF(Consolidado!$A$6:$A$380,'TOTALES DIARIOS'!A152,Consolidado!$E$6:$E$380)</f>
        <v>0</v>
      </c>
      <c r="F152" s="218">
        <f>SUMIF(Consolidado!$A$6:$A$380,'TOTALES DIARIOS'!A152,Consolidado!$F$6:$F$380)</f>
        <v>0</v>
      </c>
      <c r="G152" s="218">
        <f>SUMIF(Consolidado!$A$6:$A$380,'TOTALES DIARIOS'!A152,Consolidado!$G$6:$G$380)</f>
        <v>0</v>
      </c>
      <c r="H152" s="219">
        <f t="shared" si="29"/>
        <v>0</v>
      </c>
      <c r="I152" s="99">
        <f t="shared" si="30"/>
        <v>0</v>
      </c>
      <c r="J152" s="99">
        <f t="shared" si="31"/>
        <v>0</v>
      </c>
      <c r="K152" s="113">
        <f t="shared" si="32"/>
        <v>2024</v>
      </c>
      <c r="L152" s="113">
        <f t="shared" si="33"/>
        <v>5</v>
      </c>
      <c r="M152" s="115">
        <f t="array" ref="M152">MIN(IF(Consolidado!$A$6:$A$1000='TOTALES DIARIOS'!A152,IF(Consolidado!$C$6:$C$1000&gt;TIMEVALUE("07:00"),Consolidado!$C$6:$C$1000,1)))</f>
        <v>0</v>
      </c>
      <c r="N152" s="115">
        <f t="array" ref="N152">MIN(IF(Consolidado!$A$6:$A$1000='TOTALES DIARIOS'!A152,IF(Consolidado!$C$6:$C$1000&lt;=M152,Consolidado!$C$6:$C$1000,1)))</f>
        <v>0</v>
      </c>
      <c r="O152" s="115">
        <f t="array" ref="O152">MAX(IF(Consolidado!$A$6:$A$1000='TOTALES DIARIOS'!A152,IF(Consolidado!$D$6:$D$1000&gt;=M152,Consolidado!$D$6:$D$1000,0)))</f>
        <v>0</v>
      </c>
      <c r="P152" s="118">
        <f t="array" ref="P152">MAX(IF(Consolidado!$A$6:$A$1000='TOTALES DIARIOS'!A152,IF(Consolidado!$D$6:$D$1000&lt;=M152,Consolidado!$D$6:$D$1000,0)))</f>
        <v>0</v>
      </c>
      <c r="Q152" s="117">
        <f t="shared" si="37"/>
        <v>0</v>
      </c>
      <c r="R152" s="117">
        <f t="shared" si="36"/>
        <v>0</v>
      </c>
      <c r="S152" s="104" t="str">
        <f t="shared" si="34"/>
        <v>NO</v>
      </c>
    </row>
    <row r="153" spans="1:19" x14ac:dyDescent="0.25">
      <c r="A153" s="221">
        <f t="shared" si="35"/>
        <v>45441</v>
      </c>
      <c r="B153" s="130" t="str">
        <f t="shared" si="26"/>
        <v/>
      </c>
      <c r="C153" s="217">
        <f t="shared" si="27"/>
        <v>0</v>
      </c>
      <c r="D153" s="217">
        <f t="shared" si="28"/>
        <v>0</v>
      </c>
      <c r="E153" s="218">
        <f>SUMIF(Consolidado!$A$6:$A$380,'TOTALES DIARIOS'!A153,Consolidado!$E$6:$E$380)</f>
        <v>0</v>
      </c>
      <c r="F153" s="218">
        <f>SUMIF(Consolidado!$A$6:$A$380,'TOTALES DIARIOS'!A153,Consolidado!$F$6:$F$380)</f>
        <v>0</v>
      </c>
      <c r="G153" s="218">
        <f>SUMIF(Consolidado!$A$6:$A$380,'TOTALES DIARIOS'!A153,Consolidado!$G$6:$G$380)</f>
        <v>0</v>
      </c>
      <c r="H153" s="219">
        <f t="shared" si="29"/>
        <v>0</v>
      </c>
      <c r="I153" s="99">
        <f t="shared" si="30"/>
        <v>0</v>
      </c>
      <c r="J153" s="99">
        <f t="shared" si="31"/>
        <v>0</v>
      </c>
      <c r="K153" s="113">
        <f t="shared" si="32"/>
        <v>2024</v>
      </c>
      <c r="L153" s="113">
        <f t="shared" si="33"/>
        <v>5</v>
      </c>
      <c r="M153" s="115">
        <f t="array" ref="M153">MIN(IF(Consolidado!$A$6:$A$1000='TOTALES DIARIOS'!A153,IF(Consolidado!$C$6:$C$1000&gt;TIMEVALUE("07:00"),Consolidado!$C$6:$C$1000,1)))</f>
        <v>0</v>
      </c>
      <c r="N153" s="115">
        <f t="array" ref="N153">MIN(IF(Consolidado!$A$6:$A$1000='TOTALES DIARIOS'!A153,IF(Consolidado!$C$6:$C$1000&lt;=M153,Consolidado!$C$6:$C$1000,1)))</f>
        <v>0</v>
      </c>
      <c r="O153" s="115">
        <f t="array" ref="O153">MAX(IF(Consolidado!$A$6:$A$1000='TOTALES DIARIOS'!A153,IF(Consolidado!$D$6:$D$1000&gt;=M153,Consolidado!$D$6:$D$1000,0)))</f>
        <v>0</v>
      </c>
      <c r="P153" s="118">
        <f t="array" ref="P153">MAX(IF(Consolidado!$A$6:$A$1000='TOTALES DIARIOS'!A153,IF(Consolidado!$D$6:$D$1000&lt;=M153,Consolidado!$D$6:$D$1000,0)))</f>
        <v>0</v>
      </c>
      <c r="Q153" s="117">
        <f t="shared" si="37"/>
        <v>0</v>
      </c>
      <c r="R153" s="117">
        <f t="shared" si="36"/>
        <v>0</v>
      </c>
      <c r="S153" s="104" t="str">
        <f t="shared" si="34"/>
        <v>NO</v>
      </c>
    </row>
    <row r="154" spans="1:19" x14ac:dyDescent="0.25">
      <c r="A154" s="221">
        <f t="shared" si="35"/>
        <v>45442</v>
      </c>
      <c r="B154" s="130" t="str">
        <f t="shared" si="26"/>
        <v/>
      </c>
      <c r="C154" s="217">
        <f t="shared" si="27"/>
        <v>0</v>
      </c>
      <c r="D154" s="217">
        <f t="shared" si="28"/>
        <v>0</v>
      </c>
      <c r="E154" s="218">
        <f>SUMIF(Consolidado!$A$6:$A$380,'TOTALES DIARIOS'!A154,Consolidado!$E$6:$E$380)</f>
        <v>0</v>
      </c>
      <c r="F154" s="218">
        <f>SUMIF(Consolidado!$A$6:$A$380,'TOTALES DIARIOS'!A154,Consolidado!$F$6:$F$380)</f>
        <v>0</v>
      </c>
      <c r="G154" s="218">
        <f>SUMIF(Consolidado!$A$6:$A$380,'TOTALES DIARIOS'!A154,Consolidado!$G$6:$G$380)</f>
        <v>0</v>
      </c>
      <c r="H154" s="219">
        <f t="shared" si="29"/>
        <v>0</v>
      </c>
      <c r="I154" s="99">
        <f t="shared" si="30"/>
        <v>0</v>
      </c>
      <c r="J154" s="99">
        <f t="shared" si="31"/>
        <v>0</v>
      </c>
      <c r="K154" s="113">
        <f t="shared" si="32"/>
        <v>2024</v>
      </c>
      <c r="L154" s="113">
        <f t="shared" si="33"/>
        <v>5</v>
      </c>
      <c r="M154" s="115">
        <f t="array" ref="M154">MIN(IF(Consolidado!$A$6:$A$1000='TOTALES DIARIOS'!A154,IF(Consolidado!$C$6:$C$1000&gt;TIMEVALUE("07:00"),Consolidado!$C$6:$C$1000,1)))</f>
        <v>0</v>
      </c>
      <c r="N154" s="115">
        <f t="array" ref="N154">MIN(IF(Consolidado!$A$6:$A$1000='TOTALES DIARIOS'!A154,IF(Consolidado!$C$6:$C$1000&lt;=M154,Consolidado!$C$6:$C$1000,1)))</f>
        <v>0</v>
      </c>
      <c r="O154" s="115">
        <f t="array" ref="O154">MAX(IF(Consolidado!$A$6:$A$1000='TOTALES DIARIOS'!A154,IF(Consolidado!$D$6:$D$1000&gt;=M154,Consolidado!$D$6:$D$1000,0)))</f>
        <v>0</v>
      </c>
      <c r="P154" s="118">
        <f t="array" ref="P154">MAX(IF(Consolidado!$A$6:$A$1000='TOTALES DIARIOS'!A154,IF(Consolidado!$D$6:$D$1000&lt;=M154,Consolidado!$D$6:$D$1000,0)))</f>
        <v>0</v>
      </c>
      <c r="Q154" s="117">
        <f t="shared" si="37"/>
        <v>0</v>
      </c>
      <c r="R154" s="117">
        <f t="shared" si="36"/>
        <v>0</v>
      </c>
      <c r="S154" s="104" t="str">
        <f t="shared" si="34"/>
        <v>NO</v>
      </c>
    </row>
    <row r="155" spans="1:19" x14ac:dyDescent="0.25">
      <c r="A155" s="221">
        <f t="shared" si="35"/>
        <v>45443</v>
      </c>
      <c r="B155" s="130" t="str">
        <f t="shared" si="26"/>
        <v/>
      </c>
      <c r="C155" s="217">
        <f t="shared" si="27"/>
        <v>0</v>
      </c>
      <c r="D155" s="217">
        <f t="shared" si="28"/>
        <v>0</v>
      </c>
      <c r="E155" s="218">
        <f>SUMIF(Consolidado!$A$6:$A$380,'TOTALES DIARIOS'!A155,Consolidado!$E$6:$E$380)</f>
        <v>0</v>
      </c>
      <c r="F155" s="218">
        <f>SUMIF(Consolidado!$A$6:$A$380,'TOTALES DIARIOS'!A155,Consolidado!$F$6:$F$380)</f>
        <v>0</v>
      </c>
      <c r="G155" s="218">
        <f>SUMIF(Consolidado!$A$6:$A$380,'TOTALES DIARIOS'!A155,Consolidado!$G$6:$G$380)</f>
        <v>0</v>
      </c>
      <c r="H155" s="219">
        <f t="shared" si="29"/>
        <v>0</v>
      </c>
      <c r="I155" s="99">
        <f t="shared" si="30"/>
        <v>0</v>
      </c>
      <c r="J155" s="99">
        <f t="shared" si="31"/>
        <v>0</v>
      </c>
      <c r="K155" s="113">
        <f t="shared" si="32"/>
        <v>2024</v>
      </c>
      <c r="L155" s="113">
        <f t="shared" si="33"/>
        <v>5</v>
      </c>
      <c r="M155" s="115">
        <f t="array" ref="M155">MIN(IF(Consolidado!$A$6:$A$1000='TOTALES DIARIOS'!A155,IF(Consolidado!$C$6:$C$1000&gt;TIMEVALUE("07:00"),Consolidado!$C$6:$C$1000,1)))</f>
        <v>0</v>
      </c>
      <c r="N155" s="115">
        <f t="array" ref="N155">MIN(IF(Consolidado!$A$6:$A$1000='TOTALES DIARIOS'!A155,IF(Consolidado!$C$6:$C$1000&lt;=M155,Consolidado!$C$6:$C$1000,1)))</f>
        <v>0</v>
      </c>
      <c r="O155" s="115">
        <f t="array" ref="O155">MAX(IF(Consolidado!$A$6:$A$1000='TOTALES DIARIOS'!A155,IF(Consolidado!$D$6:$D$1000&gt;=M155,Consolidado!$D$6:$D$1000,0)))</f>
        <v>0</v>
      </c>
      <c r="P155" s="118">
        <f t="array" ref="P155">MAX(IF(Consolidado!$A$6:$A$1000='TOTALES DIARIOS'!A155,IF(Consolidado!$D$6:$D$1000&lt;=M155,Consolidado!$D$6:$D$1000,0)))</f>
        <v>0</v>
      </c>
      <c r="Q155" s="117">
        <f t="shared" si="37"/>
        <v>0</v>
      </c>
      <c r="R155" s="117">
        <f t="shared" si="36"/>
        <v>0</v>
      </c>
      <c r="S155" s="104" t="str">
        <f t="shared" si="34"/>
        <v>NO</v>
      </c>
    </row>
    <row r="156" spans="1:19" x14ac:dyDescent="0.25">
      <c r="A156" s="221">
        <f t="shared" si="35"/>
        <v>45444</v>
      </c>
      <c r="B156" s="130" t="str">
        <f t="shared" si="26"/>
        <v/>
      </c>
      <c r="C156" s="217">
        <f t="shared" si="27"/>
        <v>0</v>
      </c>
      <c r="D156" s="217">
        <f t="shared" si="28"/>
        <v>0</v>
      </c>
      <c r="E156" s="218">
        <f>SUMIF(Consolidado!$A$6:$A$380,'TOTALES DIARIOS'!A156,Consolidado!$E$6:$E$380)</f>
        <v>0</v>
      </c>
      <c r="F156" s="218">
        <f>SUMIF(Consolidado!$A$6:$A$380,'TOTALES DIARIOS'!A156,Consolidado!$F$6:$F$380)</f>
        <v>0</v>
      </c>
      <c r="G156" s="218">
        <f>SUMIF(Consolidado!$A$6:$A$380,'TOTALES DIARIOS'!A156,Consolidado!$G$6:$G$380)</f>
        <v>0</v>
      </c>
      <c r="H156" s="219">
        <f t="shared" si="29"/>
        <v>0</v>
      </c>
      <c r="I156" s="99">
        <f t="shared" si="30"/>
        <v>0</v>
      </c>
      <c r="J156" s="99">
        <f t="shared" si="31"/>
        <v>0</v>
      </c>
      <c r="K156" s="113">
        <f t="shared" si="32"/>
        <v>2024</v>
      </c>
      <c r="L156" s="113">
        <f t="shared" si="33"/>
        <v>6</v>
      </c>
      <c r="M156" s="115">
        <f t="array" ref="M156">MIN(IF(Consolidado!$A$6:$A$1000='TOTALES DIARIOS'!A156,IF(Consolidado!$C$6:$C$1000&gt;TIMEVALUE("07:00"),Consolidado!$C$6:$C$1000,1)))</f>
        <v>0</v>
      </c>
      <c r="N156" s="115">
        <f t="array" ref="N156">MIN(IF(Consolidado!$A$6:$A$1000='TOTALES DIARIOS'!A156,IF(Consolidado!$C$6:$C$1000&lt;=M156,Consolidado!$C$6:$C$1000,1)))</f>
        <v>0</v>
      </c>
      <c r="O156" s="115">
        <f t="array" ref="O156">MAX(IF(Consolidado!$A$6:$A$1000='TOTALES DIARIOS'!A156,IF(Consolidado!$D$6:$D$1000&gt;=M156,Consolidado!$D$6:$D$1000,0)))</f>
        <v>0</v>
      </c>
      <c r="P156" s="118">
        <f t="array" ref="P156">MAX(IF(Consolidado!$A$6:$A$1000='TOTALES DIARIOS'!A156,IF(Consolidado!$D$6:$D$1000&lt;=M156,Consolidado!$D$6:$D$1000,0)))</f>
        <v>0</v>
      </c>
      <c r="Q156" s="117">
        <f t="shared" si="37"/>
        <v>0</v>
      </c>
      <c r="R156" s="117">
        <f t="shared" si="36"/>
        <v>0</v>
      </c>
      <c r="S156" s="104" t="str">
        <f t="shared" si="34"/>
        <v>NO</v>
      </c>
    </row>
    <row r="157" spans="1:19" x14ac:dyDescent="0.25">
      <c r="A157" s="221">
        <f t="shared" si="35"/>
        <v>45445</v>
      </c>
      <c r="B157" s="130" t="str">
        <f t="shared" si="26"/>
        <v/>
      </c>
      <c r="C157" s="217">
        <f t="shared" si="27"/>
        <v>0</v>
      </c>
      <c r="D157" s="217">
        <f t="shared" si="28"/>
        <v>0</v>
      </c>
      <c r="E157" s="218">
        <f>SUMIF(Consolidado!$A$6:$A$380,'TOTALES DIARIOS'!A157,Consolidado!$E$6:$E$380)</f>
        <v>0</v>
      </c>
      <c r="F157" s="218">
        <f>SUMIF(Consolidado!$A$6:$A$380,'TOTALES DIARIOS'!A157,Consolidado!$F$6:$F$380)</f>
        <v>0</v>
      </c>
      <c r="G157" s="218">
        <f>SUMIF(Consolidado!$A$6:$A$380,'TOTALES DIARIOS'!A157,Consolidado!$G$6:$G$380)</f>
        <v>0</v>
      </c>
      <c r="H157" s="219">
        <f t="shared" si="29"/>
        <v>0</v>
      </c>
      <c r="I157" s="99">
        <f t="shared" si="30"/>
        <v>0</v>
      </c>
      <c r="J157" s="99">
        <f t="shared" si="31"/>
        <v>0</v>
      </c>
      <c r="K157" s="113">
        <f t="shared" si="32"/>
        <v>2024</v>
      </c>
      <c r="L157" s="113">
        <f t="shared" si="33"/>
        <v>6</v>
      </c>
      <c r="M157" s="115">
        <f t="array" ref="M157">MIN(IF(Consolidado!$A$6:$A$1000='TOTALES DIARIOS'!A157,IF(Consolidado!$C$6:$C$1000&gt;TIMEVALUE("07:00"),Consolidado!$C$6:$C$1000,1)))</f>
        <v>0</v>
      </c>
      <c r="N157" s="115">
        <f t="array" ref="N157">MIN(IF(Consolidado!$A$6:$A$1000='TOTALES DIARIOS'!A157,IF(Consolidado!$C$6:$C$1000&lt;=M157,Consolidado!$C$6:$C$1000,1)))</f>
        <v>0</v>
      </c>
      <c r="O157" s="115">
        <f t="array" ref="O157">MAX(IF(Consolidado!$A$6:$A$1000='TOTALES DIARIOS'!A157,IF(Consolidado!$D$6:$D$1000&gt;=M157,Consolidado!$D$6:$D$1000,0)))</f>
        <v>0</v>
      </c>
      <c r="P157" s="118">
        <f t="array" ref="P157">MAX(IF(Consolidado!$A$6:$A$1000='TOTALES DIARIOS'!A157,IF(Consolidado!$D$6:$D$1000&lt;=M157,Consolidado!$D$6:$D$1000,0)))</f>
        <v>0</v>
      </c>
      <c r="Q157" s="117">
        <f t="shared" si="37"/>
        <v>0</v>
      </c>
      <c r="R157" s="117">
        <f t="shared" si="36"/>
        <v>0</v>
      </c>
      <c r="S157" s="104" t="str">
        <f t="shared" si="34"/>
        <v>NO</v>
      </c>
    </row>
    <row r="158" spans="1:19" x14ac:dyDescent="0.25">
      <c r="A158" s="221">
        <f t="shared" si="35"/>
        <v>45446</v>
      </c>
      <c r="B158" s="130" t="str">
        <f t="shared" si="26"/>
        <v/>
      </c>
      <c r="C158" s="217">
        <f t="shared" si="27"/>
        <v>0</v>
      </c>
      <c r="D158" s="217">
        <f t="shared" si="28"/>
        <v>0</v>
      </c>
      <c r="E158" s="218">
        <f>SUMIF(Consolidado!$A$6:$A$380,'TOTALES DIARIOS'!A158,Consolidado!$E$6:$E$380)</f>
        <v>0</v>
      </c>
      <c r="F158" s="218">
        <f>SUMIF(Consolidado!$A$6:$A$380,'TOTALES DIARIOS'!A158,Consolidado!$F$6:$F$380)</f>
        <v>0</v>
      </c>
      <c r="G158" s="218">
        <f>SUMIF(Consolidado!$A$6:$A$380,'TOTALES DIARIOS'!A158,Consolidado!$G$6:$G$380)</f>
        <v>0</v>
      </c>
      <c r="H158" s="219">
        <f t="shared" si="29"/>
        <v>0</v>
      </c>
      <c r="I158" s="99">
        <f t="shared" si="30"/>
        <v>0</v>
      </c>
      <c r="J158" s="99">
        <f t="shared" si="31"/>
        <v>0</v>
      </c>
      <c r="K158" s="113">
        <f t="shared" si="32"/>
        <v>2024</v>
      </c>
      <c r="L158" s="113">
        <f t="shared" si="33"/>
        <v>6</v>
      </c>
      <c r="M158" s="115">
        <f t="array" ref="M158">MIN(IF(Consolidado!$A$6:$A$1000='TOTALES DIARIOS'!A158,IF(Consolidado!$C$6:$C$1000&gt;TIMEVALUE("07:00"),Consolidado!$C$6:$C$1000,1)))</f>
        <v>0</v>
      </c>
      <c r="N158" s="115">
        <f t="array" ref="N158">MIN(IF(Consolidado!$A$6:$A$1000='TOTALES DIARIOS'!A158,IF(Consolidado!$C$6:$C$1000&lt;=M158,Consolidado!$C$6:$C$1000,1)))</f>
        <v>0</v>
      </c>
      <c r="O158" s="115">
        <f t="array" ref="O158">MAX(IF(Consolidado!$A$6:$A$1000='TOTALES DIARIOS'!A158,IF(Consolidado!$D$6:$D$1000&gt;=M158,Consolidado!$D$6:$D$1000,0)))</f>
        <v>0</v>
      </c>
      <c r="P158" s="118">
        <f t="array" ref="P158">MAX(IF(Consolidado!$A$6:$A$1000='TOTALES DIARIOS'!A158,IF(Consolidado!$D$6:$D$1000&lt;=M158,Consolidado!$D$6:$D$1000,0)))</f>
        <v>0</v>
      </c>
      <c r="Q158" s="117">
        <f t="shared" si="37"/>
        <v>0</v>
      </c>
      <c r="R158" s="117">
        <f t="shared" si="36"/>
        <v>0</v>
      </c>
      <c r="S158" s="104" t="str">
        <f t="shared" si="34"/>
        <v>NO</v>
      </c>
    </row>
    <row r="159" spans="1:19" x14ac:dyDescent="0.25">
      <c r="A159" s="221">
        <f t="shared" si="35"/>
        <v>45447</v>
      </c>
      <c r="B159" s="130" t="str">
        <f t="shared" si="26"/>
        <v/>
      </c>
      <c r="C159" s="217">
        <f t="shared" si="27"/>
        <v>0</v>
      </c>
      <c r="D159" s="217">
        <f t="shared" si="28"/>
        <v>0</v>
      </c>
      <c r="E159" s="218">
        <f>SUMIF(Consolidado!$A$6:$A$380,'TOTALES DIARIOS'!A159,Consolidado!$E$6:$E$380)</f>
        <v>0</v>
      </c>
      <c r="F159" s="218">
        <f>SUMIF(Consolidado!$A$6:$A$380,'TOTALES DIARIOS'!A159,Consolidado!$F$6:$F$380)</f>
        <v>0</v>
      </c>
      <c r="G159" s="218">
        <f>SUMIF(Consolidado!$A$6:$A$380,'TOTALES DIARIOS'!A159,Consolidado!$G$6:$G$380)</f>
        <v>0</v>
      </c>
      <c r="H159" s="219">
        <f t="shared" si="29"/>
        <v>0</v>
      </c>
      <c r="I159" s="99">
        <f t="shared" si="30"/>
        <v>0</v>
      </c>
      <c r="J159" s="99">
        <f t="shared" si="31"/>
        <v>0</v>
      </c>
      <c r="K159" s="113">
        <f t="shared" si="32"/>
        <v>2024</v>
      </c>
      <c r="L159" s="113">
        <f t="shared" si="33"/>
        <v>6</v>
      </c>
      <c r="M159" s="115">
        <f t="array" ref="M159">MIN(IF(Consolidado!$A$6:$A$1000='TOTALES DIARIOS'!A159,IF(Consolidado!$C$6:$C$1000&gt;TIMEVALUE("07:00"),Consolidado!$C$6:$C$1000,1)))</f>
        <v>0</v>
      </c>
      <c r="N159" s="115">
        <f t="array" ref="N159">MIN(IF(Consolidado!$A$6:$A$1000='TOTALES DIARIOS'!A159,IF(Consolidado!$C$6:$C$1000&lt;=M159,Consolidado!$C$6:$C$1000,1)))</f>
        <v>0</v>
      </c>
      <c r="O159" s="115">
        <f t="array" ref="O159">MAX(IF(Consolidado!$A$6:$A$1000='TOTALES DIARIOS'!A159,IF(Consolidado!$D$6:$D$1000&gt;=M159,Consolidado!$D$6:$D$1000,0)))</f>
        <v>0</v>
      </c>
      <c r="P159" s="118">
        <f t="array" ref="P159">MAX(IF(Consolidado!$A$6:$A$1000='TOTALES DIARIOS'!A159,IF(Consolidado!$D$6:$D$1000&lt;=M159,Consolidado!$D$6:$D$1000,0)))</f>
        <v>0</v>
      </c>
      <c r="Q159" s="117">
        <f t="shared" si="37"/>
        <v>0</v>
      </c>
      <c r="R159" s="117">
        <f t="shared" si="36"/>
        <v>0</v>
      </c>
      <c r="S159" s="104" t="str">
        <f t="shared" si="34"/>
        <v>NO</v>
      </c>
    </row>
    <row r="160" spans="1:19" x14ac:dyDescent="0.25">
      <c r="A160" s="221">
        <f t="shared" si="35"/>
        <v>45448</v>
      </c>
      <c r="B160" s="130" t="str">
        <f t="shared" si="26"/>
        <v/>
      </c>
      <c r="C160" s="217">
        <f t="shared" si="27"/>
        <v>0</v>
      </c>
      <c r="D160" s="217">
        <f t="shared" si="28"/>
        <v>0</v>
      </c>
      <c r="E160" s="218">
        <f>SUMIF(Consolidado!$A$6:$A$380,'TOTALES DIARIOS'!A160,Consolidado!$E$6:$E$380)</f>
        <v>0</v>
      </c>
      <c r="F160" s="218">
        <f>SUMIF(Consolidado!$A$6:$A$380,'TOTALES DIARIOS'!A160,Consolidado!$F$6:$F$380)</f>
        <v>0</v>
      </c>
      <c r="G160" s="218">
        <f>SUMIF(Consolidado!$A$6:$A$380,'TOTALES DIARIOS'!A160,Consolidado!$G$6:$G$380)</f>
        <v>0</v>
      </c>
      <c r="H160" s="219">
        <f t="shared" si="29"/>
        <v>0</v>
      </c>
      <c r="I160" s="99">
        <f t="shared" si="30"/>
        <v>0</v>
      </c>
      <c r="J160" s="99">
        <f t="shared" si="31"/>
        <v>0</v>
      </c>
      <c r="K160" s="113">
        <f t="shared" si="32"/>
        <v>2024</v>
      </c>
      <c r="L160" s="113">
        <f t="shared" si="33"/>
        <v>6</v>
      </c>
      <c r="M160" s="115">
        <f t="array" ref="M160">MIN(IF(Consolidado!$A$6:$A$1000='TOTALES DIARIOS'!A160,IF(Consolidado!$C$6:$C$1000&gt;TIMEVALUE("07:00"),Consolidado!$C$6:$C$1000,1)))</f>
        <v>0</v>
      </c>
      <c r="N160" s="115">
        <f t="array" ref="N160">MIN(IF(Consolidado!$A$6:$A$1000='TOTALES DIARIOS'!A160,IF(Consolidado!$C$6:$C$1000&lt;=M160,Consolidado!$C$6:$C$1000,1)))</f>
        <v>0</v>
      </c>
      <c r="O160" s="115">
        <f t="array" ref="O160">MAX(IF(Consolidado!$A$6:$A$1000='TOTALES DIARIOS'!A160,IF(Consolidado!$D$6:$D$1000&gt;=M160,Consolidado!$D$6:$D$1000,0)))</f>
        <v>0</v>
      </c>
      <c r="P160" s="118">
        <f t="array" ref="P160">MAX(IF(Consolidado!$A$6:$A$1000='TOTALES DIARIOS'!A160,IF(Consolidado!$D$6:$D$1000&lt;=M160,Consolidado!$D$6:$D$1000,0)))</f>
        <v>0</v>
      </c>
      <c r="Q160" s="117">
        <f t="shared" si="37"/>
        <v>0</v>
      </c>
      <c r="R160" s="117">
        <f t="shared" si="36"/>
        <v>0</v>
      </c>
      <c r="S160" s="104" t="str">
        <f t="shared" si="34"/>
        <v>NO</v>
      </c>
    </row>
    <row r="161" spans="1:19" x14ac:dyDescent="0.25">
      <c r="A161" s="221">
        <f t="shared" si="35"/>
        <v>45449</v>
      </c>
      <c r="B161" s="130" t="str">
        <f t="shared" si="26"/>
        <v/>
      </c>
      <c r="C161" s="217">
        <f t="shared" si="27"/>
        <v>0</v>
      </c>
      <c r="D161" s="217">
        <f t="shared" si="28"/>
        <v>0</v>
      </c>
      <c r="E161" s="218">
        <f>SUMIF(Consolidado!$A$6:$A$380,'TOTALES DIARIOS'!A161,Consolidado!$E$6:$E$380)</f>
        <v>0</v>
      </c>
      <c r="F161" s="218">
        <f>SUMIF(Consolidado!$A$6:$A$380,'TOTALES DIARIOS'!A161,Consolidado!$F$6:$F$380)</f>
        <v>0</v>
      </c>
      <c r="G161" s="218">
        <f>SUMIF(Consolidado!$A$6:$A$380,'TOTALES DIARIOS'!A161,Consolidado!$G$6:$G$380)</f>
        <v>0</v>
      </c>
      <c r="H161" s="219">
        <f t="shared" si="29"/>
        <v>0</v>
      </c>
      <c r="I161" s="99">
        <f t="shared" si="30"/>
        <v>0</v>
      </c>
      <c r="J161" s="99">
        <f t="shared" si="31"/>
        <v>0</v>
      </c>
      <c r="K161" s="113">
        <f t="shared" si="32"/>
        <v>2024</v>
      </c>
      <c r="L161" s="113">
        <f t="shared" si="33"/>
        <v>6</v>
      </c>
      <c r="M161" s="115">
        <f t="array" ref="M161">MIN(IF(Consolidado!$A$6:$A$1000='TOTALES DIARIOS'!A161,IF(Consolidado!$C$6:$C$1000&gt;TIMEVALUE("07:00"),Consolidado!$C$6:$C$1000,1)))</f>
        <v>0</v>
      </c>
      <c r="N161" s="115">
        <f t="array" ref="N161">MIN(IF(Consolidado!$A$6:$A$1000='TOTALES DIARIOS'!A161,IF(Consolidado!$C$6:$C$1000&lt;=M161,Consolidado!$C$6:$C$1000,1)))</f>
        <v>0</v>
      </c>
      <c r="O161" s="115">
        <f t="array" ref="O161">MAX(IF(Consolidado!$A$6:$A$1000='TOTALES DIARIOS'!A161,IF(Consolidado!$D$6:$D$1000&gt;=M161,Consolidado!$D$6:$D$1000,0)))</f>
        <v>0</v>
      </c>
      <c r="P161" s="118">
        <f t="array" ref="P161">MAX(IF(Consolidado!$A$6:$A$1000='TOTALES DIARIOS'!A161,IF(Consolidado!$D$6:$D$1000&lt;=M161,Consolidado!$D$6:$D$1000,0)))</f>
        <v>0</v>
      </c>
      <c r="Q161" s="117">
        <f t="shared" si="37"/>
        <v>0</v>
      </c>
      <c r="R161" s="117">
        <f t="shared" si="36"/>
        <v>0</v>
      </c>
      <c r="S161" s="104" t="str">
        <f t="shared" si="34"/>
        <v>NO</v>
      </c>
    </row>
    <row r="162" spans="1:19" x14ac:dyDescent="0.25">
      <c r="A162" s="221">
        <f t="shared" si="35"/>
        <v>45450</v>
      </c>
      <c r="B162" s="130" t="str">
        <f t="shared" si="26"/>
        <v/>
      </c>
      <c r="C162" s="217">
        <f t="shared" si="27"/>
        <v>0</v>
      </c>
      <c r="D162" s="217">
        <f t="shared" si="28"/>
        <v>0</v>
      </c>
      <c r="E162" s="218">
        <f>SUMIF(Consolidado!$A$6:$A$380,'TOTALES DIARIOS'!A162,Consolidado!$E$6:$E$380)</f>
        <v>0</v>
      </c>
      <c r="F162" s="218">
        <f>SUMIF(Consolidado!$A$6:$A$380,'TOTALES DIARIOS'!A162,Consolidado!$F$6:$F$380)</f>
        <v>0</v>
      </c>
      <c r="G162" s="218">
        <f>SUMIF(Consolidado!$A$6:$A$380,'TOTALES DIARIOS'!A162,Consolidado!$G$6:$G$380)</f>
        <v>0</v>
      </c>
      <c r="H162" s="219">
        <f t="shared" si="29"/>
        <v>0</v>
      </c>
      <c r="I162" s="99">
        <f t="shared" si="30"/>
        <v>0</v>
      </c>
      <c r="J162" s="99">
        <f t="shared" si="31"/>
        <v>0</v>
      </c>
      <c r="K162" s="113">
        <f t="shared" si="32"/>
        <v>2024</v>
      </c>
      <c r="L162" s="113">
        <f t="shared" si="33"/>
        <v>6</v>
      </c>
      <c r="M162" s="115">
        <f t="array" ref="M162">MIN(IF(Consolidado!$A$6:$A$1000='TOTALES DIARIOS'!A162,IF(Consolidado!$C$6:$C$1000&gt;TIMEVALUE("07:00"),Consolidado!$C$6:$C$1000,1)))</f>
        <v>0</v>
      </c>
      <c r="N162" s="115">
        <f t="array" ref="N162">MIN(IF(Consolidado!$A$6:$A$1000='TOTALES DIARIOS'!A162,IF(Consolidado!$C$6:$C$1000&lt;=M162,Consolidado!$C$6:$C$1000,1)))</f>
        <v>0</v>
      </c>
      <c r="O162" s="115">
        <f t="array" ref="O162">MAX(IF(Consolidado!$A$6:$A$1000='TOTALES DIARIOS'!A162,IF(Consolidado!$D$6:$D$1000&gt;=M162,Consolidado!$D$6:$D$1000,0)))</f>
        <v>0</v>
      </c>
      <c r="P162" s="118">
        <f t="array" ref="P162">MAX(IF(Consolidado!$A$6:$A$1000='TOTALES DIARIOS'!A162,IF(Consolidado!$D$6:$D$1000&lt;=M162,Consolidado!$D$6:$D$1000,0)))</f>
        <v>0</v>
      </c>
      <c r="Q162" s="117">
        <f t="shared" si="37"/>
        <v>0</v>
      </c>
      <c r="R162" s="117">
        <f t="shared" si="36"/>
        <v>0</v>
      </c>
      <c r="S162" s="104" t="str">
        <f t="shared" si="34"/>
        <v>NO</v>
      </c>
    </row>
    <row r="163" spans="1:19" x14ac:dyDescent="0.25">
      <c r="A163" s="221">
        <f t="shared" si="35"/>
        <v>45451</v>
      </c>
      <c r="B163" s="130" t="str">
        <f t="shared" si="26"/>
        <v/>
      </c>
      <c r="C163" s="217">
        <f t="shared" si="27"/>
        <v>0</v>
      </c>
      <c r="D163" s="217">
        <f t="shared" si="28"/>
        <v>0</v>
      </c>
      <c r="E163" s="218">
        <f>SUMIF(Consolidado!$A$6:$A$380,'TOTALES DIARIOS'!A163,Consolidado!$E$6:$E$380)</f>
        <v>0</v>
      </c>
      <c r="F163" s="218">
        <f>SUMIF(Consolidado!$A$6:$A$380,'TOTALES DIARIOS'!A163,Consolidado!$F$6:$F$380)</f>
        <v>0</v>
      </c>
      <c r="G163" s="218">
        <f>SUMIF(Consolidado!$A$6:$A$380,'TOTALES DIARIOS'!A163,Consolidado!$G$6:$G$380)</f>
        <v>0</v>
      </c>
      <c r="H163" s="219">
        <f t="shared" si="29"/>
        <v>0</v>
      </c>
      <c r="I163" s="99">
        <f t="shared" si="30"/>
        <v>0</v>
      </c>
      <c r="J163" s="99">
        <f t="shared" si="31"/>
        <v>0</v>
      </c>
      <c r="K163" s="113">
        <f t="shared" si="32"/>
        <v>2024</v>
      </c>
      <c r="L163" s="113">
        <f t="shared" si="33"/>
        <v>6</v>
      </c>
      <c r="M163" s="115">
        <f t="array" ref="M163">MIN(IF(Consolidado!$A$6:$A$1000='TOTALES DIARIOS'!A163,IF(Consolidado!$C$6:$C$1000&gt;TIMEVALUE("07:00"),Consolidado!$C$6:$C$1000,1)))</f>
        <v>0</v>
      </c>
      <c r="N163" s="115">
        <f t="array" ref="N163">MIN(IF(Consolidado!$A$6:$A$1000='TOTALES DIARIOS'!A163,IF(Consolidado!$C$6:$C$1000&lt;=M163,Consolidado!$C$6:$C$1000,1)))</f>
        <v>0</v>
      </c>
      <c r="O163" s="115">
        <f t="array" ref="O163">MAX(IF(Consolidado!$A$6:$A$1000='TOTALES DIARIOS'!A163,IF(Consolidado!$D$6:$D$1000&gt;=M163,Consolidado!$D$6:$D$1000,0)))</f>
        <v>0</v>
      </c>
      <c r="P163" s="118">
        <f t="array" ref="P163">MAX(IF(Consolidado!$A$6:$A$1000='TOTALES DIARIOS'!A163,IF(Consolidado!$D$6:$D$1000&lt;=M163,Consolidado!$D$6:$D$1000,0)))</f>
        <v>0</v>
      </c>
      <c r="Q163" s="117">
        <f t="shared" si="37"/>
        <v>0</v>
      </c>
      <c r="R163" s="117">
        <f t="shared" si="36"/>
        <v>0</v>
      </c>
      <c r="S163" s="104" t="str">
        <f t="shared" si="34"/>
        <v>NO</v>
      </c>
    </row>
    <row r="164" spans="1:19" x14ac:dyDescent="0.25">
      <c r="A164" s="221">
        <f t="shared" si="35"/>
        <v>45452</v>
      </c>
      <c r="B164" s="130" t="str">
        <f t="shared" si="26"/>
        <v/>
      </c>
      <c r="C164" s="217">
        <f t="shared" si="27"/>
        <v>0</v>
      </c>
      <c r="D164" s="217">
        <f t="shared" si="28"/>
        <v>0</v>
      </c>
      <c r="E164" s="218">
        <f>SUMIF(Consolidado!$A$6:$A$380,'TOTALES DIARIOS'!A164,Consolidado!$E$6:$E$380)</f>
        <v>0</v>
      </c>
      <c r="F164" s="218">
        <f>SUMIF(Consolidado!$A$6:$A$380,'TOTALES DIARIOS'!A164,Consolidado!$F$6:$F$380)</f>
        <v>0</v>
      </c>
      <c r="G164" s="218">
        <f>SUMIF(Consolidado!$A$6:$A$380,'TOTALES DIARIOS'!A164,Consolidado!$G$6:$G$380)</f>
        <v>0</v>
      </c>
      <c r="H164" s="219">
        <f t="shared" si="29"/>
        <v>0</v>
      </c>
      <c r="I164" s="99">
        <f t="shared" si="30"/>
        <v>0</v>
      </c>
      <c r="J164" s="99">
        <f t="shared" si="31"/>
        <v>0</v>
      </c>
      <c r="K164" s="113">
        <f t="shared" si="32"/>
        <v>2024</v>
      </c>
      <c r="L164" s="113">
        <f t="shared" si="33"/>
        <v>6</v>
      </c>
      <c r="M164" s="115">
        <f t="array" ref="M164">MIN(IF(Consolidado!$A$6:$A$1000='TOTALES DIARIOS'!A164,IF(Consolidado!$C$6:$C$1000&gt;TIMEVALUE("07:00"),Consolidado!$C$6:$C$1000,1)))</f>
        <v>0</v>
      </c>
      <c r="N164" s="115">
        <f t="array" ref="N164">MIN(IF(Consolidado!$A$6:$A$1000='TOTALES DIARIOS'!A164,IF(Consolidado!$C$6:$C$1000&lt;=M164,Consolidado!$C$6:$C$1000,1)))</f>
        <v>0</v>
      </c>
      <c r="O164" s="115">
        <f t="array" ref="O164">MAX(IF(Consolidado!$A$6:$A$1000='TOTALES DIARIOS'!A164,IF(Consolidado!$D$6:$D$1000&gt;=M164,Consolidado!$D$6:$D$1000,0)))</f>
        <v>0</v>
      </c>
      <c r="P164" s="118">
        <f t="array" ref="P164">MAX(IF(Consolidado!$A$6:$A$1000='TOTALES DIARIOS'!A164,IF(Consolidado!$D$6:$D$1000&lt;=M164,Consolidado!$D$6:$D$1000,0)))</f>
        <v>0</v>
      </c>
      <c r="Q164" s="117">
        <f t="shared" si="37"/>
        <v>0</v>
      </c>
      <c r="R164" s="117">
        <f t="shared" si="36"/>
        <v>0</v>
      </c>
      <c r="S164" s="104" t="str">
        <f t="shared" si="34"/>
        <v>NO</v>
      </c>
    </row>
    <row r="165" spans="1:19" x14ac:dyDescent="0.25">
      <c r="A165" s="221">
        <f t="shared" si="35"/>
        <v>45453</v>
      </c>
      <c r="B165" s="130" t="str">
        <f t="shared" si="26"/>
        <v/>
      </c>
      <c r="C165" s="217">
        <f t="shared" si="27"/>
        <v>0</v>
      </c>
      <c r="D165" s="217">
        <f t="shared" si="28"/>
        <v>0</v>
      </c>
      <c r="E165" s="218">
        <f>SUMIF(Consolidado!$A$6:$A$380,'TOTALES DIARIOS'!A165,Consolidado!$E$6:$E$380)</f>
        <v>0</v>
      </c>
      <c r="F165" s="218">
        <f>SUMIF(Consolidado!$A$6:$A$380,'TOTALES DIARIOS'!A165,Consolidado!$F$6:$F$380)</f>
        <v>0</v>
      </c>
      <c r="G165" s="218">
        <f>SUMIF(Consolidado!$A$6:$A$380,'TOTALES DIARIOS'!A165,Consolidado!$G$6:$G$380)</f>
        <v>0</v>
      </c>
      <c r="H165" s="219">
        <f t="shared" si="29"/>
        <v>0</v>
      </c>
      <c r="I165" s="99">
        <f t="shared" si="30"/>
        <v>0</v>
      </c>
      <c r="J165" s="99">
        <f t="shared" si="31"/>
        <v>0</v>
      </c>
      <c r="K165" s="113">
        <f t="shared" si="32"/>
        <v>2024</v>
      </c>
      <c r="L165" s="113">
        <f t="shared" si="33"/>
        <v>6</v>
      </c>
      <c r="M165" s="115">
        <f t="array" ref="M165">MIN(IF(Consolidado!$A$6:$A$1000='TOTALES DIARIOS'!A165,IF(Consolidado!$C$6:$C$1000&gt;TIMEVALUE("07:00"),Consolidado!$C$6:$C$1000,1)))</f>
        <v>0</v>
      </c>
      <c r="N165" s="115">
        <f t="array" ref="N165">MIN(IF(Consolidado!$A$6:$A$1000='TOTALES DIARIOS'!A165,IF(Consolidado!$C$6:$C$1000&lt;=M165,Consolidado!$C$6:$C$1000,1)))</f>
        <v>0</v>
      </c>
      <c r="O165" s="115">
        <f t="array" ref="O165">MAX(IF(Consolidado!$A$6:$A$1000='TOTALES DIARIOS'!A165,IF(Consolidado!$D$6:$D$1000&gt;=M165,Consolidado!$D$6:$D$1000,0)))</f>
        <v>0</v>
      </c>
      <c r="P165" s="118">
        <f t="array" ref="P165">MAX(IF(Consolidado!$A$6:$A$1000='TOTALES DIARIOS'!A165,IF(Consolidado!$D$6:$D$1000&lt;=M165,Consolidado!$D$6:$D$1000,0)))</f>
        <v>0</v>
      </c>
      <c r="Q165" s="117">
        <f t="shared" si="37"/>
        <v>0</v>
      </c>
      <c r="R165" s="117">
        <f t="shared" si="36"/>
        <v>0</v>
      </c>
      <c r="S165" s="104" t="str">
        <f t="shared" si="34"/>
        <v>NO</v>
      </c>
    </row>
    <row r="166" spans="1:19" x14ac:dyDescent="0.25">
      <c r="A166" s="221">
        <f t="shared" si="35"/>
        <v>45454</v>
      </c>
      <c r="B166" s="130" t="str">
        <f t="shared" si="26"/>
        <v/>
      </c>
      <c r="C166" s="217">
        <f t="shared" si="27"/>
        <v>0</v>
      </c>
      <c r="D166" s="217">
        <f t="shared" si="28"/>
        <v>0</v>
      </c>
      <c r="E166" s="218">
        <f>SUMIF(Consolidado!$A$6:$A$380,'TOTALES DIARIOS'!A166,Consolidado!$E$6:$E$380)</f>
        <v>0</v>
      </c>
      <c r="F166" s="218">
        <f>SUMIF(Consolidado!$A$6:$A$380,'TOTALES DIARIOS'!A166,Consolidado!$F$6:$F$380)</f>
        <v>0</v>
      </c>
      <c r="G166" s="218">
        <f>SUMIF(Consolidado!$A$6:$A$380,'TOTALES DIARIOS'!A166,Consolidado!$G$6:$G$380)</f>
        <v>0</v>
      </c>
      <c r="H166" s="219">
        <f t="shared" si="29"/>
        <v>0</v>
      </c>
      <c r="I166" s="99">
        <f t="shared" si="30"/>
        <v>0</v>
      </c>
      <c r="J166" s="99">
        <f t="shared" si="31"/>
        <v>0</v>
      </c>
      <c r="K166" s="113">
        <f t="shared" si="32"/>
        <v>2024</v>
      </c>
      <c r="L166" s="113">
        <f t="shared" si="33"/>
        <v>6</v>
      </c>
      <c r="M166" s="115">
        <f t="array" ref="M166">MIN(IF(Consolidado!$A$6:$A$1000='TOTALES DIARIOS'!A166,IF(Consolidado!$C$6:$C$1000&gt;TIMEVALUE("07:00"),Consolidado!$C$6:$C$1000,1)))</f>
        <v>0</v>
      </c>
      <c r="N166" s="115">
        <f t="array" ref="N166">MIN(IF(Consolidado!$A$6:$A$1000='TOTALES DIARIOS'!A166,IF(Consolidado!$C$6:$C$1000&lt;=M166,Consolidado!$C$6:$C$1000,1)))</f>
        <v>0</v>
      </c>
      <c r="O166" s="115">
        <f t="array" ref="O166">MAX(IF(Consolidado!$A$6:$A$1000='TOTALES DIARIOS'!A166,IF(Consolidado!$D$6:$D$1000&gt;=M166,Consolidado!$D$6:$D$1000,0)))</f>
        <v>0</v>
      </c>
      <c r="P166" s="118">
        <f t="array" ref="P166">MAX(IF(Consolidado!$A$6:$A$1000='TOTALES DIARIOS'!A166,IF(Consolidado!$D$6:$D$1000&lt;=M166,Consolidado!$D$6:$D$1000,0)))</f>
        <v>0</v>
      </c>
      <c r="Q166" s="117">
        <f t="shared" si="37"/>
        <v>0</v>
      </c>
      <c r="R166" s="117">
        <f t="shared" si="36"/>
        <v>0</v>
      </c>
      <c r="S166" s="104" t="str">
        <f t="shared" si="34"/>
        <v>NO</v>
      </c>
    </row>
    <row r="167" spans="1:19" x14ac:dyDescent="0.25">
      <c r="A167" s="221">
        <f t="shared" si="35"/>
        <v>45455</v>
      </c>
      <c r="B167" s="130" t="str">
        <f t="shared" si="26"/>
        <v/>
      </c>
      <c r="C167" s="217">
        <f t="shared" si="27"/>
        <v>0</v>
      </c>
      <c r="D167" s="217">
        <f t="shared" si="28"/>
        <v>0</v>
      </c>
      <c r="E167" s="218">
        <f>SUMIF(Consolidado!$A$6:$A$380,'TOTALES DIARIOS'!A167,Consolidado!$E$6:$E$380)</f>
        <v>0</v>
      </c>
      <c r="F167" s="218">
        <f>SUMIF(Consolidado!$A$6:$A$380,'TOTALES DIARIOS'!A167,Consolidado!$F$6:$F$380)</f>
        <v>0</v>
      </c>
      <c r="G167" s="218">
        <f>SUMIF(Consolidado!$A$6:$A$380,'TOTALES DIARIOS'!A167,Consolidado!$G$6:$G$380)</f>
        <v>0</v>
      </c>
      <c r="H167" s="219">
        <f t="shared" si="29"/>
        <v>0</v>
      </c>
      <c r="I167" s="99">
        <f t="shared" si="30"/>
        <v>0</v>
      </c>
      <c r="J167" s="99">
        <f t="shared" si="31"/>
        <v>0</v>
      </c>
      <c r="K167" s="113">
        <f t="shared" si="32"/>
        <v>2024</v>
      </c>
      <c r="L167" s="113">
        <f t="shared" si="33"/>
        <v>6</v>
      </c>
      <c r="M167" s="115">
        <f t="array" ref="M167">MIN(IF(Consolidado!$A$6:$A$1000='TOTALES DIARIOS'!A167,IF(Consolidado!$C$6:$C$1000&gt;TIMEVALUE("07:00"),Consolidado!$C$6:$C$1000,1)))</f>
        <v>0</v>
      </c>
      <c r="N167" s="115">
        <f t="array" ref="N167">MIN(IF(Consolidado!$A$6:$A$1000='TOTALES DIARIOS'!A167,IF(Consolidado!$C$6:$C$1000&lt;=M167,Consolidado!$C$6:$C$1000,1)))</f>
        <v>0</v>
      </c>
      <c r="O167" s="115">
        <f t="array" ref="O167">MAX(IF(Consolidado!$A$6:$A$1000='TOTALES DIARIOS'!A167,IF(Consolidado!$D$6:$D$1000&gt;=M167,Consolidado!$D$6:$D$1000,0)))</f>
        <v>0</v>
      </c>
      <c r="P167" s="118">
        <f t="array" ref="P167">MAX(IF(Consolidado!$A$6:$A$1000='TOTALES DIARIOS'!A167,IF(Consolidado!$D$6:$D$1000&lt;=M167,Consolidado!$D$6:$D$1000,0)))</f>
        <v>0</v>
      </c>
      <c r="Q167" s="117">
        <f t="shared" si="37"/>
        <v>0</v>
      </c>
      <c r="R167" s="117">
        <f t="shared" si="36"/>
        <v>0</v>
      </c>
      <c r="S167" s="104" t="str">
        <f t="shared" si="34"/>
        <v>NO</v>
      </c>
    </row>
    <row r="168" spans="1:19" x14ac:dyDescent="0.25">
      <c r="A168" s="221">
        <f t="shared" si="35"/>
        <v>45456</v>
      </c>
      <c r="B168" s="130" t="str">
        <f t="shared" si="26"/>
        <v/>
      </c>
      <c r="C168" s="217">
        <f t="shared" si="27"/>
        <v>0</v>
      </c>
      <c r="D168" s="217">
        <f t="shared" si="28"/>
        <v>0</v>
      </c>
      <c r="E168" s="218">
        <f>SUMIF(Consolidado!$A$6:$A$380,'TOTALES DIARIOS'!A168,Consolidado!$E$6:$E$380)</f>
        <v>0</v>
      </c>
      <c r="F168" s="218">
        <f>SUMIF(Consolidado!$A$6:$A$380,'TOTALES DIARIOS'!A168,Consolidado!$F$6:$F$380)</f>
        <v>0</v>
      </c>
      <c r="G168" s="218">
        <f>SUMIF(Consolidado!$A$6:$A$380,'TOTALES DIARIOS'!A168,Consolidado!$G$6:$G$380)</f>
        <v>0</v>
      </c>
      <c r="H168" s="219">
        <f t="shared" si="29"/>
        <v>0</v>
      </c>
      <c r="I168" s="99">
        <f t="shared" si="30"/>
        <v>0</v>
      </c>
      <c r="J168" s="99">
        <f t="shared" si="31"/>
        <v>0</v>
      </c>
      <c r="K168" s="113">
        <f t="shared" si="32"/>
        <v>2024</v>
      </c>
      <c r="L168" s="113">
        <f t="shared" si="33"/>
        <v>6</v>
      </c>
      <c r="M168" s="115">
        <f t="array" ref="M168">MIN(IF(Consolidado!$A$6:$A$1000='TOTALES DIARIOS'!A168,IF(Consolidado!$C$6:$C$1000&gt;TIMEVALUE("07:00"),Consolidado!$C$6:$C$1000,1)))</f>
        <v>0</v>
      </c>
      <c r="N168" s="115">
        <f t="array" ref="N168">MIN(IF(Consolidado!$A$6:$A$1000='TOTALES DIARIOS'!A168,IF(Consolidado!$C$6:$C$1000&lt;=M168,Consolidado!$C$6:$C$1000,1)))</f>
        <v>0</v>
      </c>
      <c r="O168" s="115">
        <f t="array" ref="O168">MAX(IF(Consolidado!$A$6:$A$1000='TOTALES DIARIOS'!A168,IF(Consolidado!$D$6:$D$1000&gt;=M168,Consolidado!$D$6:$D$1000,0)))</f>
        <v>0</v>
      </c>
      <c r="P168" s="118">
        <f t="array" ref="P168">MAX(IF(Consolidado!$A$6:$A$1000='TOTALES DIARIOS'!A168,IF(Consolidado!$D$6:$D$1000&lt;=M168,Consolidado!$D$6:$D$1000,0)))</f>
        <v>0</v>
      </c>
      <c r="Q168" s="117">
        <f t="shared" si="37"/>
        <v>0</v>
      </c>
      <c r="R168" s="117">
        <f t="shared" si="36"/>
        <v>0</v>
      </c>
      <c r="S168" s="104" t="str">
        <f t="shared" si="34"/>
        <v>NO</v>
      </c>
    </row>
    <row r="169" spans="1:19" x14ac:dyDescent="0.25">
      <c r="A169" s="221">
        <f t="shared" si="35"/>
        <v>45457</v>
      </c>
      <c r="B169" s="130" t="str">
        <f t="shared" si="26"/>
        <v/>
      </c>
      <c r="C169" s="217">
        <f t="shared" si="27"/>
        <v>0</v>
      </c>
      <c r="D169" s="217">
        <f t="shared" si="28"/>
        <v>0</v>
      </c>
      <c r="E169" s="218">
        <f>SUMIF(Consolidado!$A$6:$A$380,'TOTALES DIARIOS'!A169,Consolidado!$E$6:$E$380)</f>
        <v>0</v>
      </c>
      <c r="F169" s="218">
        <f>SUMIF(Consolidado!$A$6:$A$380,'TOTALES DIARIOS'!A169,Consolidado!$F$6:$F$380)</f>
        <v>0</v>
      </c>
      <c r="G169" s="218">
        <f>SUMIF(Consolidado!$A$6:$A$380,'TOTALES DIARIOS'!A169,Consolidado!$G$6:$G$380)</f>
        <v>0</v>
      </c>
      <c r="H169" s="219">
        <f t="shared" si="29"/>
        <v>0</v>
      </c>
      <c r="I169" s="99">
        <f t="shared" si="30"/>
        <v>0</v>
      </c>
      <c r="J169" s="99">
        <f t="shared" si="31"/>
        <v>0</v>
      </c>
      <c r="K169" s="113">
        <f t="shared" si="32"/>
        <v>2024</v>
      </c>
      <c r="L169" s="113">
        <f t="shared" si="33"/>
        <v>6</v>
      </c>
      <c r="M169" s="115">
        <f t="array" ref="M169">MIN(IF(Consolidado!$A$6:$A$1000='TOTALES DIARIOS'!A169,IF(Consolidado!$C$6:$C$1000&gt;TIMEVALUE("07:00"),Consolidado!$C$6:$C$1000,1)))</f>
        <v>0</v>
      </c>
      <c r="N169" s="115">
        <f t="array" ref="N169">MIN(IF(Consolidado!$A$6:$A$1000='TOTALES DIARIOS'!A169,IF(Consolidado!$C$6:$C$1000&lt;=M169,Consolidado!$C$6:$C$1000,1)))</f>
        <v>0</v>
      </c>
      <c r="O169" s="115">
        <f t="array" ref="O169">MAX(IF(Consolidado!$A$6:$A$1000='TOTALES DIARIOS'!A169,IF(Consolidado!$D$6:$D$1000&gt;=M169,Consolidado!$D$6:$D$1000,0)))</f>
        <v>0</v>
      </c>
      <c r="P169" s="118">
        <f t="array" ref="P169">MAX(IF(Consolidado!$A$6:$A$1000='TOTALES DIARIOS'!A169,IF(Consolidado!$D$6:$D$1000&lt;=M169,Consolidado!$D$6:$D$1000,0)))</f>
        <v>0</v>
      </c>
      <c r="Q169" s="117">
        <f t="shared" si="37"/>
        <v>0</v>
      </c>
      <c r="R169" s="117">
        <f t="shared" si="36"/>
        <v>0</v>
      </c>
      <c r="S169" s="104" t="str">
        <f t="shared" si="34"/>
        <v>NO</v>
      </c>
    </row>
    <row r="170" spans="1:19" x14ac:dyDescent="0.25">
      <c r="A170" s="221">
        <f t="shared" si="35"/>
        <v>45458</v>
      </c>
      <c r="B170" s="130" t="str">
        <f t="shared" si="26"/>
        <v/>
      </c>
      <c r="C170" s="217">
        <f t="shared" si="27"/>
        <v>0</v>
      </c>
      <c r="D170" s="217">
        <f t="shared" si="28"/>
        <v>0</v>
      </c>
      <c r="E170" s="218">
        <f>SUMIF(Consolidado!$A$6:$A$380,'TOTALES DIARIOS'!A170,Consolidado!$E$6:$E$380)</f>
        <v>0</v>
      </c>
      <c r="F170" s="218">
        <f>SUMIF(Consolidado!$A$6:$A$380,'TOTALES DIARIOS'!A170,Consolidado!$F$6:$F$380)</f>
        <v>0</v>
      </c>
      <c r="G170" s="218">
        <f>SUMIF(Consolidado!$A$6:$A$380,'TOTALES DIARIOS'!A170,Consolidado!$G$6:$G$380)</f>
        <v>0</v>
      </c>
      <c r="H170" s="219">
        <f t="shared" si="29"/>
        <v>0</v>
      </c>
      <c r="I170" s="99">
        <f t="shared" si="30"/>
        <v>0</v>
      </c>
      <c r="J170" s="99">
        <f t="shared" si="31"/>
        <v>0</v>
      </c>
      <c r="K170" s="113">
        <f t="shared" si="32"/>
        <v>2024</v>
      </c>
      <c r="L170" s="113">
        <f t="shared" si="33"/>
        <v>6</v>
      </c>
      <c r="M170" s="115">
        <f t="array" ref="M170">MIN(IF(Consolidado!$A$6:$A$1000='TOTALES DIARIOS'!A170,IF(Consolidado!$C$6:$C$1000&gt;TIMEVALUE("07:00"),Consolidado!$C$6:$C$1000,1)))</f>
        <v>0</v>
      </c>
      <c r="N170" s="115">
        <f t="array" ref="N170">MIN(IF(Consolidado!$A$6:$A$1000='TOTALES DIARIOS'!A170,IF(Consolidado!$C$6:$C$1000&lt;=M170,Consolidado!$C$6:$C$1000,1)))</f>
        <v>0</v>
      </c>
      <c r="O170" s="115">
        <f t="array" ref="O170">MAX(IF(Consolidado!$A$6:$A$1000='TOTALES DIARIOS'!A170,IF(Consolidado!$D$6:$D$1000&gt;=M170,Consolidado!$D$6:$D$1000,0)))</f>
        <v>0</v>
      </c>
      <c r="P170" s="118">
        <f t="array" ref="P170">MAX(IF(Consolidado!$A$6:$A$1000='TOTALES DIARIOS'!A170,IF(Consolidado!$D$6:$D$1000&lt;=M170,Consolidado!$D$6:$D$1000,0)))</f>
        <v>0</v>
      </c>
      <c r="Q170" s="117">
        <f t="shared" si="37"/>
        <v>0</v>
      </c>
      <c r="R170" s="117">
        <f t="shared" si="36"/>
        <v>0</v>
      </c>
      <c r="S170" s="104" t="str">
        <f t="shared" si="34"/>
        <v>NO</v>
      </c>
    </row>
    <row r="171" spans="1:19" x14ac:dyDescent="0.25">
      <c r="A171" s="221">
        <f t="shared" si="35"/>
        <v>45459</v>
      </c>
      <c r="B171" s="130" t="str">
        <f t="shared" si="26"/>
        <v/>
      </c>
      <c r="C171" s="217">
        <f t="shared" si="27"/>
        <v>0</v>
      </c>
      <c r="D171" s="217">
        <f t="shared" si="28"/>
        <v>0</v>
      </c>
      <c r="E171" s="218">
        <f>SUMIF(Consolidado!$A$6:$A$380,'TOTALES DIARIOS'!A171,Consolidado!$E$6:$E$380)</f>
        <v>0</v>
      </c>
      <c r="F171" s="218">
        <f>SUMIF(Consolidado!$A$6:$A$380,'TOTALES DIARIOS'!A171,Consolidado!$F$6:$F$380)</f>
        <v>0</v>
      </c>
      <c r="G171" s="218">
        <f>SUMIF(Consolidado!$A$6:$A$380,'TOTALES DIARIOS'!A171,Consolidado!$G$6:$G$380)</f>
        <v>0</v>
      </c>
      <c r="H171" s="219">
        <f t="shared" si="29"/>
        <v>0</v>
      </c>
      <c r="I171" s="99">
        <f t="shared" si="30"/>
        <v>0</v>
      </c>
      <c r="J171" s="99">
        <f t="shared" si="31"/>
        <v>0</v>
      </c>
      <c r="K171" s="113">
        <f t="shared" si="32"/>
        <v>2024</v>
      </c>
      <c r="L171" s="113">
        <f t="shared" si="33"/>
        <v>6</v>
      </c>
      <c r="M171" s="115">
        <f t="array" ref="M171">MIN(IF(Consolidado!$A$6:$A$1000='TOTALES DIARIOS'!A171,IF(Consolidado!$C$6:$C$1000&gt;TIMEVALUE("07:00"),Consolidado!$C$6:$C$1000,1)))</f>
        <v>0</v>
      </c>
      <c r="N171" s="115">
        <f t="array" ref="N171">MIN(IF(Consolidado!$A$6:$A$1000='TOTALES DIARIOS'!A171,IF(Consolidado!$C$6:$C$1000&lt;=M171,Consolidado!$C$6:$C$1000,1)))</f>
        <v>0</v>
      </c>
      <c r="O171" s="115">
        <f t="array" ref="O171">MAX(IF(Consolidado!$A$6:$A$1000='TOTALES DIARIOS'!A171,IF(Consolidado!$D$6:$D$1000&gt;=M171,Consolidado!$D$6:$D$1000,0)))</f>
        <v>0</v>
      </c>
      <c r="P171" s="118">
        <f t="array" ref="P171">MAX(IF(Consolidado!$A$6:$A$1000='TOTALES DIARIOS'!A171,IF(Consolidado!$D$6:$D$1000&lt;=M171,Consolidado!$D$6:$D$1000,0)))</f>
        <v>0</v>
      </c>
      <c r="Q171" s="117">
        <f t="shared" si="37"/>
        <v>0</v>
      </c>
      <c r="R171" s="117">
        <f t="shared" si="36"/>
        <v>0</v>
      </c>
      <c r="S171" s="104" t="str">
        <f t="shared" si="34"/>
        <v>NO</v>
      </c>
    </row>
    <row r="172" spans="1:19" x14ac:dyDescent="0.25">
      <c r="A172" s="221">
        <f t="shared" si="35"/>
        <v>45460</v>
      </c>
      <c r="B172" s="130" t="str">
        <f t="shared" si="26"/>
        <v/>
      </c>
      <c r="C172" s="217">
        <f t="shared" si="27"/>
        <v>0</v>
      </c>
      <c r="D172" s="217">
        <f t="shared" si="28"/>
        <v>0</v>
      </c>
      <c r="E172" s="218">
        <f>SUMIF(Consolidado!$A$6:$A$380,'TOTALES DIARIOS'!A172,Consolidado!$E$6:$E$380)</f>
        <v>0</v>
      </c>
      <c r="F172" s="218">
        <f>SUMIF(Consolidado!$A$6:$A$380,'TOTALES DIARIOS'!A172,Consolidado!$F$6:$F$380)</f>
        <v>0</v>
      </c>
      <c r="G172" s="218">
        <f>SUMIF(Consolidado!$A$6:$A$380,'TOTALES DIARIOS'!A172,Consolidado!$G$6:$G$380)</f>
        <v>0</v>
      </c>
      <c r="H172" s="219">
        <f t="shared" si="29"/>
        <v>0</v>
      </c>
      <c r="I172" s="99">
        <f t="shared" si="30"/>
        <v>0</v>
      </c>
      <c r="J172" s="99">
        <f t="shared" si="31"/>
        <v>0</v>
      </c>
      <c r="K172" s="113">
        <f t="shared" si="32"/>
        <v>2024</v>
      </c>
      <c r="L172" s="113">
        <f t="shared" si="33"/>
        <v>6</v>
      </c>
      <c r="M172" s="115">
        <f t="array" ref="M172">MIN(IF(Consolidado!$A$6:$A$1000='TOTALES DIARIOS'!A172,IF(Consolidado!$C$6:$C$1000&gt;TIMEVALUE("07:00"),Consolidado!$C$6:$C$1000,1)))</f>
        <v>0</v>
      </c>
      <c r="N172" s="115">
        <f t="array" ref="N172">MIN(IF(Consolidado!$A$6:$A$1000='TOTALES DIARIOS'!A172,IF(Consolidado!$C$6:$C$1000&lt;=M172,Consolidado!$C$6:$C$1000,1)))</f>
        <v>0</v>
      </c>
      <c r="O172" s="115">
        <f t="array" ref="O172">MAX(IF(Consolidado!$A$6:$A$1000='TOTALES DIARIOS'!A172,IF(Consolidado!$D$6:$D$1000&gt;=M172,Consolidado!$D$6:$D$1000,0)))</f>
        <v>0</v>
      </c>
      <c r="P172" s="118">
        <f t="array" ref="P172">MAX(IF(Consolidado!$A$6:$A$1000='TOTALES DIARIOS'!A172,IF(Consolidado!$D$6:$D$1000&lt;=M172,Consolidado!$D$6:$D$1000,0)))</f>
        <v>0</v>
      </c>
      <c r="Q172" s="117">
        <f t="shared" si="37"/>
        <v>0</v>
      </c>
      <c r="R172" s="117">
        <f t="shared" si="36"/>
        <v>0</v>
      </c>
      <c r="S172" s="104" t="str">
        <f t="shared" si="34"/>
        <v>NO</v>
      </c>
    </row>
    <row r="173" spans="1:19" x14ac:dyDescent="0.25">
      <c r="A173" s="221">
        <f t="shared" si="35"/>
        <v>45461</v>
      </c>
      <c r="B173" s="130" t="str">
        <f t="shared" si="26"/>
        <v/>
      </c>
      <c r="C173" s="217">
        <f t="shared" si="27"/>
        <v>0</v>
      </c>
      <c r="D173" s="217">
        <f t="shared" si="28"/>
        <v>0</v>
      </c>
      <c r="E173" s="218">
        <f>SUMIF(Consolidado!$A$6:$A$380,'TOTALES DIARIOS'!A173,Consolidado!$E$6:$E$380)</f>
        <v>0</v>
      </c>
      <c r="F173" s="218">
        <f>SUMIF(Consolidado!$A$6:$A$380,'TOTALES DIARIOS'!A173,Consolidado!$F$6:$F$380)</f>
        <v>0</v>
      </c>
      <c r="G173" s="218">
        <f>SUMIF(Consolidado!$A$6:$A$380,'TOTALES DIARIOS'!A173,Consolidado!$G$6:$G$380)</f>
        <v>0</v>
      </c>
      <c r="H173" s="219">
        <f t="shared" si="29"/>
        <v>0</v>
      </c>
      <c r="I173" s="99">
        <f t="shared" si="30"/>
        <v>0</v>
      </c>
      <c r="J173" s="99">
        <f t="shared" si="31"/>
        <v>0</v>
      </c>
      <c r="K173" s="113">
        <f t="shared" si="32"/>
        <v>2024</v>
      </c>
      <c r="L173" s="113">
        <f t="shared" si="33"/>
        <v>6</v>
      </c>
      <c r="M173" s="115">
        <f t="array" ref="M173">MIN(IF(Consolidado!$A$6:$A$1000='TOTALES DIARIOS'!A173,IF(Consolidado!$C$6:$C$1000&gt;TIMEVALUE("07:00"),Consolidado!$C$6:$C$1000,1)))</f>
        <v>0</v>
      </c>
      <c r="N173" s="115">
        <f t="array" ref="N173">MIN(IF(Consolidado!$A$6:$A$1000='TOTALES DIARIOS'!A173,IF(Consolidado!$C$6:$C$1000&lt;=M173,Consolidado!$C$6:$C$1000,1)))</f>
        <v>0</v>
      </c>
      <c r="O173" s="115">
        <f t="array" ref="O173">MAX(IF(Consolidado!$A$6:$A$1000='TOTALES DIARIOS'!A173,IF(Consolidado!$D$6:$D$1000&gt;=M173,Consolidado!$D$6:$D$1000,0)))</f>
        <v>0</v>
      </c>
      <c r="P173" s="118">
        <f t="array" ref="P173">MAX(IF(Consolidado!$A$6:$A$1000='TOTALES DIARIOS'!A173,IF(Consolidado!$D$6:$D$1000&lt;=M173,Consolidado!$D$6:$D$1000,0)))</f>
        <v>0</v>
      </c>
      <c r="Q173" s="117">
        <f t="shared" si="37"/>
        <v>0</v>
      </c>
      <c r="R173" s="117">
        <f t="shared" si="36"/>
        <v>0</v>
      </c>
      <c r="S173" s="104" t="str">
        <f t="shared" si="34"/>
        <v>NO</v>
      </c>
    </row>
    <row r="174" spans="1:19" x14ac:dyDescent="0.25">
      <c r="A174" s="221">
        <f t="shared" si="35"/>
        <v>45462</v>
      </c>
      <c r="B174" s="130" t="str">
        <f t="shared" si="26"/>
        <v/>
      </c>
      <c r="C174" s="217">
        <f t="shared" si="27"/>
        <v>0</v>
      </c>
      <c r="D174" s="217">
        <f t="shared" si="28"/>
        <v>0</v>
      </c>
      <c r="E174" s="218">
        <f>SUMIF(Consolidado!$A$6:$A$380,'TOTALES DIARIOS'!A174,Consolidado!$E$6:$E$380)</f>
        <v>0</v>
      </c>
      <c r="F174" s="218">
        <f>SUMIF(Consolidado!$A$6:$A$380,'TOTALES DIARIOS'!A174,Consolidado!$F$6:$F$380)</f>
        <v>0</v>
      </c>
      <c r="G174" s="218">
        <f>SUMIF(Consolidado!$A$6:$A$380,'TOTALES DIARIOS'!A174,Consolidado!$G$6:$G$380)</f>
        <v>0</v>
      </c>
      <c r="H174" s="219">
        <f t="shared" si="29"/>
        <v>0</v>
      </c>
      <c r="I174" s="99">
        <f t="shared" si="30"/>
        <v>0</v>
      </c>
      <c r="J174" s="99">
        <f t="shared" si="31"/>
        <v>0</v>
      </c>
      <c r="K174" s="113">
        <f t="shared" si="32"/>
        <v>2024</v>
      </c>
      <c r="L174" s="113">
        <f t="shared" si="33"/>
        <v>6</v>
      </c>
      <c r="M174" s="115">
        <f t="array" ref="M174">MIN(IF(Consolidado!$A$6:$A$1000='TOTALES DIARIOS'!A174,IF(Consolidado!$C$6:$C$1000&gt;TIMEVALUE("07:00"),Consolidado!$C$6:$C$1000,1)))</f>
        <v>0</v>
      </c>
      <c r="N174" s="115">
        <f t="array" ref="N174">MIN(IF(Consolidado!$A$6:$A$1000='TOTALES DIARIOS'!A174,IF(Consolidado!$C$6:$C$1000&lt;=M174,Consolidado!$C$6:$C$1000,1)))</f>
        <v>0</v>
      </c>
      <c r="O174" s="115">
        <f t="array" ref="O174">MAX(IF(Consolidado!$A$6:$A$1000='TOTALES DIARIOS'!A174,IF(Consolidado!$D$6:$D$1000&gt;=M174,Consolidado!$D$6:$D$1000,0)))</f>
        <v>0</v>
      </c>
      <c r="P174" s="118">
        <f t="array" ref="P174">MAX(IF(Consolidado!$A$6:$A$1000='TOTALES DIARIOS'!A174,IF(Consolidado!$D$6:$D$1000&lt;=M174,Consolidado!$D$6:$D$1000,0)))</f>
        <v>0</v>
      </c>
      <c r="Q174" s="117">
        <f t="shared" si="37"/>
        <v>0</v>
      </c>
      <c r="R174" s="117">
        <f t="shared" si="36"/>
        <v>0</v>
      </c>
      <c r="S174" s="104" t="str">
        <f t="shared" si="34"/>
        <v>NO</v>
      </c>
    </row>
    <row r="175" spans="1:19" x14ac:dyDescent="0.25">
      <c r="A175" s="221">
        <f t="shared" si="35"/>
        <v>45463</v>
      </c>
      <c r="B175" s="130" t="str">
        <f t="shared" si="26"/>
        <v/>
      </c>
      <c r="C175" s="217">
        <f t="shared" si="27"/>
        <v>0</v>
      </c>
      <c r="D175" s="217">
        <f t="shared" si="28"/>
        <v>0</v>
      </c>
      <c r="E175" s="218">
        <f>SUMIF(Consolidado!$A$6:$A$380,'TOTALES DIARIOS'!A175,Consolidado!$E$6:$E$380)</f>
        <v>0</v>
      </c>
      <c r="F175" s="218">
        <f>SUMIF(Consolidado!$A$6:$A$380,'TOTALES DIARIOS'!A175,Consolidado!$F$6:$F$380)</f>
        <v>0</v>
      </c>
      <c r="G175" s="218">
        <f>SUMIF(Consolidado!$A$6:$A$380,'TOTALES DIARIOS'!A175,Consolidado!$G$6:$G$380)</f>
        <v>0</v>
      </c>
      <c r="H175" s="219">
        <f t="shared" si="29"/>
        <v>0</v>
      </c>
      <c r="I175" s="99">
        <f t="shared" si="30"/>
        <v>0</v>
      </c>
      <c r="J175" s="99">
        <f t="shared" si="31"/>
        <v>0</v>
      </c>
      <c r="K175" s="113">
        <f t="shared" si="32"/>
        <v>2024</v>
      </c>
      <c r="L175" s="113">
        <f t="shared" si="33"/>
        <v>6</v>
      </c>
      <c r="M175" s="115">
        <f t="array" ref="M175">MIN(IF(Consolidado!$A$6:$A$1000='TOTALES DIARIOS'!A175,IF(Consolidado!$C$6:$C$1000&gt;TIMEVALUE("07:00"),Consolidado!$C$6:$C$1000,1)))</f>
        <v>0</v>
      </c>
      <c r="N175" s="115">
        <f t="array" ref="N175">MIN(IF(Consolidado!$A$6:$A$1000='TOTALES DIARIOS'!A175,IF(Consolidado!$C$6:$C$1000&lt;=M175,Consolidado!$C$6:$C$1000,1)))</f>
        <v>0</v>
      </c>
      <c r="O175" s="115">
        <f t="array" ref="O175">MAX(IF(Consolidado!$A$6:$A$1000='TOTALES DIARIOS'!A175,IF(Consolidado!$D$6:$D$1000&gt;=M175,Consolidado!$D$6:$D$1000,0)))</f>
        <v>0</v>
      </c>
      <c r="P175" s="118">
        <f t="array" ref="P175">MAX(IF(Consolidado!$A$6:$A$1000='TOTALES DIARIOS'!A175,IF(Consolidado!$D$6:$D$1000&lt;=M175,Consolidado!$D$6:$D$1000,0)))</f>
        <v>0</v>
      </c>
      <c r="Q175" s="117">
        <f t="shared" si="37"/>
        <v>0</v>
      </c>
      <c r="R175" s="117">
        <f t="shared" si="36"/>
        <v>0</v>
      </c>
      <c r="S175" s="104" t="str">
        <f t="shared" si="34"/>
        <v>NO</v>
      </c>
    </row>
    <row r="176" spans="1:19" x14ac:dyDescent="0.25">
      <c r="A176" s="221">
        <f t="shared" si="35"/>
        <v>45464</v>
      </c>
      <c r="B176" s="130" t="str">
        <f t="shared" si="26"/>
        <v/>
      </c>
      <c r="C176" s="217">
        <f t="shared" si="27"/>
        <v>0</v>
      </c>
      <c r="D176" s="217">
        <f t="shared" si="28"/>
        <v>0</v>
      </c>
      <c r="E176" s="218">
        <f>SUMIF(Consolidado!$A$6:$A$380,'TOTALES DIARIOS'!A176,Consolidado!$E$6:$E$380)</f>
        <v>0</v>
      </c>
      <c r="F176" s="218">
        <f>SUMIF(Consolidado!$A$6:$A$380,'TOTALES DIARIOS'!A176,Consolidado!$F$6:$F$380)</f>
        <v>0</v>
      </c>
      <c r="G176" s="218">
        <f>SUMIF(Consolidado!$A$6:$A$380,'TOTALES DIARIOS'!A176,Consolidado!$G$6:$G$380)</f>
        <v>0</v>
      </c>
      <c r="H176" s="219">
        <f t="shared" si="29"/>
        <v>0</v>
      </c>
      <c r="I176" s="99">
        <f t="shared" si="30"/>
        <v>0</v>
      </c>
      <c r="J176" s="99">
        <f t="shared" si="31"/>
        <v>0</v>
      </c>
      <c r="K176" s="113">
        <f t="shared" si="32"/>
        <v>2024</v>
      </c>
      <c r="L176" s="113">
        <f t="shared" si="33"/>
        <v>6</v>
      </c>
      <c r="M176" s="115">
        <f t="array" ref="M176">MIN(IF(Consolidado!$A$6:$A$1000='TOTALES DIARIOS'!A176,IF(Consolidado!$C$6:$C$1000&gt;TIMEVALUE("07:00"),Consolidado!$C$6:$C$1000,1)))</f>
        <v>0</v>
      </c>
      <c r="N176" s="115">
        <f t="array" ref="N176">MIN(IF(Consolidado!$A$6:$A$1000='TOTALES DIARIOS'!A176,IF(Consolidado!$C$6:$C$1000&lt;=M176,Consolidado!$C$6:$C$1000,1)))</f>
        <v>0</v>
      </c>
      <c r="O176" s="115">
        <f t="array" ref="O176">MAX(IF(Consolidado!$A$6:$A$1000='TOTALES DIARIOS'!A176,IF(Consolidado!$D$6:$D$1000&gt;=M176,Consolidado!$D$6:$D$1000,0)))</f>
        <v>0</v>
      </c>
      <c r="P176" s="118">
        <f t="array" ref="P176">MAX(IF(Consolidado!$A$6:$A$1000='TOTALES DIARIOS'!A176,IF(Consolidado!$D$6:$D$1000&lt;=M176,Consolidado!$D$6:$D$1000,0)))</f>
        <v>0</v>
      </c>
      <c r="Q176" s="117">
        <f t="shared" si="37"/>
        <v>0</v>
      </c>
      <c r="R176" s="117">
        <f t="shared" si="36"/>
        <v>0</v>
      </c>
      <c r="S176" s="104" t="str">
        <f t="shared" si="34"/>
        <v>NO</v>
      </c>
    </row>
    <row r="177" spans="1:19" x14ac:dyDescent="0.25">
      <c r="A177" s="221">
        <f t="shared" si="35"/>
        <v>45465</v>
      </c>
      <c r="B177" s="130" t="str">
        <f t="shared" si="26"/>
        <v/>
      </c>
      <c r="C177" s="217">
        <f t="shared" si="27"/>
        <v>0</v>
      </c>
      <c r="D177" s="217">
        <f t="shared" si="28"/>
        <v>0</v>
      </c>
      <c r="E177" s="218">
        <f>SUMIF(Consolidado!$A$6:$A$380,'TOTALES DIARIOS'!A177,Consolidado!$E$6:$E$380)</f>
        <v>0</v>
      </c>
      <c r="F177" s="218">
        <f>SUMIF(Consolidado!$A$6:$A$380,'TOTALES DIARIOS'!A177,Consolidado!$F$6:$F$380)</f>
        <v>0</v>
      </c>
      <c r="G177" s="218">
        <f>SUMIF(Consolidado!$A$6:$A$380,'TOTALES DIARIOS'!A177,Consolidado!$G$6:$G$380)</f>
        <v>0</v>
      </c>
      <c r="H177" s="219">
        <f t="shared" si="29"/>
        <v>0</v>
      </c>
      <c r="I177" s="99">
        <f t="shared" si="30"/>
        <v>0</v>
      </c>
      <c r="J177" s="99">
        <f t="shared" si="31"/>
        <v>0</v>
      </c>
      <c r="K177" s="113">
        <f t="shared" si="32"/>
        <v>2024</v>
      </c>
      <c r="L177" s="113">
        <f t="shared" si="33"/>
        <v>6</v>
      </c>
      <c r="M177" s="115">
        <f t="array" ref="M177">MIN(IF(Consolidado!$A$6:$A$1000='TOTALES DIARIOS'!A177,IF(Consolidado!$C$6:$C$1000&gt;TIMEVALUE("07:00"),Consolidado!$C$6:$C$1000,1)))</f>
        <v>0</v>
      </c>
      <c r="N177" s="115">
        <f t="array" ref="N177">MIN(IF(Consolidado!$A$6:$A$1000='TOTALES DIARIOS'!A177,IF(Consolidado!$C$6:$C$1000&lt;=M177,Consolidado!$C$6:$C$1000,1)))</f>
        <v>0</v>
      </c>
      <c r="O177" s="115">
        <f t="array" ref="O177">MAX(IF(Consolidado!$A$6:$A$1000='TOTALES DIARIOS'!A177,IF(Consolidado!$D$6:$D$1000&gt;=M177,Consolidado!$D$6:$D$1000,0)))</f>
        <v>0</v>
      </c>
      <c r="P177" s="118">
        <f t="array" ref="P177">MAX(IF(Consolidado!$A$6:$A$1000='TOTALES DIARIOS'!A177,IF(Consolidado!$D$6:$D$1000&lt;=M177,Consolidado!$D$6:$D$1000,0)))</f>
        <v>0</v>
      </c>
      <c r="Q177" s="117">
        <f t="shared" si="37"/>
        <v>0</v>
      </c>
      <c r="R177" s="117">
        <f t="shared" si="36"/>
        <v>0</v>
      </c>
      <c r="S177" s="104" t="str">
        <f t="shared" si="34"/>
        <v>NO</v>
      </c>
    </row>
    <row r="178" spans="1:19" x14ac:dyDescent="0.25">
      <c r="A178" s="221">
        <f t="shared" si="35"/>
        <v>45466</v>
      </c>
      <c r="B178" s="130" t="str">
        <f t="shared" si="26"/>
        <v/>
      </c>
      <c r="C178" s="217">
        <f t="shared" si="27"/>
        <v>0</v>
      </c>
      <c r="D178" s="217">
        <f t="shared" si="28"/>
        <v>0</v>
      </c>
      <c r="E178" s="218">
        <f>SUMIF(Consolidado!$A$6:$A$380,'TOTALES DIARIOS'!A178,Consolidado!$E$6:$E$380)</f>
        <v>0</v>
      </c>
      <c r="F178" s="218">
        <f>SUMIF(Consolidado!$A$6:$A$380,'TOTALES DIARIOS'!A178,Consolidado!$F$6:$F$380)</f>
        <v>0</v>
      </c>
      <c r="G178" s="218">
        <f>SUMIF(Consolidado!$A$6:$A$380,'TOTALES DIARIOS'!A178,Consolidado!$G$6:$G$380)</f>
        <v>0</v>
      </c>
      <c r="H178" s="219">
        <f t="shared" si="29"/>
        <v>0</v>
      </c>
      <c r="I178" s="99">
        <f t="shared" si="30"/>
        <v>0</v>
      </c>
      <c r="J178" s="99">
        <f t="shared" si="31"/>
        <v>0</v>
      </c>
      <c r="K178" s="113">
        <f t="shared" si="32"/>
        <v>2024</v>
      </c>
      <c r="L178" s="113">
        <f t="shared" si="33"/>
        <v>6</v>
      </c>
      <c r="M178" s="115">
        <f t="array" ref="M178">MIN(IF(Consolidado!$A$6:$A$1000='TOTALES DIARIOS'!A178,IF(Consolidado!$C$6:$C$1000&gt;TIMEVALUE("07:00"),Consolidado!$C$6:$C$1000,1)))</f>
        <v>0</v>
      </c>
      <c r="N178" s="115">
        <f t="array" ref="N178">MIN(IF(Consolidado!$A$6:$A$1000='TOTALES DIARIOS'!A178,IF(Consolidado!$C$6:$C$1000&lt;=M178,Consolidado!$C$6:$C$1000,1)))</f>
        <v>0</v>
      </c>
      <c r="O178" s="115">
        <f t="array" ref="O178">MAX(IF(Consolidado!$A$6:$A$1000='TOTALES DIARIOS'!A178,IF(Consolidado!$D$6:$D$1000&gt;=M178,Consolidado!$D$6:$D$1000,0)))</f>
        <v>0</v>
      </c>
      <c r="P178" s="118">
        <f t="array" ref="P178">MAX(IF(Consolidado!$A$6:$A$1000='TOTALES DIARIOS'!A178,IF(Consolidado!$D$6:$D$1000&lt;=M178,Consolidado!$D$6:$D$1000,0)))</f>
        <v>0</v>
      </c>
      <c r="Q178" s="117">
        <f t="shared" si="37"/>
        <v>0</v>
      </c>
      <c r="R178" s="117">
        <f t="shared" si="36"/>
        <v>0</v>
      </c>
      <c r="S178" s="104" t="str">
        <f t="shared" si="34"/>
        <v>NO</v>
      </c>
    </row>
    <row r="179" spans="1:19" x14ac:dyDescent="0.25">
      <c r="A179" s="221">
        <f t="shared" si="35"/>
        <v>45467</v>
      </c>
      <c r="B179" s="130" t="str">
        <f t="shared" si="26"/>
        <v/>
      </c>
      <c r="C179" s="217">
        <f t="shared" si="27"/>
        <v>0</v>
      </c>
      <c r="D179" s="217">
        <f t="shared" si="28"/>
        <v>0</v>
      </c>
      <c r="E179" s="218">
        <f>SUMIF(Consolidado!$A$6:$A$380,'TOTALES DIARIOS'!A179,Consolidado!$E$6:$E$380)</f>
        <v>0</v>
      </c>
      <c r="F179" s="218">
        <f>SUMIF(Consolidado!$A$6:$A$380,'TOTALES DIARIOS'!A179,Consolidado!$F$6:$F$380)</f>
        <v>0</v>
      </c>
      <c r="G179" s="218">
        <f>SUMIF(Consolidado!$A$6:$A$380,'TOTALES DIARIOS'!A179,Consolidado!$G$6:$G$380)</f>
        <v>0</v>
      </c>
      <c r="H179" s="219">
        <f t="shared" si="29"/>
        <v>0</v>
      </c>
      <c r="I179" s="99">
        <f t="shared" si="30"/>
        <v>0</v>
      </c>
      <c r="J179" s="99">
        <f t="shared" si="31"/>
        <v>0</v>
      </c>
      <c r="K179" s="113">
        <f t="shared" si="32"/>
        <v>2024</v>
      </c>
      <c r="L179" s="113">
        <f t="shared" si="33"/>
        <v>6</v>
      </c>
      <c r="M179" s="115">
        <f t="array" ref="M179">MIN(IF(Consolidado!$A$6:$A$1000='TOTALES DIARIOS'!A179,IF(Consolidado!$C$6:$C$1000&gt;TIMEVALUE("07:00"),Consolidado!$C$6:$C$1000,1)))</f>
        <v>0</v>
      </c>
      <c r="N179" s="115">
        <f t="array" ref="N179">MIN(IF(Consolidado!$A$6:$A$1000='TOTALES DIARIOS'!A179,IF(Consolidado!$C$6:$C$1000&lt;=M179,Consolidado!$C$6:$C$1000,1)))</f>
        <v>0</v>
      </c>
      <c r="O179" s="115">
        <f t="array" ref="O179">MAX(IF(Consolidado!$A$6:$A$1000='TOTALES DIARIOS'!A179,IF(Consolidado!$D$6:$D$1000&gt;=M179,Consolidado!$D$6:$D$1000,0)))</f>
        <v>0</v>
      </c>
      <c r="P179" s="118">
        <f t="array" ref="P179">MAX(IF(Consolidado!$A$6:$A$1000='TOTALES DIARIOS'!A179,IF(Consolidado!$D$6:$D$1000&lt;=M179,Consolidado!$D$6:$D$1000,0)))</f>
        <v>0</v>
      </c>
      <c r="Q179" s="117">
        <f t="shared" si="37"/>
        <v>0</v>
      </c>
      <c r="R179" s="117">
        <f t="shared" si="36"/>
        <v>0</v>
      </c>
      <c r="S179" s="104" t="str">
        <f t="shared" si="34"/>
        <v>NO</v>
      </c>
    </row>
    <row r="180" spans="1:19" x14ac:dyDescent="0.25">
      <c r="A180" s="221">
        <f t="shared" si="35"/>
        <v>45468</v>
      </c>
      <c r="B180" s="130" t="str">
        <f t="shared" si="26"/>
        <v/>
      </c>
      <c r="C180" s="217">
        <f t="shared" si="27"/>
        <v>0</v>
      </c>
      <c r="D180" s="217">
        <f t="shared" si="28"/>
        <v>0</v>
      </c>
      <c r="E180" s="218">
        <f>SUMIF(Consolidado!$A$6:$A$380,'TOTALES DIARIOS'!A180,Consolidado!$E$6:$E$380)</f>
        <v>0</v>
      </c>
      <c r="F180" s="218">
        <f>SUMIF(Consolidado!$A$6:$A$380,'TOTALES DIARIOS'!A180,Consolidado!$F$6:$F$380)</f>
        <v>0</v>
      </c>
      <c r="G180" s="218">
        <f>SUMIF(Consolidado!$A$6:$A$380,'TOTALES DIARIOS'!A180,Consolidado!$G$6:$G$380)</f>
        <v>0</v>
      </c>
      <c r="H180" s="219">
        <f t="shared" si="29"/>
        <v>0</v>
      </c>
      <c r="I180" s="99">
        <f t="shared" si="30"/>
        <v>0</v>
      </c>
      <c r="J180" s="99">
        <f t="shared" si="31"/>
        <v>0</v>
      </c>
      <c r="K180" s="113">
        <f t="shared" si="32"/>
        <v>2024</v>
      </c>
      <c r="L180" s="113">
        <f t="shared" si="33"/>
        <v>6</v>
      </c>
      <c r="M180" s="115">
        <f t="array" ref="M180">MIN(IF(Consolidado!$A$6:$A$1000='TOTALES DIARIOS'!A180,IF(Consolidado!$C$6:$C$1000&gt;TIMEVALUE("07:00"),Consolidado!$C$6:$C$1000,1)))</f>
        <v>0</v>
      </c>
      <c r="N180" s="115">
        <f t="array" ref="N180">MIN(IF(Consolidado!$A$6:$A$1000='TOTALES DIARIOS'!A180,IF(Consolidado!$C$6:$C$1000&lt;=M180,Consolidado!$C$6:$C$1000,1)))</f>
        <v>0</v>
      </c>
      <c r="O180" s="115">
        <f t="array" ref="O180">MAX(IF(Consolidado!$A$6:$A$1000='TOTALES DIARIOS'!A180,IF(Consolidado!$D$6:$D$1000&gt;=M180,Consolidado!$D$6:$D$1000,0)))</f>
        <v>0</v>
      </c>
      <c r="P180" s="118">
        <f t="array" ref="P180">MAX(IF(Consolidado!$A$6:$A$1000='TOTALES DIARIOS'!A180,IF(Consolidado!$D$6:$D$1000&lt;=M180,Consolidado!$D$6:$D$1000,0)))</f>
        <v>0</v>
      </c>
      <c r="Q180" s="117">
        <f t="shared" si="37"/>
        <v>0</v>
      </c>
      <c r="R180" s="117">
        <f t="shared" si="36"/>
        <v>0</v>
      </c>
      <c r="S180" s="104" t="str">
        <f t="shared" si="34"/>
        <v>NO</v>
      </c>
    </row>
    <row r="181" spans="1:19" x14ac:dyDescent="0.25">
      <c r="A181" s="221">
        <f t="shared" si="35"/>
        <v>45469</v>
      </c>
      <c r="B181" s="130" t="str">
        <f t="shared" si="26"/>
        <v/>
      </c>
      <c r="C181" s="217">
        <f t="shared" si="27"/>
        <v>0</v>
      </c>
      <c r="D181" s="217">
        <f t="shared" si="28"/>
        <v>0</v>
      </c>
      <c r="E181" s="218">
        <f>SUMIF(Consolidado!$A$6:$A$380,'TOTALES DIARIOS'!A181,Consolidado!$E$6:$E$380)</f>
        <v>0</v>
      </c>
      <c r="F181" s="218">
        <f>SUMIF(Consolidado!$A$6:$A$380,'TOTALES DIARIOS'!A181,Consolidado!$F$6:$F$380)</f>
        <v>0</v>
      </c>
      <c r="G181" s="218">
        <f>SUMIF(Consolidado!$A$6:$A$380,'TOTALES DIARIOS'!A181,Consolidado!$G$6:$G$380)</f>
        <v>0</v>
      </c>
      <c r="H181" s="219">
        <f t="shared" si="29"/>
        <v>0</v>
      </c>
      <c r="I181" s="99">
        <f t="shared" si="30"/>
        <v>0</v>
      </c>
      <c r="J181" s="99">
        <f t="shared" si="31"/>
        <v>0</v>
      </c>
      <c r="K181" s="113">
        <f t="shared" si="32"/>
        <v>2024</v>
      </c>
      <c r="L181" s="113">
        <f t="shared" si="33"/>
        <v>6</v>
      </c>
      <c r="M181" s="115">
        <f t="array" ref="M181">MIN(IF(Consolidado!$A$6:$A$1000='TOTALES DIARIOS'!A181,IF(Consolidado!$C$6:$C$1000&gt;TIMEVALUE("07:00"),Consolidado!$C$6:$C$1000,1)))</f>
        <v>0</v>
      </c>
      <c r="N181" s="115">
        <f t="array" ref="N181">MIN(IF(Consolidado!$A$6:$A$1000='TOTALES DIARIOS'!A181,IF(Consolidado!$C$6:$C$1000&lt;=M181,Consolidado!$C$6:$C$1000,1)))</f>
        <v>0</v>
      </c>
      <c r="O181" s="115">
        <f t="array" ref="O181">MAX(IF(Consolidado!$A$6:$A$1000='TOTALES DIARIOS'!A181,IF(Consolidado!$D$6:$D$1000&gt;=M181,Consolidado!$D$6:$D$1000,0)))</f>
        <v>0</v>
      </c>
      <c r="P181" s="118">
        <f t="array" ref="P181">MAX(IF(Consolidado!$A$6:$A$1000='TOTALES DIARIOS'!A181,IF(Consolidado!$D$6:$D$1000&lt;=M181,Consolidado!$D$6:$D$1000,0)))</f>
        <v>0</v>
      </c>
      <c r="Q181" s="117">
        <f t="shared" si="37"/>
        <v>0</v>
      </c>
      <c r="R181" s="117">
        <f t="shared" si="36"/>
        <v>0</v>
      </c>
      <c r="S181" s="104" t="str">
        <f t="shared" si="34"/>
        <v>NO</v>
      </c>
    </row>
    <row r="182" spans="1:19" x14ac:dyDescent="0.25">
      <c r="A182" s="221">
        <f t="shared" si="35"/>
        <v>45470</v>
      </c>
      <c r="B182" s="130" t="str">
        <f t="shared" si="26"/>
        <v/>
      </c>
      <c r="C182" s="217">
        <f t="shared" si="27"/>
        <v>0</v>
      </c>
      <c r="D182" s="217">
        <f t="shared" si="28"/>
        <v>0</v>
      </c>
      <c r="E182" s="218">
        <f>SUMIF(Consolidado!$A$6:$A$380,'TOTALES DIARIOS'!A182,Consolidado!$E$6:$E$380)</f>
        <v>0</v>
      </c>
      <c r="F182" s="218">
        <f>SUMIF(Consolidado!$A$6:$A$380,'TOTALES DIARIOS'!A182,Consolidado!$F$6:$F$380)</f>
        <v>0</v>
      </c>
      <c r="G182" s="218">
        <f>SUMIF(Consolidado!$A$6:$A$380,'TOTALES DIARIOS'!A182,Consolidado!$G$6:$G$380)</f>
        <v>0</v>
      </c>
      <c r="H182" s="219">
        <f t="shared" si="29"/>
        <v>0</v>
      </c>
      <c r="I182" s="99">
        <f t="shared" si="30"/>
        <v>0</v>
      </c>
      <c r="J182" s="99">
        <f t="shared" si="31"/>
        <v>0</v>
      </c>
      <c r="K182" s="113">
        <f t="shared" si="32"/>
        <v>2024</v>
      </c>
      <c r="L182" s="113">
        <f t="shared" si="33"/>
        <v>6</v>
      </c>
      <c r="M182" s="115">
        <f t="array" ref="M182">MIN(IF(Consolidado!$A$6:$A$1000='TOTALES DIARIOS'!A182,IF(Consolidado!$C$6:$C$1000&gt;TIMEVALUE("07:00"),Consolidado!$C$6:$C$1000,1)))</f>
        <v>0</v>
      </c>
      <c r="N182" s="115">
        <f t="array" ref="N182">MIN(IF(Consolidado!$A$6:$A$1000='TOTALES DIARIOS'!A182,IF(Consolidado!$C$6:$C$1000&lt;=M182,Consolidado!$C$6:$C$1000,1)))</f>
        <v>0</v>
      </c>
      <c r="O182" s="115">
        <f t="array" ref="O182">MAX(IF(Consolidado!$A$6:$A$1000='TOTALES DIARIOS'!A182,IF(Consolidado!$D$6:$D$1000&gt;=M182,Consolidado!$D$6:$D$1000,0)))</f>
        <v>0</v>
      </c>
      <c r="P182" s="118">
        <f t="array" ref="P182">MAX(IF(Consolidado!$A$6:$A$1000='TOTALES DIARIOS'!A182,IF(Consolidado!$D$6:$D$1000&lt;=M182,Consolidado!$D$6:$D$1000,0)))</f>
        <v>0</v>
      </c>
      <c r="Q182" s="117">
        <f t="shared" si="37"/>
        <v>0</v>
      </c>
      <c r="R182" s="117">
        <f t="shared" si="36"/>
        <v>0</v>
      </c>
      <c r="S182" s="104" t="str">
        <f t="shared" si="34"/>
        <v>NO</v>
      </c>
    </row>
    <row r="183" spans="1:19" x14ac:dyDescent="0.25">
      <c r="A183" s="221">
        <f t="shared" si="35"/>
        <v>45471</v>
      </c>
      <c r="B183" s="130" t="str">
        <f t="shared" si="26"/>
        <v/>
      </c>
      <c r="C183" s="217">
        <f t="shared" si="27"/>
        <v>0</v>
      </c>
      <c r="D183" s="217">
        <f t="shared" si="28"/>
        <v>0</v>
      </c>
      <c r="E183" s="218">
        <f>SUMIF(Consolidado!$A$6:$A$380,'TOTALES DIARIOS'!A183,Consolidado!$E$6:$E$380)</f>
        <v>0</v>
      </c>
      <c r="F183" s="218">
        <f>SUMIF(Consolidado!$A$6:$A$380,'TOTALES DIARIOS'!A183,Consolidado!$F$6:$F$380)</f>
        <v>0</v>
      </c>
      <c r="G183" s="218">
        <f>SUMIF(Consolidado!$A$6:$A$380,'TOTALES DIARIOS'!A183,Consolidado!$G$6:$G$380)</f>
        <v>0</v>
      </c>
      <c r="H183" s="219">
        <f t="shared" si="29"/>
        <v>0</v>
      </c>
      <c r="I183" s="99">
        <f t="shared" si="30"/>
        <v>0</v>
      </c>
      <c r="J183" s="99">
        <f t="shared" si="31"/>
        <v>0</v>
      </c>
      <c r="K183" s="113">
        <f t="shared" si="32"/>
        <v>2024</v>
      </c>
      <c r="L183" s="113">
        <f t="shared" si="33"/>
        <v>6</v>
      </c>
      <c r="M183" s="115">
        <f t="array" ref="M183">MIN(IF(Consolidado!$A$6:$A$1000='TOTALES DIARIOS'!A183,IF(Consolidado!$C$6:$C$1000&gt;TIMEVALUE("07:00"),Consolidado!$C$6:$C$1000,1)))</f>
        <v>0</v>
      </c>
      <c r="N183" s="115">
        <f t="array" ref="N183">MIN(IF(Consolidado!$A$6:$A$1000='TOTALES DIARIOS'!A183,IF(Consolidado!$C$6:$C$1000&lt;=M183,Consolidado!$C$6:$C$1000,1)))</f>
        <v>0</v>
      </c>
      <c r="O183" s="115">
        <f t="array" ref="O183">MAX(IF(Consolidado!$A$6:$A$1000='TOTALES DIARIOS'!A183,IF(Consolidado!$D$6:$D$1000&gt;=M183,Consolidado!$D$6:$D$1000,0)))</f>
        <v>0</v>
      </c>
      <c r="P183" s="118">
        <f t="array" ref="P183">MAX(IF(Consolidado!$A$6:$A$1000='TOTALES DIARIOS'!A183,IF(Consolidado!$D$6:$D$1000&lt;=M183,Consolidado!$D$6:$D$1000,0)))</f>
        <v>0</v>
      </c>
      <c r="Q183" s="117">
        <f t="shared" si="37"/>
        <v>0</v>
      </c>
      <c r="R183" s="117">
        <f t="shared" si="36"/>
        <v>0</v>
      </c>
      <c r="S183" s="104" t="str">
        <f t="shared" si="34"/>
        <v>NO</v>
      </c>
    </row>
    <row r="184" spans="1:19" x14ac:dyDescent="0.25">
      <c r="A184" s="221">
        <f t="shared" si="35"/>
        <v>45472</v>
      </c>
      <c r="B184" s="130" t="str">
        <f t="shared" si="26"/>
        <v/>
      </c>
      <c r="C184" s="217">
        <f t="shared" si="27"/>
        <v>0</v>
      </c>
      <c r="D184" s="217">
        <f t="shared" si="28"/>
        <v>0</v>
      </c>
      <c r="E184" s="218">
        <f>SUMIF(Consolidado!$A$6:$A$380,'TOTALES DIARIOS'!A184,Consolidado!$E$6:$E$380)</f>
        <v>0</v>
      </c>
      <c r="F184" s="218">
        <f>SUMIF(Consolidado!$A$6:$A$380,'TOTALES DIARIOS'!A184,Consolidado!$F$6:$F$380)</f>
        <v>0</v>
      </c>
      <c r="G184" s="218">
        <f>SUMIF(Consolidado!$A$6:$A$380,'TOTALES DIARIOS'!A184,Consolidado!$G$6:$G$380)</f>
        <v>0</v>
      </c>
      <c r="H184" s="219">
        <f t="shared" si="29"/>
        <v>0</v>
      </c>
      <c r="I184" s="99">
        <f t="shared" si="30"/>
        <v>0</v>
      </c>
      <c r="J184" s="99">
        <f t="shared" si="31"/>
        <v>0</v>
      </c>
      <c r="K184" s="113">
        <f t="shared" si="32"/>
        <v>2024</v>
      </c>
      <c r="L184" s="113">
        <f t="shared" si="33"/>
        <v>6</v>
      </c>
      <c r="M184" s="115">
        <f t="array" ref="M184">MIN(IF(Consolidado!$A$6:$A$1000='TOTALES DIARIOS'!A184,IF(Consolidado!$C$6:$C$1000&gt;TIMEVALUE("07:00"),Consolidado!$C$6:$C$1000,1)))</f>
        <v>0</v>
      </c>
      <c r="N184" s="115">
        <f t="array" ref="N184">MIN(IF(Consolidado!$A$6:$A$1000='TOTALES DIARIOS'!A184,IF(Consolidado!$C$6:$C$1000&lt;=M184,Consolidado!$C$6:$C$1000,1)))</f>
        <v>0</v>
      </c>
      <c r="O184" s="115">
        <f t="array" ref="O184">MAX(IF(Consolidado!$A$6:$A$1000='TOTALES DIARIOS'!A184,IF(Consolidado!$D$6:$D$1000&gt;=M184,Consolidado!$D$6:$D$1000,0)))</f>
        <v>0</v>
      </c>
      <c r="P184" s="118">
        <f t="array" ref="P184">MAX(IF(Consolidado!$A$6:$A$1000='TOTALES DIARIOS'!A184,IF(Consolidado!$D$6:$D$1000&lt;=M184,Consolidado!$D$6:$D$1000,0)))</f>
        <v>0</v>
      </c>
      <c r="Q184" s="117">
        <f t="shared" si="37"/>
        <v>0</v>
      </c>
      <c r="R184" s="117">
        <f t="shared" si="36"/>
        <v>0</v>
      </c>
      <c r="S184" s="104" t="str">
        <f t="shared" si="34"/>
        <v>NO</v>
      </c>
    </row>
    <row r="185" spans="1:19" x14ac:dyDescent="0.25">
      <c r="A185" s="221">
        <f t="shared" si="35"/>
        <v>45473</v>
      </c>
      <c r="B185" s="130" t="str">
        <f t="shared" si="26"/>
        <v/>
      </c>
      <c r="C185" s="217">
        <f t="shared" si="27"/>
        <v>0</v>
      </c>
      <c r="D185" s="217">
        <f t="shared" si="28"/>
        <v>0</v>
      </c>
      <c r="E185" s="218">
        <f>SUMIF(Consolidado!$A$6:$A$380,'TOTALES DIARIOS'!A185,Consolidado!$E$6:$E$380)</f>
        <v>0</v>
      </c>
      <c r="F185" s="218">
        <f>SUMIF(Consolidado!$A$6:$A$380,'TOTALES DIARIOS'!A185,Consolidado!$F$6:$F$380)</f>
        <v>0</v>
      </c>
      <c r="G185" s="218">
        <f>SUMIF(Consolidado!$A$6:$A$380,'TOTALES DIARIOS'!A185,Consolidado!$G$6:$G$380)</f>
        <v>0</v>
      </c>
      <c r="H185" s="219">
        <f t="shared" si="29"/>
        <v>0</v>
      </c>
      <c r="I185" s="99">
        <f t="shared" si="30"/>
        <v>0</v>
      </c>
      <c r="J185" s="99">
        <f t="shared" si="31"/>
        <v>0</v>
      </c>
      <c r="K185" s="113">
        <f t="shared" si="32"/>
        <v>2024</v>
      </c>
      <c r="L185" s="113">
        <f t="shared" si="33"/>
        <v>6</v>
      </c>
      <c r="M185" s="115">
        <f t="array" ref="M185">MIN(IF(Consolidado!$A$6:$A$1000='TOTALES DIARIOS'!A185,IF(Consolidado!$C$6:$C$1000&gt;TIMEVALUE("07:00"),Consolidado!$C$6:$C$1000,1)))</f>
        <v>0</v>
      </c>
      <c r="N185" s="115">
        <f t="array" ref="N185">MIN(IF(Consolidado!$A$6:$A$1000='TOTALES DIARIOS'!A185,IF(Consolidado!$C$6:$C$1000&lt;=M185,Consolidado!$C$6:$C$1000,1)))</f>
        <v>0</v>
      </c>
      <c r="O185" s="115">
        <f t="array" ref="O185">MAX(IF(Consolidado!$A$6:$A$1000='TOTALES DIARIOS'!A185,IF(Consolidado!$D$6:$D$1000&gt;=M185,Consolidado!$D$6:$D$1000,0)))</f>
        <v>0</v>
      </c>
      <c r="P185" s="118">
        <f t="array" ref="P185">MAX(IF(Consolidado!$A$6:$A$1000='TOTALES DIARIOS'!A185,IF(Consolidado!$D$6:$D$1000&lt;=M185,Consolidado!$D$6:$D$1000,0)))</f>
        <v>0</v>
      </c>
      <c r="Q185" s="117">
        <f t="shared" si="37"/>
        <v>0</v>
      </c>
      <c r="R185" s="117">
        <f t="shared" si="36"/>
        <v>0</v>
      </c>
      <c r="S185" s="104" t="str">
        <f t="shared" si="34"/>
        <v>NO</v>
      </c>
    </row>
    <row r="186" spans="1:19" x14ac:dyDescent="0.25">
      <c r="A186" s="221">
        <f t="shared" si="35"/>
        <v>45474</v>
      </c>
      <c r="B186" s="130" t="str">
        <f t="shared" si="26"/>
        <v/>
      </c>
      <c r="C186" s="217">
        <f t="shared" si="27"/>
        <v>0</v>
      </c>
      <c r="D186" s="217">
        <f t="shared" si="28"/>
        <v>0</v>
      </c>
      <c r="E186" s="218">
        <f>SUMIF(Consolidado!$A$6:$A$380,'TOTALES DIARIOS'!A186,Consolidado!$E$6:$E$380)</f>
        <v>0</v>
      </c>
      <c r="F186" s="218">
        <f>SUMIF(Consolidado!$A$6:$A$380,'TOTALES DIARIOS'!A186,Consolidado!$F$6:$F$380)</f>
        <v>0</v>
      </c>
      <c r="G186" s="218">
        <f>SUMIF(Consolidado!$A$6:$A$380,'TOTALES DIARIOS'!A186,Consolidado!$G$6:$G$380)</f>
        <v>0</v>
      </c>
      <c r="H186" s="219">
        <f t="shared" si="29"/>
        <v>0</v>
      </c>
      <c r="I186" s="99">
        <f t="shared" si="30"/>
        <v>0</v>
      </c>
      <c r="J186" s="99">
        <f t="shared" si="31"/>
        <v>0</v>
      </c>
      <c r="K186" s="113">
        <f t="shared" si="32"/>
        <v>2024</v>
      </c>
      <c r="L186" s="113">
        <f t="shared" si="33"/>
        <v>7</v>
      </c>
      <c r="M186" s="115">
        <f t="array" ref="M186">MIN(IF(Consolidado!$A$6:$A$1000='TOTALES DIARIOS'!A186,IF(Consolidado!$C$6:$C$1000&gt;TIMEVALUE("07:00"),Consolidado!$C$6:$C$1000,1)))</f>
        <v>0</v>
      </c>
      <c r="N186" s="115">
        <f t="array" ref="N186">MIN(IF(Consolidado!$A$6:$A$1000='TOTALES DIARIOS'!A186,IF(Consolidado!$C$6:$C$1000&lt;=M186,Consolidado!$C$6:$C$1000,1)))</f>
        <v>0</v>
      </c>
      <c r="O186" s="115">
        <f t="array" ref="O186">MAX(IF(Consolidado!$A$6:$A$1000='TOTALES DIARIOS'!A186,IF(Consolidado!$D$6:$D$1000&gt;=M186,Consolidado!$D$6:$D$1000,0)))</f>
        <v>0</v>
      </c>
      <c r="P186" s="118">
        <f t="array" ref="P186">MAX(IF(Consolidado!$A$6:$A$1000='TOTALES DIARIOS'!A186,IF(Consolidado!$D$6:$D$1000&lt;=M186,Consolidado!$D$6:$D$1000,0)))</f>
        <v>0</v>
      </c>
      <c r="Q186" s="117">
        <f t="shared" si="37"/>
        <v>0</v>
      </c>
      <c r="R186" s="117">
        <f t="shared" si="36"/>
        <v>0</v>
      </c>
      <c r="S186" s="104" t="str">
        <f t="shared" si="34"/>
        <v>NO</v>
      </c>
    </row>
    <row r="187" spans="1:19" x14ac:dyDescent="0.25">
      <c r="A187" s="221">
        <f t="shared" si="35"/>
        <v>45475</v>
      </c>
      <c r="B187" s="130" t="str">
        <f t="shared" si="26"/>
        <v/>
      </c>
      <c r="C187" s="217">
        <f t="shared" si="27"/>
        <v>0</v>
      </c>
      <c r="D187" s="217">
        <f t="shared" si="28"/>
        <v>0</v>
      </c>
      <c r="E187" s="218">
        <f>SUMIF(Consolidado!$A$6:$A$380,'TOTALES DIARIOS'!A187,Consolidado!$E$6:$E$380)</f>
        <v>0</v>
      </c>
      <c r="F187" s="218">
        <f>SUMIF(Consolidado!$A$6:$A$380,'TOTALES DIARIOS'!A187,Consolidado!$F$6:$F$380)</f>
        <v>0</v>
      </c>
      <c r="G187" s="218">
        <f>SUMIF(Consolidado!$A$6:$A$380,'TOTALES DIARIOS'!A187,Consolidado!$G$6:$G$380)</f>
        <v>0</v>
      </c>
      <c r="H187" s="219">
        <f t="shared" si="29"/>
        <v>0</v>
      </c>
      <c r="I187" s="99">
        <f t="shared" si="30"/>
        <v>0</v>
      </c>
      <c r="J187" s="99">
        <f t="shared" si="31"/>
        <v>0</v>
      </c>
      <c r="K187" s="113">
        <f t="shared" si="32"/>
        <v>2024</v>
      </c>
      <c r="L187" s="113">
        <f t="shared" si="33"/>
        <v>7</v>
      </c>
      <c r="M187" s="115">
        <f t="array" ref="M187">MIN(IF(Consolidado!$A$6:$A$1000='TOTALES DIARIOS'!A187,IF(Consolidado!$C$6:$C$1000&gt;TIMEVALUE("07:00"),Consolidado!$C$6:$C$1000,1)))</f>
        <v>0</v>
      </c>
      <c r="N187" s="115">
        <f t="array" ref="N187">MIN(IF(Consolidado!$A$6:$A$1000='TOTALES DIARIOS'!A187,IF(Consolidado!$C$6:$C$1000&lt;=M187,Consolidado!$C$6:$C$1000,1)))</f>
        <v>0</v>
      </c>
      <c r="O187" s="115">
        <f t="array" ref="O187">MAX(IF(Consolidado!$A$6:$A$1000='TOTALES DIARIOS'!A187,IF(Consolidado!$D$6:$D$1000&gt;=M187,Consolidado!$D$6:$D$1000,0)))</f>
        <v>0</v>
      </c>
      <c r="P187" s="118">
        <f t="array" ref="P187">MAX(IF(Consolidado!$A$6:$A$1000='TOTALES DIARIOS'!A187,IF(Consolidado!$D$6:$D$1000&lt;=M187,Consolidado!$D$6:$D$1000,0)))</f>
        <v>0</v>
      </c>
      <c r="Q187" s="117">
        <f t="shared" si="37"/>
        <v>0</v>
      </c>
      <c r="R187" s="117">
        <f t="shared" si="36"/>
        <v>0</v>
      </c>
      <c r="S187" s="104" t="str">
        <f t="shared" si="34"/>
        <v>NO</v>
      </c>
    </row>
    <row r="188" spans="1:19" x14ac:dyDescent="0.25">
      <c r="A188" s="221">
        <f t="shared" si="35"/>
        <v>45476</v>
      </c>
      <c r="B188" s="130" t="str">
        <f t="shared" si="26"/>
        <v/>
      </c>
      <c r="C188" s="217">
        <f t="shared" si="27"/>
        <v>0</v>
      </c>
      <c r="D188" s="217">
        <f t="shared" si="28"/>
        <v>0</v>
      </c>
      <c r="E188" s="218">
        <f>SUMIF(Consolidado!$A$6:$A$380,'TOTALES DIARIOS'!A188,Consolidado!$E$6:$E$380)</f>
        <v>0</v>
      </c>
      <c r="F188" s="218">
        <f>SUMIF(Consolidado!$A$6:$A$380,'TOTALES DIARIOS'!A188,Consolidado!$F$6:$F$380)</f>
        <v>0</v>
      </c>
      <c r="G188" s="218">
        <f>SUMIF(Consolidado!$A$6:$A$380,'TOTALES DIARIOS'!A188,Consolidado!$G$6:$G$380)</f>
        <v>0</v>
      </c>
      <c r="H188" s="219">
        <f t="shared" si="29"/>
        <v>0</v>
      </c>
      <c r="I188" s="99">
        <f t="shared" si="30"/>
        <v>0</v>
      </c>
      <c r="J188" s="99">
        <f t="shared" si="31"/>
        <v>0</v>
      </c>
      <c r="K188" s="113">
        <f t="shared" si="32"/>
        <v>2024</v>
      </c>
      <c r="L188" s="113">
        <f t="shared" si="33"/>
        <v>7</v>
      </c>
      <c r="M188" s="115">
        <f t="array" ref="M188">MIN(IF(Consolidado!$A$6:$A$1000='TOTALES DIARIOS'!A188,IF(Consolidado!$C$6:$C$1000&gt;TIMEVALUE("07:00"),Consolidado!$C$6:$C$1000,1)))</f>
        <v>0</v>
      </c>
      <c r="N188" s="115">
        <f t="array" ref="N188">MIN(IF(Consolidado!$A$6:$A$1000='TOTALES DIARIOS'!A188,IF(Consolidado!$C$6:$C$1000&lt;=M188,Consolidado!$C$6:$C$1000,1)))</f>
        <v>0</v>
      </c>
      <c r="O188" s="115">
        <f t="array" ref="O188">MAX(IF(Consolidado!$A$6:$A$1000='TOTALES DIARIOS'!A188,IF(Consolidado!$D$6:$D$1000&gt;=M188,Consolidado!$D$6:$D$1000,0)))</f>
        <v>0</v>
      </c>
      <c r="P188" s="118">
        <f t="array" ref="P188">MAX(IF(Consolidado!$A$6:$A$1000='TOTALES DIARIOS'!A188,IF(Consolidado!$D$6:$D$1000&lt;=M188,Consolidado!$D$6:$D$1000,0)))</f>
        <v>0</v>
      </c>
      <c r="Q188" s="117">
        <f t="shared" si="37"/>
        <v>0</v>
      </c>
      <c r="R188" s="117">
        <f t="shared" si="36"/>
        <v>0</v>
      </c>
      <c r="S188" s="104" t="str">
        <f t="shared" si="34"/>
        <v>NO</v>
      </c>
    </row>
    <row r="189" spans="1:19" x14ac:dyDescent="0.25">
      <c r="A189" s="221">
        <f t="shared" si="35"/>
        <v>45477</v>
      </c>
      <c r="B189" s="130" t="str">
        <f t="shared" si="26"/>
        <v/>
      </c>
      <c r="C189" s="217">
        <f t="shared" si="27"/>
        <v>0</v>
      </c>
      <c r="D189" s="217">
        <f t="shared" si="28"/>
        <v>0</v>
      </c>
      <c r="E189" s="218">
        <f>SUMIF(Consolidado!$A$6:$A$380,'TOTALES DIARIOS'!A189,Consolidado!$E$6:$E$380)</f>
        <v>0</v>
      </c>
      <c r="F189" s="218">
        <f>SUMIF(Consolidado!$A$6:$A$380,'TOTALES DIARIOS'!A189,Consolidado!$F$6:$F$380)</f>
        <v>0</v>
      </c>
      <c r="G189" s="218">
        <f>SUMIF(Consolidado!$A$6:$A$380,'TOTALES DIARIOS'!A189,Consolidado!$G$6:$G$380)</f>
        <v>0</v>
      </c>
      <c r="H189" s="219">
        <f t="shared" si="29"/>
        <v>0</v>
      </c>
      <c r="I189" s="99">
        <f t="shared" si="30"/>
        <v>0</v>
      </c>
      <c r="J189" s="99">
        <f t="shared" si="31"/>
        <v>0</v>
      </c>
      <c r="K189" s="113">
        <f t="shared" si="32"/>
        <v>2024</v>
      </c>
      <c r="L189" s="113">
        <f t="shared" si="33"/>
        <v>7</v>
      </c>
      <c r="M189" s="115">
        <f t="array" ref="M189">MIN(IF(Consolidado!$A$6:$A$1000='TOTALES DIARIOS'!A189,IF(Consolidado!$C$6:$C$1000&gt;TIMEVALUE("07:00"),Consolidado!$C$6:$C$1000,1)))</f>
        <v>0</v>
      </c>
      <c r="N189" s="115">
        <f t="array" ref="N189">MIN(IF(Consolidado!$A$6:$A$1000='TOTALES DIARIOS'!A189,IF(Consolidado!$C$6:$C$1000&lt;=M189,Consolidado!$C$6:$C$1000,1)))</f>
        <v>0</v>
      </c>
      <c r="O189" s="115">
        <f t="array" ref="O189">MAX(IF(Consolidado!$A$6:$A$1000='TOTALES DIARIOS'!A189,IF(Consolidado!$D$6:$D$1000&gt;=M189,Consolidado!$D$6:$D$1000,0)))</f>
        <v>0</v>
      </c>
      <c r="P189" s="118">
        <f t="array" ref="P189">MAX(IF(Consolidado!$A$6:$A$1000='TOTALES DIARIOS'!A189,IF(Consolidado!$D$6:$D$1000&lt;=M189,Consolidado!$D$6:$D$1000,0)))</f>
        <v>0</v>
      </c>
      <c r="Q189" s="117">
        <f t="shared" si="37"/>
        <v>0</v>
      </c>
      <c r="R189" s="117">
        <f t="shared" si="36"/>
        <v>0</v>
      </c>
      <c r="S189" s="104" t="str">
        <f t="shared" si="34"/>
        <v>NO</v>
      </c>
    </row>
    <row r="190" spans="1:19" x14ac:dyDescent="0.25">
      <c r="A190" s="221">
        <f t="shared" si="35"/>
        <v>45478</v>
      </c>
      <c r="B190" s="130" t="str">
        <f t="shared" si="26"/>
        <v/>
      </c>
      <c r="C190" s="217">
        <f t="shared" si="27"/>
        <v>0</v>
      </c>
      <c r="D190" s="217">
        <f t="shared" si="28"/>
        <v>0</v>
      </c>
      <c r="E190" s="218">
        <f>SUMIF(Consolidado!$A$6:$A$380,'TOTALES DIARIOS'!A190,Consolidado!$E$6:$E$380)</f>
        <v>0</v>
      </c>
      <c r="F190" s="218">
        <f>SUMIF(Consolidado!$A$6:$A$380,'TOTALES DIARIOS'!A190,Consolidado!$F$6:$F$380)</f>
        <v>0</v>
      </c>
      <c r="G190" s="218">
        <f>SUMIF(Consolidado!$A$6:$A$380,'TOTALES DIARIOS'!A190,Consolidado!$G$6:$G$380)</f>
        <v>0</v>
      </c>
      <c r="H190" s="219">
        <f t="shared" si="29"/>
        <v>0</v>
      </c>
      <c r="I190" s="99">
        <f t="shared" si="30"/>
        <v>0</v>
      </c>
      <c r="J190" s="99">
        <f t="shared" si="31"/>
        <v>0</v>
      </c>
      <c r="K190" s="113">
        <f t="shared" si="32"/>
        <v>2024</v>
      </c>
      <c r="L190" s="113">
        <f t="shared" si="33"/>
        <v>7</v>
      </c>
      <c r="M190" s="115">
        <f t="array" ref="M190">MIN(IF(Consolidado!$A$6:$A$1000='TOTALES DIARIOS'!A190,IF(Consolidado!$C$6:$C$1000&gt;TIMEVALUE("07:00"),Consolidado!$C$6:$C$1000,1)))</f>
        <v>0</v>
      </c>
      <c r="N190" s="115">
        <f t="array" ref="N190">MIN(IF(Consolidado!$A$6:$A$1000='TOTALES DIARIOS'!A190,IF(Consolidado!$C$6:$C$1000&lt;=M190,Consolidado!$C$6:$C$1000,1)))</f>
        <v>0</v>
      </c>
      <c r="O190" s="115">
        <f t="array" ref="O190">MAX(IF(Consolidado!$A$6:$A$1000='TOTALES DIARIOS'!A190,IF(Consolidado!$D$6:$D$1000&gt;=M190,Consolidado!$D$6:$D$1000,0)))</f>
        <v>0</v>
      </c>
      <c r="P190" s="118">
        <f t="array" ref="P190">MAX(IF(Consolidado!$A$6:$A$1000='TOTALES DIARIOS'!A190,IF(Consolidado!$D$6:$D$1000&lt;=M190,Consolidado!$D$6:$D$1000,0)))</f>
        <v>0</v>
      </c>
      <c r="Q190" s="117">
        <f t="shared" si="37"/>
        <v>0</v>
      </c>
      <c r="R190" s="117">
        <f t="shared" si="36"/>
        <v>0</v>
      </c>
      <c r="S190" s="104" t="str">
        <f t="shared" si="34"/>
        <v>NO</v>
      </c>
    </row>
    <row r="191" spans="1:19" x14ac:dyDescent="0.25">
      <c r="A191" s="221">
        <f t="shared" si="35"/>
        <v>45479</v>
      </c>
      <c r="B191" s="130" t="str">
        <f t="shared" si="26"/>
        <v/>
      </c>
      <c r="C191" s="217">
        <f t="shared" si="27"/>
        <v>0</v>
      </c>
      <c r="D191" s="217">
        <f t="shared" si="28"/>
        <v>0</v>
      </c>
      <c r="E191" s="218">
        <f>SUMIF(Consolidado!$A$6:$A$380,'TOTALES DIARIOS'!A191,Consolidado!$E$6:$E$380)</f>
        <v>0</v>
      </c>
      <c r="F191" s="218">
        <f>SUMIF(Consolidado!$A$6:$A$380,'TOTALES DIARIOS'!A191,Consolidado!$F$6:$F$380)</f>
        <v>0</v>
      </c>
      <c r="G191" s="218">
        <f>SUMIF(Consolidado!$A$6:$A$380,'TOTALES DIARIOS'!A191,Consolidado!$G$6:$G$380)</f>
        <v>0</v>
      </c>
      <c r="H191" s="219">
        <f t="shared" si="29"/>
        <v>0</v>
      </c>
      <c r="I191" s="99">
        <f t="shared" si="30"/>
        <v>0</v>
      </c>
      <c r="J191" s="99">
        <f t="shared" si="31"/>
        <v>0</v>
      </c>
      <c r="K191" s="113">
        <f t="shared" si="32"/>
        <v>2024</v>
      </c>
      <c r="L191" s="113">
        <f t="shared" si="33"/>
        <v>7</v>
      </c>
      <c r="M191" s="115">
        <f t="array" ref="M191">MIN(IF(Consolidado!$A$6:$A$1000='TOTALES DIARIOS'!A191,IF(Consolidado!$C$6:$C$1000&gt;TIMEVALUE("07:00"),Consolidado!$C$6:$C$1000,1)))</f>
        <v>0</v>
      </c>
      <c r="N191" s="115">
        <f t="array" ref="N191">MIN(IF(Consolidado!$A$6:$A$1000='TOTALES DIARIOS'!A191,IF(Consolidado!$C$6:$C$1000&lt;=M191,Consolidado!$C$6:$C$1000,1)))</f>
        <v>0</v>
      </c>
      <c r="O191" s="115">
        <f t="array" ref="O191">MAX(IF(Consolidado!$A$6:$A$1000='TOTALES DIARIOS'!A191,IF(Consolidado!$D$6:$D$1000&gt;=M191,Consolidado!$D$6:$D$1000,0)))</f>
        <v>0</v>
      </c>
      <c r="P191" s="118">
        <f t="array" ref="P191">MAX(IF(Consolidado!$A$6:$A$1000='TOTALES DIARIOS'!A191,IF(Consolidado!$D$6:$D$1000&lt;=M191,Consolidado!$D$6:$D$1000,0)))</f>
        <v>0</v>
      </c>
      <c r="Q191" s="117">
        <f t="shared" si="37"/>
        <v>0</v>
      </c>
      <c r="R191" s="117">
        <f t="shared" si="36"/>
        <v>0</v>
      </c>
      <c r="S191" s="104" t="str">
        <f t="shared" si="34"/>
        <v>NO</v>
      </c>
    </row>
    <row r="192" spans="1:19" x14ac:dyDescent="0.25">
      <c r="A192" s="221">
        <f t="shared" si="35"/>
        <v>45480</v>
      </c>
      <c r="B192" s="130" t="str">
        <f t="shared" si="26"/>
        <v/>
      </c>
      <c r="C192" s="217">
        <f t="shared" si="27"/>
        <v>0</v>
      </c>
      <c r="D192" s="217">
        <f t="shared" si="28"/>
        <v>0</v>
      </c>
      <c r="E192" s="218">
        <f>SUMIF(Consolidado!$A$6:$A$380,'TOTALES DIARIOS'!A192,Consolidado!$E$6:$E$380)</f>
        <v>0</v>
      </c>
      <c r="F192" s="218">
        <f>SUMIF(Consolidado!$A$6:$A$380,'TOTALES DIARIOS'!A192,Consolidado!$F$6:$F$380)</f>
        <v>0</v>
      </c>
      <c r="G192" s="218">
        <f>SUMIF(Consolidado!$A$6:$A$380,'TOTALES DIARIOS'!A192,Consolidado!$G$6:$G$380)</f>
        <v>0</v>
      </c>
      <c r="H192" s="219">
        <f t="shared" si="29"/>
        <v>0</v>
      </c>
      <c r="I192" s="99">
        <f t="shared" si="30"/>
        <v>0</v>
      </c>
      <c r="J192" s="99">
        <f t="shared" si="31"/>
        <v>0</v>
      </c>
      <c r="K192" s="113">
        <f t="shared" si="32"/>
        <v>2024</v>
      </c>
      <c r="L192" s="113">
        <f t="shared" si="33"/>
        <v>7</v>
      </c>
      <c r="M192" s="115">
        <f t="array" ref="M192">MIN(IF(Consolidado!$A$6:$A$1000='TOTALES DIARIOS'!A192,IF(Consolidado!$C$6:$C$1000&gt;TIMEVALUE("07:00"),Consolidado!$C$6:$C$1000,1)))</f>
        <v>0</v>
      </c>
      <c r="N192" s="115">
        <f t="array" ref="N192">MIN(IF(Consolidado!$A$6:$A$1000='TOTALES DIARIOS'!A192,IF(Consolidado!$C$6:$C$1000&lt;=M192,Consolidado!$C$6:$C$1000,1)))</f>
        <v>0</v>
      </c>
      <c r="O192" s="115">
        <f t="array" ref="O192">MAX(IF(Consolidado!$A$6:$A$1000='TOTALES DIARIOS'!A192,IF(Consolidado!$D$6:$D$1000&gt;=M192,Consolidado!$D$6:$D$1000,0)))</f>
        <v>0</v>
      </c>
      <c r="P192" s="118">
        <f t="array" ref="P192">MAX(IF(Consolidado!$A$6:$A$1000='TOTALES DIARIOS'!A192,IF(Consolidado!$D$6:$D$1000&lt;=M192,Consolidado!$D$6:$D$1000,0)))</f>
        <v>0</v>
      </c>
      <c r="Q192" s="117">
        <f t="shared" si="37"/>
        <v>0</v>
      </c>
      <c r="R192" s="117">
        <f t="shared" si="36"/>
        <v>0</v>
      </c>
      <c r="S192" s="104" t="str">
        <f t="shared" si="34"/>
        <v>NO</v>
      </c>
    </row>
    <row r="193" spans="1:19" x14ac:dyDescent="0.25">
      <c r="A193" s="221">
        <f t="shared" si="35"/>
        <v>45481</v>
      </c>
      <c r="B193" s="130" t="str">
        <f t="shared" si="26"/>
        <v/>
      </c>
      <c r="C193" s="217">
        <f t="shared" si="27"/>
        <v>0</v>
      </c>
      <c r="D193" s="217">
        <f t="shared" si="28"/>
        <v>0</v>
      </c>
      <c r="E193" s="218">
        <f>SUMIF(Consolidado!$A$6:$A$380,'TOTALES DIARIOS'!A193,Consolidado!$E$6:$E$380)</f>
        <v>0</v>
      </c>
      <c r="F193" s="218">
        <f>SUMIF(Consolidado!$A$6:$A$380,'TOTALES DIARIOS'!A193,Consolidado!$F$6:$F$380)</f>
        <v>0</v>
      </c>
      <c r="G193" s="218">
        <f>SUMIF(Consolidado!$A$6:$A$380,'TOTALES DIARIOS'!A193,Consolidado!$G$6:$G$380)</f>
        <v>0</v>
      </c>
      <c r="H193" s="219">
        <f t="shared" si="29"/>
        <v>0</v>
      </c>
      <c r="I193" s="99">
        <f t="shared" si="30"/>
        <v>0</v>
      </c>
      <c r="J193" s="99">
        <f t="shared" si="31"/>
        <v>0</v>
      </c>
      <c r="K193" s="113">
        <f t="shared" si="32"/>
        <v>2024</v>
      </c>
      <c r="L193" s="113">
        <f t="shared" si="33"/>
        <v>7</v>
      </c>
      <c r="M193" s="115">
        <f t="array" ref="M193">MIN(IF(Consolidado!$A$6:$A$1000='TOTALES DIARIOS'!A193,IF(Consolidado!$C$6:$C$1000&gt;TIMEVALUE("07:00"),Consolidado!$C$6:$C$1000,1)))</f>
        <v>0</v>
      </c>
      <c r="N193" s="115">
        <f t="array" ref="N193">MIN(IF(Consolidado!$A$6:$A$1000='TOTALES DIARIOS'!A193,IF(Consolidado!$C$6:$C$1000&lt;=M193,Consolidado!$C$6:$C$1000,1)))</f>
        <v>0</v>
      </c>
      <c r="O193" s="115">
        <f t="array" ref="O193">MAX(IF(Consolidado!$A$6:$A$1000='TOTALES DIARIOS'!A193,IF(Consolidado!$D$6:$D$1000&gt;=M193,Consolidado!$D$6:$D$1000,0)))</f>
        <v>0</v>
      </c>
      <c r="P193" s="118">
        <f t="array" ref="P193">MAX(IF(Consolidado!$A$6:$A$1000='TOTALES DIARIOS'!A193,IF(Consolidado!$D$6:$D$1000&lt;=M193,Consolidado!$D$6:$D$1000,0)))</f>
        <v>0</v>
      </c>
      <c r="Q193" s="117">
        <f t="shared" si="37"/>
        <v>0</v>
      </c>
      <c r="R193" s="117">
        <f t="shared" si="36"/>
        <v>0</v>
      </c>
      <c r="S193" s="104" t="str">
        <f t="shared" si="34"/>
        <v>NO</v>
      </c>
    </row>
    <row r="194" spans="1:19" x14ac:dyDescent="0.25">
      <c r="A194" s="221">
        <f t="shared" si="35"/>
        <v>45482</v>
      </c>
      <c r="B194" s="130" t="str">
        <f t="shared" si="26"/>
        <v/>
      </c>
      <c r="C194" s="217">
        <f t="shared" si="27"/>
        <v>0</v>
      </c>
      <c r="D194" s="217">
        <f t="shared" si="28"/>
        <v>0</v>
      </c>
      <c r="E194" s="218">
        <f>SUMIF(Consolidado!$A$6:$A$380,'TOTALES DIARIOS'!A194,Consolidado!$E$6:$E$380)</f>
        <v>0</v>
      </c>
      <c r="F194" s="218">
        <f>SUMIF(Consolidado!$A$6:$A$380,'TOTALES DIARIOS'!A194,Consolidado!$F$6:$F$380)</f>
        <v>0</v>
      </c>
      <c r="G194" s="218">
        <f>SUMIF(Consolidado!$A$6:$A$380,'TOTALES DIARIOS'!A194,Consolidado!$G$6:$G$380)</f>
        <v>0</v>
      </c>
      <c r="H194" s="219">
        <f t="shared" si="29"/>
        <v>0</v>
      </c>
      <c r="I194" s="99">
        <f t="shared" si="30"/>
        <v>0</v>
      </c>
      <c r="J194" s="99">
        <f t="shared" si="31"/>
        <v>0</v>
      </c>
      <c r="K194" s="113">
        <f t="shared" si="32"/>
        <v>2024</v>
      </c>
      <c r="L194" s="113">
        <f t="shared" si="33"/>
        <v>7</v>
      </c>
      <c r="M194" s="115">
        <f t="array" ref="M194">MIN(IF(Consolidado!$A$6:$A$1000='TOTALES DIARIOS'!A194,IF(Consolidado!$C$6:$C$1000&gt;TIMEVALUE("07:00"),Consolidado!$C$6:$C$1000,1)))</f>
        <v>0</v>
      </c>
      <c r="N194" s="115">
        <f t="array" ref="N194">MIN(IF(Consolidado!$A$6:$A$1000='TOTALES DIARIOS'!A194,IF(Consolidado!$C$6:$C$1000&lt;=M194,Consolidado!$C$6:$C$1000,1)))</f>
        <v>0</v>
      </c>
      <c r="O194" s="115">
        <f t="array" ref="O194">MAX(IF(Consolidado!$A$6:$A$1000='TOTALES DIARIOS'!A194,IF(Consolidado!$D$6:$D$1000&gt;=M194,Consolidado!$D$6:$D$1000,0)))</f>
        <v>0</v>
      </c>
      <c r="P194" s="118">
        <f t="array" ref="P194">MAX(IF(Consolidado!$A$6:$A$1000='TOTALES DIARIOS'!A194,IF(Consolidado!$D$6:$D$1000&lt;=M194,Consolidado!$D$6:$D$1000,0)))</f>
        <v>0</v>
      </c>
      <c r="Q194" s="117">
        <f t="shared" si="37"/>
        <v>0</v>
      </c>
      <c r="R194" s="117">
        <f t="shared" si="36"/>
        <v>0</v>
      </c>
      <c r="S194" s="104" t="str">
        <f t="shared" si="34"/>
        <v>NO</v>
      </c>
    </row>
    <row r="195" spans="1:19" x14ac:dyDescent="0.25">
      <c r="A195" s="221">
        <f t="shared" si="35"/>
        <v>45483</v>
      </c>
      <c r="B195" s="130" t="str">
        <f t="shared" si="26"/>
        <v/>
      </c>
      <c r="C195" s="217">
        <f t="shared" si="27"/>
        <v>0</v>
      </c>
      <c r="D195" s="217">
        <f t="shared" si="28"/>
        <v>0</v>
      </c>
      <c r="E195" s="218">
        <f>SUMIF(Consolidado!$A$6:$A$380,'TOTALES DIARIOS'!A195,Consolidado!$E$6:$E$380)</f>
        <v>0</v>
      </c>
      <c r="F195" s="218">
        <f>SUMIF(Consolidado!$A$6:$A$380,'TOTALES DIARIOS'!A195,Consolidado!$F$6:$F$380)</f>
        <v>0</v>
      </c>
      <c r="G195" s="218">
        <f>SUMIF(Consolidado!$A$6:$A$380,'TOTALES DIARIOS'!A195,Consolidado!$G$6:$G$380)</f>
        <v>0</v>
      </c>
      <c r="H195" s="219">
        <f t="shared" si="29"/>
        <v>0</v>
      </c>
      <c r="I195" s="99">
        <f t="shared" si="30"/>
        <v>0</v>
      </c>
      <c r="J195" s="99">
        <f t="shared" si="31"/>
        <v>0</v>
      </c>
      <c r="K195" s="113">
        <f t="shared" si="32"/>
        <v>2024</v>
      </c>
      <c r="L195" s="113">
        <f t="shared" si="33"/>
        <v>7</v>
      </c>
      <c r="M195" s="115">
        <f t="array" ref="M195">MIN(IF(Consolidado!$A$6:$A$1000='TOTALES DIARIOS'!A195,IF(Consolidado!$C$6:$C$1000&gt;TIMEVALUE("07:00"),Consolidado!$C$6:$C$1000,1)))</f>
        <v>0</v>
      </c>
      <c r="N195" s="115">
        <f t="array" ref="N195">MIN(IF(Consolidado!$A$6:$A$1000='TOTALES DIARIOS'!A195,IF(Consolidado!$C$6:$C$1000&lt;=M195,Consolidado!$C$6:$C$1000,1)))</f>
        <v>0</v>
      </c>
      <c r="O195" s="115">
        <f t="array" ref="O195">MAX(IF(Consolidado!$A$6:$A$1000='TOTALES DIARIOS'!A195,IF(Consolidado!$D$6:$D$1000&gt;=M195,Consolidado!$D$6:$D$1000,0)))</f>
        <v>0</v>
      </c>
      <c r="P195" s="118">
        <f t="array" ref="P195">MAX(IF(Consolidado!$A$6:$A$1000='TOTALES DIARIOS'!A195,IF(Consolidado!$D$6:$D$1000&lt;=M195,Consolidado!$D$6:$D$1000,0)))</f>
        <v>0</v>
      </c>
      <c r="Q195" s="117">
        <f t="shared" si="37"/>
        <v>0</v>
      </c>
      <c r="R195" s="117">
        <f t="shared" si="36"/>
        <v>0</v>
      </c>
      <c r="S195" s="104" t="str">
        <f t="shared" si="34"/>
        <v>NO</v>
      </c>
    </row>
    <row r="196" spans="1:19" x14ac:dyDescent="0.25">
      <c r="A196" s="221">
        <f t="shared" si="35"/>
        <v>45484</v>
      </c>
      <c r="B196" s="130" t="str">
        <f t="shared" ref="B196:B259" si="38">IF(G196=0,"",C196-"1:00")</f>
        <v/>
      </c>
      <c r="C196" s="217">
        <f t="shared" ref="C196:C259" si="39">Q196</f>
        <v>0</v>
      </c>
      <c r="D196" s="217">
        <f t="shared" ref="D196:D259" si="40">R196</f>
        <v>0</v>
      </c>
      <c r="E196" s="218">
        <f>SUMIF(Consolidado!$A$6:$A$380,'TOTALES DIARIOS'!A196,Consolidado!$E$6:$E$380)</f>
        <v>0</v>
      </c>
      <c r="F196" s="218">
        <f>SUMIF(Consolidado!$A$6:$A$380,'TOTALES DIARIOS'!A196,Consolidado!$F$6:$F$380)</f>
        <v>0</v>
      </c>
      <c r="G196" s="218">
        <f>SUMIF(Consolidado!$A$6:$A$380,'TOTALES DIARIOS'!A196,Consolidado!$G$6:$G$380)</f>
        <v>0</v>
      </c>
      <c r="H196" s="219">
        <f t="shared" ref="H196:H259" si="41">IF(B196="",0,IF(B196&lt;D196,D196-B196+"0:30","24:00"-B196+D196+"0:30"))*24</f>
        <v>0</v>
      </c>
      <c r="I196" s="99">
        <f t="shared" ref="I196:I259" si="42">IF(G196&lt;&gt;0,1,0)</f>
        <v>0</v>
      </c>
      <c r="J196" s="99">
        <f t="shared" ref="J196:J259" si="43">IF(H196=0,0,IF((D196-"3:30")&gt;(C196-"3:30"),1,2))</f>
        <v>0</v>
      </c>
      <c r="K196" s="113">
        <f t="shared" ref="K196:K259" si="44">YEAR(A196)</f>
        <v>2024</v>
      </c>
      <c r="L196" s="113">
        <f t="shared" ref="L196:L259" si="45">MONTH(A196)</f>
        <v>7</v>
      </c>
      <c r="M196" s="115">
        <f t="array" ref="M196">MIN(IF(Consolidado!$A$6:$A$1000='TOTALES DIARIOS'!A196,IF(Consolidado!$C$6:$C$1000&gt;TIMEVALUE("07:00"),Consolidado!$C$6:$C$1000,1)))</f>
        <v>0</v>
      </c>
      <c r="N196" s="115">
        <f t="array" ref="N196">MIN(IF(Consolidado!$A$6:$A$1000='TOTALES DIARIOS'!A196,IF(Consolidado!$C$6:$C$1000&lt;=M196,Consolidado!$C$6:$C$1000,1)))</f>
        <v>0</v>
      </c>
      <c r="O196" s="115">
        <f t="array" ref="O196">MAX(IF(Consolidado!$A$6:$A$1000='TOTALES DIARIOS'!A196,IF(Consolidado!$D$6:$D$1000&gt;=M196,Consolidado!$D$6:$D$1000,0)))</f>
        <v>0</v>
      </c>
      <c r="P196" s="118">
        <f t="array" ref="P196">MAX(IF(Consolidado!$A$6:$A$1000='TOTALES DIARIOS'!A196,IF(Consolidado!$D$6:$D$1000&lt;=M196,Consolidado!$D$6:$D$1000,0)))</f>
        <v>0</v>
      </c>
      <c r="Q196" s="117">
        <f t="shared" si="37"/>
        <v>0</v>
      </c>
      <c r="R196" s="117">
        <f t="shared" si="36"/>
        <v>0</v>
      </c>
      <c r="S196" s="104" t="str">
        <f t="shared" ref="S196:S259" si="46">IF(D196&gt;AB196,"SI","NO")</f>
        <v>NO</v>
      </c>
    </row>
    <row r="197" spans="1:19" x14ac:dyDescent="0.25">
      <c r="A197" s="221">
        <f t="shared" si="35"/>
        <v>45485</v>
      </c>
      <c r="B197" s="130" t="str">
        <f t="shared" si="38"/>
        <v/>
      </c>
      <c r="C197" s="217">
        <f t="shared" si="39"/>
        <v>0</v>
      </c>
      <c r="D197" s="217">
        <f t="shared" si="40"/>
        <v>0</v>
      </c>
      <c r="E197" s="218">
        <f>SUMIF(Consolidado!$A$6:$A$380,'TOTALES DIARIOS'!A197,Consolidado!$E$6:$E$380)</f>
        <v>0</v>
      </c>
      <c r="F197" s="218">
        <f>SUMIF(Consolidado!$A$6:$A$380,'TOTALES DIARIOS'!A197,Consolidado!$F$6:$F$380)</f>
        <v>0</v>
      </c>
      <c r="G197" s="218">
        <f>SUMIF(Consolidado!$A$6:$A$380,'TOTALES DIARIOS'!A197,Consolidado!$G$6:$G$380)</f>
        <v>0</v>
      </c>
      <c r="H197" s="219">
        <f t="shared" si="41"/>
        <v>0</v>
      </c>
      <c r="I197" s="99">
        <f t="shared" si="42"/>
        <v>0</v>
      </c>
      <c r="J197" s="99">
        <f t="shared" si="43"/>
        <v>0</v>
      </c>
      <c r="K197" s="113">
        <f t="shared" si="44"/>
        <v>2024</v>
      </c>
      <c r="L197" s="113">
        <f t="shared" si="45"/>
        <v>7</v>
      </c>
      <c r="M197" s="115">
        <f t="array" ref="M197">MIN(IF(Consolidado!$A$6:$A$1000='TOTALES DIARIOS'!A197,IF(Consolidado!$C$6:$C$1000&gt;TIMEVALUE("07:00"),Consolidado!$C$6:$C$1000,1)))</f>
        <v>0</v>
      </c>
      <c r="N197" s="115">
        <f t="array" ref="N197">MIN(IF(Consolidado!$A$6:$A$1000='TOTALES DIARIOS'!A197,IF(Consolidado!$C$6:$C$1000&lt;=M197,Consolidado!$C$6:$C$1000,1)))</f>
        <v>0</v>
      </c>
      <c r="O197" s="115">
        <f t="array" ref="O197">MAX(IF(Consolidado!$A$6:$A$1000='TOTALES DIARIOS'!A197,IF(Consolidado!$D$6:$D$1000&gt;=M197,Consolidado!$D$6:$D$1000,0)))</f>
        <v>0</v>
      </c>
      <c r="P197" s="118">
        <f t="array" ref="P197">MAX(IF(Consolidado!$A$6:$A$1000='TOTALES DIARIOS'!A197,IF(Consolidado!$D$6:$D$1000&lt;=M197,Consolidado!$D$6:$D$1000,0)))</f>
        <v>0</v>
      </c>
      <c r="Q197" s="117">
        <f t="shared" si="37"/>
        <v>0</v>
      </c>
      <c r="R197" s="117">
        <f t="shared" si="36"/>
        <v>0</v>
      </c>
      <c r="S197" s="104" t="str">
        <f t="shared" si="46"/>
        <v>NO</v>
      </c>
    </row>
    <row r="198" spans="1:19" x14ac:dyDescent="0.25">
      <c r="A198" s="221">
        <f t="shared" ref="A198:A261" si="47">IFERROR(A197+1,"")</f>
        <v>45486</v>
      </c>
      <c r="B198" s="130" t="str">
        <f t="shared" si="38"/>
        <v/>
      </c>
      <c r="C198" s="217">
        <f t="shared" si="39"/>
        <v>0</v>
      </c>
      <c r="D198" s="217">
        <f t="shared" si="40"/>
        <v>0</v>
      </c>
      <c r="E198" s="218">
        <f>SUMIF(Consolidado!$A$6:$A$380,'TOTALES DIARIOS'!A198,Consolidado!$E$6:$E$380)</f>
        <v>0</v>
      </c>
      <c r="F198" s="218">
        <f>SUMIF(Consolidado!$A$6:$A$380,'TOTALES DIARIOS'!A198,Consolidado!$F$6:$F$380)</f>
        <v>0</v>
      </c>
      <c r="G198" s="218">
        <f>SUMIF(Consolidado!$A$6:$A$380,'TOTALES DIARIOS'!A198,Consolidado!$G$6:$G$380)</f>
        <v>0</v>
      </c>
      <c r="H198" s="219">
        <f t="shared" si="41"/>
        <v>0</v>
      </c>
      <c r="I198" s="99">
        <f t="shared" si="42"/>
        <v>0</v>
      </c>
      <c r="J198" s="99">
        <f t="shared" si="43"/>
        <v>0</v>
      </c>
      <c r="K198" s="113">
        <f t="shared" si="44"/>
        <v>2024</v>
      </c>
      <c r="L198" s="113">
        <f t="shared" si="45"/>
        <v>7</v>
      </c>
      <c r="M198" s="115">
        <f t="array" ref="M198">MIN(IF(Consolidado!$A$6:$A$1000='TOTALES DIARIOS'!A198,IF(Consolidado!$C$6:$C$1000&gt;TIMEVALUE("07:00"),Consolidado!$C$6:$C$1000,1)))</f>
        <v>0</v>
      </c>
      <c r="N198" s="115">
        <f t="array" ref="N198">MIN(IF(Consolidado!$A$6:$A$1000='TOTALES DIARIOS'!A198,IF(Consolidado!$C$6:$C$1000&lt;=M198,Consolidado!$C$6:$C$1000,1)))</f>
        <v>0</v>
      </c>
      <c r="O198" s="115">
        <f t="array" ref="O198">MAX(IF(Consolidado!$A$6:$A$1000='TOTALES DIARIOS'!A198,IF(Consolidado!$D$6:$D$1000&gt;=M198,Consolidado!$D$6:$D$1000,0)))</f>
        <v>0</v>
      </c>
      <c r="P198" s="118">
        <f t="array" ref="P198">MAX(IF(Consolidado!$A$6:$A$1000='TOTALES DIARIOS'!A198,IF(Consolidado!$D$6:$D$1000&lt;=M198,Consolidado!$D$6:$D$1000,0)))</f>
        <v>0</v>
      </c>
      <c r="Q198" s="117">
        <f t="shared" si="37"/>
        <v>0</v>
      </c>
      <c r="R198" s="117">
        <f t="shared" si="36"/>
        <v>0</v>
      </c>
      <c r="S198" s="104" t="str">
        <f t="shared" si="46"/>
        <v>NO</v>
      </c>
    </row>
    <row r="199" spans="1:19" x14ac:dyDescent="0.25">
      <c r="A199" s="221">
        <f t="shared" si="47"/>
        <v>45487</v>
      </c>
      <c r="B199" s="130" t="str">
        <f t="shared" si="38"/>
        <v/>
      </c>
      <c r="C199" s="217">
        <f t="shared" si="39"/>
        <v>0</v>
      </c>
      <c r="D199" s="217">
        <f t="shared" si="40"/>
        <v>0</v>
      </c>
      <c r="E199" s="218">
        <f>SUMIF(Consolidado!$A$6:$A$380,'TOTALES DIARIOS'!A199,Consolidado!$E$6:$E$380)</f>
        <v>0</v>
      </c>
      <c r="F199" s="218">
        <f>SUMIF(Consolidado!$A$6:$A$380,'TOTALES DIARIOS'!A199,Consolidado!$F$6:$F$380)</f>
        <v>0</v>
      </c>
      <c r="G199" s="218">
        <f>SUMIF(Consolidado!$A$6:$A$380,'TOTALES DIARIOS'!A199,Consolidado!$G$6:$G$380)</f>
        <v>0</v>
      </c>
      <c r="H199" s="219">
        <f t="shared" si="41"/>
        <v>0</v>
      </c>
      <c r="I199" s="99">
        <f t="shared" si="42"/>
        <v>0</v>
      </c>
      <c r="J199" s="99">
        <f t="shared" si="43"/>
        <v>0</v>
      </c>
      <c r="K199" s="113">
        <f t="shared" si="44"/>
        <v>2024</v>
      </c>
      <c r="L199" s="113">
        <f t="shared" si="45"/>
        <v>7</v>
      </c>
      <c r="M199" s="115">
        <f t="array" ref="M199">MIN(IF(Consolidado!$A$6:$A$1000='TOTALES DIARIOS'!A199,IF(Consolidado!$C$6:$C$1000&gt;TIMEVALUE("07:00"),Consolidado!$C$6:$C$1000,1)))</f>
        <v>0</v>
      </c>
      <c r="N199" s="115">
        <f t="array" ref="N199">MIN(IF(Consolidado!$A$6:$A$1000='TOTALES DIARIOS'!A199,IF(Consolidado!$C$6:$C$1000&lt;=M199,Consolidado!$C$6:$C$1000,1)))</f>
        <v>0</v>
      </c>
      <c r="O199" s="115">
        <f t="array" ref="O199">MAX(IF(Consolidado!$A$6:$A$1000='TOTALES DIARIOS'!A199,IF(Consolidado!$D$6:$D$1000&gt;=M199,Consolidado!$D$6:$D$1000,0)))</f>
        <v>0</v>
      </c>
      <c r="P199" s="118">
        <f t="array" ref="P199">MAX(IF(Consolidado!$A$6:$A$1000='TOTALES DIARIOS'!A199,IF(Consolidado!$D$6:$D$1000&lt;=M199,Consolidado!$D$6:$D$1000,0)))</f>
        <v>0</v>
      </c>
      <c r="Q199" s="117">
        <f t="shared" si="37"/>
        <v>0</v>
      </c>
      <c r="R199" s="117">
        <f t="shared" ref="R199:R262" si="48">IF(O199=0,P199,IF(P199=0,O199,MIN(P199,O199)))</f>
        <v>0</v>
      </c>
      <c r="S199" s="104" t="str">
        <f t="shared" si="46"/>
        <v>NO</v>
      </c>
    </row>
    <row r="200" spans="1:19" x14ac:dyDescent="0.25">
      <c r="A200" s="221">
        <f t="shared" si="47"/>
        <v>45488</v>
      </c>
      <c r="B200" s="130" t="str">
        <f t="shared" si="38"/>
        <v/>
      </c>
      <c r="C200" s="217">
        <f t="shared" si="39"/>
        <v>0</v>
      </c>
      <c r="D200" s="217">
        <f t="shared" si="40"/>
        <v>0</v>
      </c>
      <c r="E200" s="218">
        <f>SUMIF(Consolidado!$A$6:$A$380,'TOTALES DIARIOS'!A200,Consolidado!$E$6:$E$380)</f>
        <v>0</v>
      </c>
      <c r="F200" s="218">
        <f>SUMIF(Consolidado!$A$6:$A$380,'TOTALES DIARIOS'!A200,Consolidado!$F$6:$F$380)</f>
        <v>0</v>
      </c>
      <c r="G200" s="218">
        <f>SUMIF(Consolidado!$A$6:$A$380,'TOTALES DIARIOS'!A200,Consolidado!$G$6:$G$380)</f>
        <v>0</v>
      </c>
      <c r="H200" s="219">
        <f t="shared" si="41"/>
        <v>0</v>
      </c>
      <c r="I200" s="99">
        <f t="shared" si="42"/>
        <v>0</v>
      </c>
      <c r="J200" s="99">
        <f t="shared" si="43"/>
        <v>0</v>
      </c>
      <c r="K200" s="113">
        <f t="shared" si="44"/>
        <v>2024</v>
      </c>
      <c r="L200" s="113">
        <f t="shared" si="45"/>
        <v>7</v>
      </c>
      <c r="M200" s="115">
        <f t="array" ref="M200">MIN(IF(Consolidado!$A$6:$A$1000='TOTALES DIARIOS'!A200,IF(Consolidado!$C$6:$C$1000&gt;TIMEVALUE("07:00"),Consolidado!$C$6:$C$1000,1)))</f>
        <v>0</v>
      </c>
      <c r="N200" s="115">
        <f t="array" ref="N200">MIN(IF(Consolidado!$A$6:$A$1000='TOTALES DIARIOS'!A200,IF(Consolidado!$C$6:$C$1000&lt;=M200,Consolidado!$C$6:$C$1000,1)))</f>
        <v>0</v>
      </c>
      <c r="O200" s="115">
        <f t="array" ref="O200">MAX(IF(Consolidado!$A$6:$A$1000='TOTALES DIARIOS'!A200,IF(Consolidado!$D$6:$D$1000&gt;=M200,Consolidado!$D$6:$D$1000,0)))</f>
        <v>0</v>
      </c>
      <c r="P200" s="118">
        <f t="array" ref="P200">MAX(IF(Consolidado!$A$6:$A$1000='TOTALES DIARIOS'!A200,IF(Consolidado!$D$6:$D$1000&lt;=M200,Consolidado!$D$6:$D$1000,0)))</f>
        <v>0</v>
      </c>
      <c r="Q200" s="117">
        <f t="shared" si="37"/>
        <v>0</v>
      </c>
      <c r="R200" s="117">
        <f t="shared" si="48"/>
        <v>0</v>
      </c>
      <c r="S200" s="104" t="str">
        <f t="shared" si="46"/>
        <v>NO</v>
      </c>
    </row>
    <row r="201" spans="1:19" x14ac:dyDescent="0.25">
      <c r="A201" s="221">
        <f t="shared" si="47"/>
        <v>45489</v>
      </c>
      <c r="B201" s="130" t="str">
        <f t="shared" si="38"/>
        <v/>
      </c>
      <c r="C201" s="217">
        <f t="shared" si="39"/>
        <v>0</v>
      </c>
      <c r="D201" s="217">
        <f t="shared" si="40"/>
        <v>0</v>
      </c>
      <c r="E201" s="218">
        <f>SUMIF(Consolidado!$A$6:$A$380,'TOTALES DIARIOS'!A201,Consolidado!$E$6:$E$380)</f>
        <v>0</v>
      </c>
      <c r="F201" s="218">
        <f>SUMIF(Consolidado!$A$6:$A$380,'TOTALES DIARIOS'!A201,Consolidado!$F$6:$F$380)</f>
        <v>0</v>
      </c>
      <c r="G201" s="218">
        <f>SUMIF(Consolidado!$A$6:$A$380,'TOTALES DIARIOS'!A201,Consolidado!$G$6:$G$380)</f>
        <v>0</v>
      </c>
      <c r="H201" s="219">
        <f t="shared" si="41"/>
        <v>0</v>
      </c>
      <c r="I201" s="99">
        <f t="shared" si="42"/>
        <v>0</v>
      </c>
      <c r="J201" s="99">
        <f t="shared" si="43"/>
        <v>0</v>
      </c>
      <c r="K201" s="113">
        <f t="shared" si="44"/>
        <v>2024</v>
      </c>
      <c r="L201" s="113">
        <f t="shared" si="45"/>
        <v>7</v>
      </c>
      <c r="M201" s="115">
        <f t="array" ref="M201">MIN(IF(Consolidado!$A$6:$A$1000='TOTALES DIARIOS'!A201,IF(Consolidado!$C$6:$C$1000&gt;TIMEVALUE("07:00"),Consolidado!$C$6:$C$1000,1)))</f>
        <v>0</v>
      </c>
      <c r="N201" s="115">
        <f t="array" ref="N201">MIN(IF(Consolidado!$A$6:$A$1000='TOTALES DIARIOS'!A201,IF(Consolidado!$C$6:$C$1000&lt;=M201,Consolidado!$C$6:$C$1000,1)))</f>
        <v>0</v>
      </c>
      <c r="O201" s="115">
        <f t="array" ref="O201">MAX(IF(Consolidado!$A$6:$A$1000='TOTALES DIARIOS'!A201,IF(Consolidado!$D$6:$D$1000&gt;=M201,Consolidado!$D$6:$D$1000,0)))</f>
        <v>0</v>
      </c>
      <c r="P201" s="118">
        <f t="array" ref="P201">MAX(IF(Consolidado!$A$6:$A$1000='TOTALES DIARIOS'!A201,IF(Consolidado!$D$6:$D$1000&lt;=M201,Consolidado!$D$6:$D$1000,0)))</f>
        <v>0</v>
      </c>
      <c r="Q201" s="117">
        <f t="shared" ref="Q201:Q264" si="49">IF(M201&lt;&gt;1,MAX(M201,N201),N201)</f>
        <v>0</v>
      </c>
      <c r="R201" s="117">
        <f t="shared" si="48"/>
        <v>0</v>
      </c>
      <c r="S201" s="104" t="str">
        <f t="shared" si="46"/>
        <v>NO</v>
      </c>
    </row>
    <row r="202" spans="1:19" x14ac:dyDescent="0.25">
      <c r="A202" s="221">
        <f t="shared" si="47"/>
        <v>45490</v>
      </c>
      <c r="B202" s="130" t="str">
        <f t="shared" si="38"/>
        <v/>
      </c>
      <c r="C202" s="217">
        <f t="shared" si="39"/>
        <v>0</v>
      </c>
      <c r="D202" s="217">
        <f t="shared" si="40"/>
        <v>0</v>
      </c>
      <c r="E202" s="218">
        <f>SUMIF(Consolidado!$A$6:$A$380,'TOTALES DIARIOS'!A202,Consolidado!$E$6:$E$380)</f>
        <v>0</v>
      </c>
      <c r="F202" s="218">
        <f>SUMIF(Consolidado!$A$6:$A$380,'TOTALES DIARIOS'!A202,Consolidado!$F$6:$F$380)</f>
        <v>0</v>
      </c>
      <c r="G202" s="218">
        <f>SUMIF(Consolidado!$A$6:$A$380,'TOTALES DIARIOS'!A202,Consolidado!$G$6:$G$380)</f>
        <v>0</v>
      </c>
      <c r="H202" s="219">
        <f t="shared" si="41"/>
        <v>0</v>
      </c>
      <c r="I202" s="99">
        <f t="shared" si="42"/>
        <v>0</v>
      </c>
      <c r="J202" s="99">
        <f t="shared" si="43"/>
        <v>0</v>
      </c>
      <c r="K202" s="113">
        <f t="shared" si="44"/>
        <v>2024</v>
      </c>
      <c r="L202" s="113">
        <f t="shared" si="45"/>
        <v>7</v>
      </c>
      <c r="M202" s="115">
        <f t="array" ref="M202">MIN(IF(Consolidado!$A$6:$A$1000='TOTALES DIARIOS'!A202,IF(Consolidado!$C$6:$C$1000&gt;TIMEVALUE("07:00"),Consolidado!$C$6:$C$1000,1)))</f>
        <v>0</v>
      </c>
      <c r="N202" s="115">
        <f t="array" ref="N202">MIN(IF(Consolidado!$A$6:$A$1000='TOTALES DIARIOS'!A202,IF(Consolidado!$C$6:$C$1000&lt;=M202,Consolidado!$C$6:$C$1000,1)))</f>
        <v>0</v>
      </c>
      <c r="O202" s="115">
        <f t="array" ref="O202">MAX(IF(Consolidado!$A$6:$A$1000='TOTALES DIARIOS'!A202,IF(Consolidado!$D$6:$D$1000&gt;=M202,Consolidado!$D$6:$D$1000,0)))</f>
        <v>0</v>
      </c>
      <c r="P202" s="118">
        <f t="array" ref="P202">MAX(IF(Consolidado!$A$6:$A$1000='TOTALES DIARIOS'!A202,IF(Consolidado!$D$6:$D$1000&lt;=M202,Consolidado!$D$6:$D$1000,0)))</f>
        <v>0</v>
      </c>
      <c r="Q202" s="117">
        <f t="shared" si="49"/>
        <v>0</v>
      </c>
      <c r="R202" s="117">
        <f t="shared" si="48"/>
        <v>0</v>
      </c>
      <c r="S202" s="104" t="str">
        <f t="shared" si="46"/>
        <v>NO</v>
      </c>
    </row>
    <row r="203" spans="1:19" x14ac:dyDescent="0.25">
      <c r="A203" s="221">
        <f t="shared" si="47"/>
        <v>45491</v>
      </c>
      <c r="B203" s="130" t="str">
        <f t="shared" si="38"/>
        <v/>
      </c>
      <c r="C203" s="217">
        <f t="shared" si="39"/>
        <v>0</v>
      </c>
      <c r="D203" s="217">
        <f t="shared" si="40"/>
        <v>0</v>
      </c>
      <c r="E203" s="218">
        <f>SUMIF(Consolidado!$A$6:$A$380,'TOTALES DIARIOS'!A203,Consolidado!$E$6:$E$380)</f>
        <v>0</v>
      </c>
      <c r="F203" s="218">
        <f>SUMIF(Consolidado!$A$6:$A$380,'TOTALES DIARIOS'!A203,Consolidado!$F$6:$F$380)</f>
        <v>0</v>
      </c>
      <c r="G203" s="218">
        <f>SUMIF(Consolidado!$A$6:$A$380,'TOTALES DIARIOS'!A203,Consolidado!$G$6:$G$380)</f>
        <v>0</v>
      </c>
      <c r="H203" s="219">
        <f t="shared" si="41"/>
        <v>0</v>
      </c>
      <c r="I203" s="99">
        <f t="shared" si="42"/>
        <v>0</v>
      </c>
      <c r="J203" s="99">
        <f t="shared" si="43"/>
        <v>0</v>
      </c>
      <c r="K203" s="113">
        <f t="shared" si="44"/>
        <v>2024</v>
      </c>
      <c r="L203" s="113">
        <f t="shared" si="45"/>
        <v>7</v>
      </c>
      <c r="M203" s="115">
        <f t="array" ref="M203">MIN(IF(Consolidado!$A$6:$A$1000='TOTALES DIARIOS'!A203,IF(Consolidado!$C$6:$C$1000&gt;TIMEVALUE("07:00"),Consolidado!$C$6:$C$1000,1)))</f>
        <v>0</v>
      </c>
      <c r="N203" s="115">
        <f t="array" ref="N203">MIN(IF(Consolidado!$A$6:$A$1000='TOTALES DIARIOS'!A203,IF(Consolidado!$C$6:$C$1000&lt;=M203,Consolidado!$C$6:$C$1000,1)))</f>
        <v>0</v>
      </c>
      <c r="O203" s="115">
        <f t="array" ref="O203">MAX(IF(Consolidado!$A$6:$A$1000='TOTALES DIARIOS'!A203,IF(Consolidado!$D$6:$D$1000&gt;=M203,Consolidado!$D$6:$D$1000,0)))</f>
        <v>0</v>
      </c>
      <c r="P203" s="118">
        <f t="array" ref="P203">MAX(IF(Consolidado!$A$6:$A$1000='TOTALES DIARIOS'!A203,IF(Consolidado!$D$6:$D$1000&lt;=M203,Consolidado!$D$6:$D$1000,0)))</f>
        <v>0</v>
      </c>
      <c r="Q203" s="117">
        <f t="shared" si="49"/>
        <v>0</v>
      </c>
      <c r="R203" s="117">
        <f t="shared" si="48"/>
        <v>0</v>
      </c>
      <c r="S203" s="104" t="str">
        <f t="shared" si="46"/>
        <v>NO</v>
      </c>
    </row>
    <row r="204" spans="1:19" x14ac:dyDescent="0.25">
      <c r="A204" s="221">
        <f t="shared" si="47"/>
        <v>45492</v>
      </c>
      <c r="B204" s="130" t="str">
        <f t="shared" si="38"/>
        <v/>
      </c>
      <c r="C204" s="217">
        <f t="shared" si="39"/>
        <v>0</v>
      </c>
      <c r="D204" s="217">
        <f t="shared" si="40"/>
        <v>0</v>
      </c>
      <c r="E204" s="218">
        <f>SUMIF(Consolidado!$A$6:$A$380,'TOTALES DIARIOS'!A204,Consolidado!$E$6:$E$380)</f>
        <v>0</v>
      </c>
      <c r="F204" s="218">
        <f>SUMIF(Consolidado!$A$6:$A$380,'TOTALES DIARIOS'!A204,Consolidado!$F$6:$F$380)</f>
        <v>0</v>
      </c>
      <c r="G204" s="218">
        <f>SUMIF(Consolidado!$A$6:$A$380,'TOTALES DIARIOS'!A204,Consolidado!$G$6:$G$380)</f>
        <v>0</v>
      </c>
      <c r="H204" s="219">
        <f t="shared" si="41"/>
        <v>0</v>
      </c>
      <c r="I204" s="99">
        <f t="shared" si="42"/>
        <v>0</v>
      </c>
      <c r="J204" s="99">
        <f t="shared" si="43"/>
        <v>0</v>
      </c>
      <c r="K204" s="113">
        <f t="shared" si="44"/>
        <v>2024</v>
      </c>
      <c r="L204" s="113">
        <f t="shared" si="45"/>
        <v>7</v>
      </c>
      <c r="M204" s="115">
        <f t="array" ref="M204">MIN(IF(Consolidado!$A$6:$A$1000='TOTALES DIARIOS'!A204,IF(Consolidado!$C$6:$C$1000&gt;TIMEVALUE("07:00"),Consolidado!$C$6:$C$1000,1)))</f>
        <v>0</v>
      </c>
      <c r="N204" s="115">
        <f t="array" ref="N204">MIN(IF(Consolidado!$A$6:$A$1000='TOTALES DIARIOS'!A204,IF(Consolidado!$C$6:$C$1000&lt;=M204,Consolidado!$C$6:$C$1000,1)))</f>
        <v>0</v>
      </c>
      <c r="O204" s="115">
        <f t="array" ref="O204">MAX(IF(Consolidado!$A$6:$A$1000='TOTALES DIARIOS'!A204,IF(Consolidado!$D$6:$D$1000&gt;=M204,Consolidado!$D$6:$D$1000,0)))</f>
        <v>0</v>
      </c>
      <c r="P204" s="118">
        <f t="array" ref="P204">MAX(IF(Consolidado!$A$6:$A$1000='TOTALES DIARIOS'!A204,IF(Consolidado!$D$6:$D$1000&lt;=M204,Consolidado!$D$6:$D$1000,0)))</f>
        <v>0</v>
      </c>
      <c r="Q204" s="117">
        <f t="shared" si="49"/>
        <v>0</v>
      </c>
      <c r="R204" s="117">
        <f t="shared" si="48"/>
        <v>0</v>
      </c>
      <c r="S204" s="104" t="str">
        <f t="shared" si="46"/>
        <v>NO</v>
      </c>
    </row>
    <row r="205" spans="1:19" x14ac:dyDescent="0.25">
      <c r="A205" s="221">
        <f t="shared" si="47"/>
        <v>45493</v>
      </c>
      <c r="B205" s="130" t="str">
        <f t="shared" si="38"/>
        <v/>
      </c>
      <c r="C205" s="217">
        <f t="shared" si="39"/>
        <v>0</v>
      </c>
      <c r="D205" s="217">
        <f t="shared" si="40"/>
        <v>0</v>
      </c>
      <c r="E205" s="218">
        <f>SUMIF(Consolidado!$A$6:$A$380,'TOTALES DIARIOS'!A205,Consolidado!$E$6:$E$380)</f>
        <v>0</v>
      </c>
      <c r="F205" s="218">
        <f>SUMIF(Consolidado!$A$6:$A$380,'TOTALES DIARIOS'!A205,Consolidado!$F$6:$F$380)</f>
        <v>0</v>
      </c>
      <c r="G205" s="218">
        <f>SUMIF(Consolidado!$A$6:$A$380,'TOTALES DIARIOS'!A205,Consolidado!$G$6:$G$380)</f>
        <v>0</v>
      </c>
      <c r="H205" s="219">
        <f t="shared" si="41"/>
        <v>0</v>
      </c>
      <c r="I205" s="99">
        <f t="shared" si="42"/>
        <v>0</v>
      </c>
      <c r="J205" s="99">
        <f t="shared" si="43"/>
        <v>0</v>
      </c>
      <c r="K205" s="113">
        <f t="shared" si="44"/>
        <v>2024</v>
      </c>
      <c r="L205" s="113">
        <f t="shared" si="45"/>
        <v>7</v>
      </c>
      <c r="M205" s="115">
        <f t="array" ref="M205">MIN(IF(Consolidado!$A$6:$A$1000='TOTALES DIARIOS'!A205,IF(Consolidado!$C$6:$C$1000&gt;TIMEVALUE("07:00"),Consolidado!$C$6:$C$1000,1)))</f>
        <v>0</v>
      </c>
      <c r="N205" s="115">
        <f t="array" ref="N205">MIN(IF(Consolidado!$A$6:$A$1000='TOTALES DIARIOS'!A205,IF(Consolidado!$C$6:$C$1000&lt;=M205,Consolidado!$C$6:$C$1000,1)))</f>
        <v>0</v>
      </c>
      <c r="O205" s="115">
        <f t="array" ref="O205">MAX(IF(Consolidado!$A$6:$A$1000='TOTALES DIARIOS'!A205,IF(Consolidado!$D$6:$D$1000&gt;=M205,Consolidado!$D$6:$D$1000,0)))</f>
        <v>0</v>
      </c>
      <c r="P205" s="118">
        <f t="array" ref="P205">MAX(IF(Consolidado!$A$6:$A$1000='TOTALES DIARIOS'!A205,IF(Consolidado!$D$6:$D$1000&lt;=M205,Consolidado!$D$6:$D$1000,0)))</f>
        <v>0</v>
      </c>
      <c r="Q205" s="117">
        <f t="shared" si="49"/>
        <v>0</v>
      </c>
      <c r="R205" s="117">
        <f t="shared" si="48"/>
        <v>0</v>
      </c>
      <c r="S205" s="104" t="str">
        <f t="shared" si="46"/>
        <v>NO</v>
      </c>
    </row>
    <row r="206" spans="1:19" x14ac:dyDescent="0.25">
      <c r="A206" s="221">
        <f t="shared" si="47"/>
        <v>45494</v>
      </c>
      <c r="B206" s="130" t="str">
        <f t="shared" si="38"/>
        <v/>
      </c>
      <c r="C206" s="217">
        <f t="shared" si="39"/>
        <v>0</v>
      </c>
      <c r="D206" s="217">
        <f t="shared" si="40"/>
        <v>0</v>
      </c>
      <c r="E206" s="218">
        <f>SUMIF(Consolidado!$A$6:$A$380,'TOTALES DIARIOS'!A206,Consolidado!$E$6:$E$380)</f>
        <v>0</v>
      </c>
      <c r="F206" s="218">
        <f>SUMIF(Consolidado!$A$6:$A$380,'TOTALES DIARIOS'!A206,Consolidado!$F$6:$F$380)</f>
        <v>0</v>
      </c>
      <c r="G206" s="218">
        <f>SUMIF(Consolidado!$A$6:$A$380,'TOTALES DIARIOS'!A206,Consolidado!$G$6:$G$380)</f>
        <v>0</v>
      </c>
      <c r="H206" s="219">
        <f t="shared" si="41"/>
        <v>0</v>
      </c>
      <c r="I206" s="99">
        <f t="shared" si="42"/>
        <v>0</v>
      </c>
      <c r="J206" s="99">
        <f t="shared" si="43"/>
        <v>0</v>
      </c>
      <c r="K206" s="113">
        <f t="shared" si="44"/>
        <v>2024</v>
      </c>
      <c r="L206" s="113">
        <f t="shared" si="45"/>
        <v>7</v>
      </c>
      <c r="M206" s="115">
        <f t="array" ref="M206">MIN(IF(Consolidado!$A$6:$A$1000='TOTALES DIARIOS'!A206,IF(Consolidado!$C$6:$C$1000&gt;TIMEVALUE("07:00"),Consolidado!$C$6:$C$1000,1)))</f>
        <v>0</v>
      </c>
      <c r="N206" s="115">
        <f t="array" ref="N206">MIN(IF(Consolidado!$A$6:$A$1000='TOTALES DIARIOS'!A206,IF(Consolidado!$C$6:$C$1000&lt;=M206,Consolidado!$C$6:$C$1000,1)))</f>
        <v>0</v>
      </c>
      <c r="O206" s="115">
        <f t="array" ref="O206">MAX(IF(Consolidado!$A$6:$A$1000='TOTALES DIARIOS'!A206,IF(Consolidado!$D$6:$D$1000&gt;=M206,Consolidado!$D$6:$D$1000,0)))</f>
        <v>0</v>
      </c>
      <c r="P206" s="118">
        <f t="array" ref="P206">MAX(IF(Consolidado!$A$6:$A$1000='TOTALES DIARIOS'!A206,IF(Consolidado!$D$6:$D$1000&lt;=M206,Consolidado!$D$6:$D$1000,0)))</f>
        <v>0</v>
      </c>
      <c r="Q206" s="117">
        <f t="shared" si="49"/>
        <v>0</v>
      </c>
      <c r="R206" s="117">
        <f t="shared" si="48"/>
        <v>0</v>
      </c>
      <c r="S206" s="104" t="str">
        <f t="shared" si="46"/>
        <v>NO</v>
      </c>
    </row>
    <row r="207" spans="1:19" x14ac:dyDescent="0.25">
      <c r="A207" s="221">
        <f t="shared" si="47"/>
        <v>45495</v>
      </c>
      <c r="B207" s="130" t="str">
        <f t="shared" si="38"/>
        <v/>
      </c>
      <c r="C207" s="217">
        <f t="shared" si="39"/>
        <v>0</v>
      </c>
      <c r="D207" s="217">
        <f t="shared" si="40"/>
        <v>0</v>
      </c>
      <c r="E207" s="218">
        <f>SUMIF(Consolidado!$A$6:$A$380,'TOTALES DIARIOS'!A207,Consolidado!$E$6:$E$380)</f>
        <v>0</v>
      </c>
      <c r="F207" s="218">
        <f>SUMIF(Consolidado!$A$6:$A$380,'TOTALES DIARIOS'!A207,Consolidado!$F$6:$F$380)</f>
        <v>0</v>
      </c>
      <c r="G207" s="218">
        <f>SUMIF(Consolidado!$A$6:$A$380,'TOTALES DIARIOS'!A207,Consolidado!$G$6:$G$380)</f>
        <v>0</v>
      </c>
      <c r="H207" s="219">
        <f t="shared" si="41"/>
        <v>0</v>
      </c>
      <c r="I207" s="99">
        <f t="shared" si="42"/>
        <v>0</v>
      </c>
      <c r="J207" s="99">
        <f t="shared" si="43"/>
        <v>0</v>
      </c>
      <c r="K207" s="113">
        <f t="shared" si="44"/>
        <v>2024</v>
      </c>
      <c r="L207" s="113">
        <f t="shared" si="45"/>
        <v>7</v>
      </c>
      <c r="M207" s="115">
        <f t="array" ref="M207">MIN(IF(Consolidado!$A$6:$A$1000='TOTALES DIARIOS'!A207,IF(Consolidado!$C$6:$C$1000&gt;TIMEVALUE("07:00"),Consolidado!$C$6:$C$1000,1)))</f>
        <v>0</v>
      </c>
      <c r="N207" s="115">
        <f t="array" ref="N207">MIN(IF(Consolidado!$A$6:$A$1000='TOTALES DIARIOS'!A207,IF(Consolidado!$C$6:$C$1000&lt;=M207,Consolidado!$C$6:$C$1000,1)))</f>
        <v>0</v>
      </c>
      <c r="O207" s="115">
        <f t="array" ref="O207">MAX(IF(Consolidado!$A$6:$A$1000='TOTALES DIARIOS'!A207,IF(Consolidado!$D$6:$D$1000&gt;=M207,Consolidado!$D$6:$D$1000,0)))</f>
        <v>0</v>
      </c>
      <c r="P207" s="118">
        <f t="array" ref="P207">MAX(IF(Consolidado!$A$6:$A$1000='TOTALES DIARIOS'!A207,IF(Consolidado!$D$6:$D$1000&lt;=M207,Consolidado!$D$6:$D$1000,0)))</f>
        <v>0</v>
      </c>
      <c r="Q207" s="117">
        <f t="shared" si="49"/>
        <v>0</v>
      </c>
      <c r="R207" s="117">
        <f t="shared" si="48"/>
        <v>0</v>
      </c>
      <c r="S207" s="104" t="str">
        <f t="shared" si="46"/>
        <v>NO</v>
      </c>
    </row>
    <row r="208" spans="1:19" x14ac:dyDescent="0.25">
      <c r="A208" s="221">
        <f t="shared" si="47"/>
        <v>45496</v>
      </c>
      <c r="B208" s="130" t="str">
        <f t="shared" si="38"/>
        <v/>
      </c>
      <c r="C208" s="217">
        <f t="shared" si="39"/>
        <v>0</v>
      </c>
      <c r="D208" s="217">
        <f t="shared" si="40"/>
        <v>0</v>
      </c>
      <c r="E208" s="218">
        <f>SUMIF(Consolidado!$A$6:$A$380,'TOTALES DIARIOS'!A208,Consolidado!$E$6:$E$380)</f>
        <v>0</v>
      </c>
      <c r="F208" s="218">
        <f>SUMIF(Consolidado!$A$6:$A$380,'TOTALES DIARIOS'!A208,Consolidado!$F$6:$F$380)</f>
        <v>0</v>
      </c>
      <c r="G208" s="218">
        <f>SUMIF(Consolidado!$A$6:$A$380,'TOTALES DIARIOS'!A208,Consolidado!$G$6:$G$380)</f>
        <v>0</v>
      </c>
      <c r="H208" s="219">
        <f t="shared" si="41"/>
        <v>0</v>
      </c>
      <c r="I208" s="99">
        <f t="shared" si="42"/>
        <v>0</v>
      </c>
      <c r="J208" s="99">
        <f t="shared" si="43"/>
        <v>0</v>
      </c>
      <c r="K208" s="113">
        <f t="shared" si="44"/>
        <v>2024</v>
      </c>
      <c r="L208" s="113">
        <f t="shared" si="45"/>
        <v>7</v>
      </c>
      <c r="M208" s="115">
        <f t="array" ref="M208">MIN(IF(Consolidado!$A$6:$A$1000='TOTALES DIARIOS'!A208,IF(Consolidado!$C$6:$C$1000&gt;TIMEVALUE("07:00"),Consolidado!$C$6:$C$1000,1)))</f>
        <v>0</v>
      </c>
      <c r="N208" s="115">
        <f t="array" ref="N208">MIN(IF(Consolidado!$A$6:$A$1000='TOTALES DIARIOS'!A208,IF(Consolidado!$C$6:$C$1000&lt;=M208,Consolidado!$C$6:$C$1000,1)))</f>
        <v>0</v>
      </c>
      <c r="O208" s="115">
        <f t="array" ref="O208">MAX(IF(Consolidado!$A$6:$A$1000='TOTALES DIARIOS'!A208,IF(Consolidado!$D$6:$D$1000&gt;=M208,Consolidado!$D$6:$D$1000,0)))</f>
        <v>0</v>
      </c>
      <c r="P208" s="118">
        <f t="array" ref="P208">MAX(IF(Consolidado!$A$6:$A$1000='TOTALES DIARIOS'!A208,IF(Consolidado!$D$6:$D$1000&lt;=M208,Consolidado!$D$6:$D$1000,0)))</f>
        <v>0</v>
      </c>
      <c r="Q208" s="117">
        <f t="shared" si="49"/>
        <v>0</v>
      </c>
      <c r="R208" s="117">
        <f t="shared" si="48"/>
        <v>0</v>
      </c>
      <c r="S208" s="104" t="str">
        <f t="shared" si="46"/>
        <v>NO</v>
      </c>
    </row>
    <row r="209" spans="1:19" x14ac:dyDescent="0.25">
      <c r="A209" s="221">
        <f t="shared" si="47"/>
        <v>45497</v>
      </c>
      <c r="B209" s="130" t="str">
        <f t="shared" si="38"/>
        <v/>
      </c>
      <c r="C209" s="217">
        <f t="shared" si="39"/>
        <v>0</v>
      </c>
      <c r="D209" s="217">
        <f t="shared" si="40"/>
        <v>0</v>
      </c>
      <c r="E209" s="218">
        <f>SUMIF(Consolidado!$A$6:$A$380,'TOTALES DIARIOS'!A209,Consolidado!$E$6:$E$380)</f>
        <v>0</v>
      </c>
      <c r="F209" s="218">
        <f>SUMIF(Consolidado!$A$6:$A$380,'TOTALES DIARIOS'!A209,Consolidado!$F$6:$F$380)</f>
        <v>0</v>
      </c>
      <c r="G209" s="218">
        <f>SUMIF(Consolidado!$A$6:$A$380,'TOTALES DIARIOS'!A209,Consolidado!$G$6:$G$380)</f>
        <v>0</v>
      </c>
      <c r="H209" s="219">
        <f t="shared" si="41"/>
        <v>0</v>
      </c>
      <c r="I209" s="99">
        <f t="shared" si="42"/>
        <v>0</v>
      </c>
      <c r="J209" s="99">
        <f t="shared" si="43"/>
        <v>0</v>
      </c>
      <c r="K209" s="113">
        <f t="shared" si="44"/>
        <v>2024</v>
      </c>
      <c r="L209" s="113">
        <f t="shared" si="45"/>
        <v>7</v>
      </c>
      <c r="M209" s="115">
        <f t="array" ref="M209">MIN(IF(Consolidado!$A$6:$A$1000='TOTALES DIARIOS'!A209,IF(Consolidado!$C$6:$C$1000&gt;TIMEVALUE("07:00"),Consolidado!$C$6:$C$1000,1)))</f>
        <v>0</v>
      </c>
      <c r="N209" s="115">
        <f t="array" ref="N209">MIN(IF(Consolidado!$A$6:$A$1000='TOTALES DIARIOS'!A209,IF(Consolidado!$C$6:$C$1000&lt;=M209,Consolidado!$C$6:$C$1000,1)))</f>
        <v>0</v>
      </c>
      <c r="O209" s="115">
        <f t="array" ref="O209">MAX(IF(Consolidado!$A$6:$A$1000='TOTALES DIARIOS'!A209,IF(Consolidado!$D$6:$D$1000&gt;=M209,Consolidado!$D$6:$D$1000,0)))</f>
        <v>0</v>
      </c>
      <c r="P209" s="118">
        <f t="array" ref="P209">MAX(IF(Consolidado!$A$6:$A$1000='TOTALES DIARIOS'!A209,IF(Consolidado!$D$6:$D$1000&lt;=M209,Consolidado!$D$6:$D$1000,0)))</f>
        <v>0</v>
      </c>
      <c r="Q209" s="117">
        <f t="shared" si="49"/>
        <v>0</v>
      </c>
      <c r="R209" s="117">
        <f t="shared" si="48"/>
        <v>0</v>
      </c>
      <c r="S209" s="104" t="str">
        <f t="shared" si="46"/>
        <v>NO</v>
      </c>
    </row>
    <row r="210" spans="1:19" x14ac:dyDescent="0.25">
      <c r="A210" s="221">
        <f t="shared" si="47"/>
        <v>45498</v>
      </c>
      <c r="B210" s="130" t="str">
        <f t="shared" si="38"/>
        <v/>
      </c>
      <c r="C210" s="217">
        <f t="shared" si="39"/>
        <v>0</v>
      </c>
      <c r="D210" s="217">
        <f t="shared" si="40"/>
        <v>0</v>
      </c>
      <c r="E210" s="218">
        <f>SUMIF(Consolidado!$A$6:$A$380,'TOTALES DIARIOS'!A210,Consolidado!$E$6:$E$380)</f>
        <v>0</v>
      </c>
      <c r="F210" s="218">
        <f>SUMIF(Consolidado!$A$6:$A$380,'TOTALES DIARIOS'!A210,Consolidado!$F$6:$F$380)</f>
        <v>0</v>
      </c>
      <c r="G210" s="218">
        <f>SUMIF(Consolidado!$A$6:$A$380,'TOTALES DIARIOS'!A210,Consolidado!$G$6:$G$380)</f>
        <v>0</v>
      </c>
      <c r="H210" s="219">
        <f t="shared" si="41"/>
        <v>0</v>
      </c>
      <c r="I210" s="99">
        <f t="shared" si="42"/>
        <v>0</v>
      </c>
      <c r="J210" s="99">
        <f t="shared" si="43"/>
        <v>0</v>
      </c>
      <c r="K210" s="113">
        <f t="shared" si="44"/>
        <v>2024</v>
      </c>
      <c r="L210" s="113">
        <f t="shared" si="45"/>
        <v>7</v>
      </c>
      <c r="M210" s="115">
        <f t="array" ref="M210">MIN(IF(Consolidado!$A$6:$A$1000='TOTALES DIARIOS'!A210,IF(Consolidado!$C$6:$C$1000&gt;TIMEVALUE("07:00"),Consolidado!$C$6:$C$1000,1)))</f>
        <v>0</v>
      </c>
      <c r="N210" s="115">
        <f t="array" ref="N210">MIN(IF(Consolidado!$A$6:$A$1000='TOTALES DIARIOS'!A210,IF(Consolidado!$C$6:$C$1000&lt;=M210,Consolidado!$C$6:$C$1000,1)))</f>
        <v>0</v>
      </c>
      <c r="O210" s="115">
        <f t="array" ref="O210">MAX(IF(Consolidado!$A$6:$A$1000='TOTALES DIARIOS'!A210,IF(Consolidado!$D$6:$D$1000&gt;=M210,Consolidado!$D$6:$D$1000,0)))</f>
        <v>0</v>
      </c>
      <c r="P210" s="118">
        <f t="array" ref="P210">MAX(IF(Consolidado!$A$6:$A$1000='TOTALES DIARIOS'!A210,IF(Consolidado!$D$6:$D$1000&lt;=M210,Consolidado!$D$6:$D$1000,0)))</f>
        <v>0</v>
      </c>
      <c r="Q210" s="117">
        <f t="shared" si="49"/>
        <v>0</v>
      </c>
      <c r="R210" s="117">
        <f t="shared" si="48"/>
        <v>0</v>
      </c>
      <c r="S210" s="104" t="str">
        <f t="shared" si="46"/>
        <v>NO</v>
      </c>
    </row>
    <row r="211" spans="1:19" x14ac:dyDescent="0.25">
      <c r="A211" s="221">
        <f t="shared" si="47"/>
        <v>45499</v>
      </c>
      <c r="B211" s="130" t="str">
        <f t="shared" si="38"/>
        <v/>
      </c>
      <c r="C211" s="217">
        <f t="shared" si="39"/>
        <v>0</v>
      </c>
      <c r="D211" s="217">
        <f t="shared" si="40"/>
        <v>0</v>
      </c>
      <c r="E211" s="218">
        <f>SUMIF(Consolidado!$A$6:$A$380,'TOTALES DIARIOS'!A211,Consolidado!$E$6:$E$380)</f>
        <v>0</v>
      </c>
      <c r="F211" s="218">
        <f>SUMIF(Consolidado!$A$6:$A$380,'TOTALES DIARIOS'!A211,Consolidado!$F$6:$F$380)</f>
        <v>0</v>
      </c>
      <c r="G211" s="218">
        <f>SUMIF(Consolidado!$A$6:$A$380,'TOTALES DIARIOS'!A211,Consolidado!$G$6:$G$380)</f>
        <v>0</v>
      </c>
      <c r="H211" s="219">
        <f t="shared" si="41"/>
        <v>0</v>
      </c>
      <c r="I211" s="99">
        <f t="shared" si="42"/>
        <v>0</v>
      </c>
      <c r="J211" s="99">
        <f t="shared" si="43"/>
        <v>0</v>
      </c>
      <c r="K211" s="113">
        <f t="shared" si="44"/>
        <v>2024</v>
      </c>
      <c r="L211" s="113">
        <f t="shared" si="45"/>
        <v>7</v>
      </c>
      <c r="M211" s="115">
        <f t="array" ref="M211">MIN(IF(Consolidado!$A$6:$A$1000='TOTALES DIARIOS'!A211,IF(Consolidado!$C$6:$C$1000&gt;TIMEVALUE("07:00"),Consolidado!$C$6:$C$1000,1)))</f>
        <v>0</v>
      </c>
      <c r="N211" s="115">
        <f t="array" ref="N211">MIN(IF(Consolidado!$A$6:$A$1000='TOTALES DIARIOS'!A211,IF(Consolidado!$C$6:$C$1000&lt;=M211,Consolidado!$C$6:$C$1000,1)))</f>
        <v>0</v>
      </c>
      <c r="O211" s="115">
        <f t="array" ref="O211">MAX(IF(Consolidado!$A$6:$A$1000='TOTALES DIARIOS'!A211,IF(Consolidado!$D$6:$D$1000&gt;=M211,Consolidado!$D$6:$D$1000,0)))</f>
        <v>0</v>
      </c>
      <c r="P211" s="118">
        <f t="array" ref="P211">MAX(IF(Consolidado!$A$6:$A$1000='TOTALES DIARIOS'!A211,IF(Consolidado!$D$6:$D$1000&lt;=M211,Consolidado!$D$6:$D$1000,0)))</f>
        <v>0</v>
      </c>
      <c r="Q211" s="117">
        <f t="shared" si="49"/>
        <v>0</v>
      </c>
      <c r="R211" s="117">
        <f t="shared" si="48"/>
        <v>0</v>
      </c>
      <c r="S211" s="104" t="str">
        <f t="shared" si="46"/>
        <v>NO</v>
      </c>
    </row>
    <row r="212" spans="1:19" x14ac:dyDescent="0.25">
      <c r="A212" s="221">
        <f t="shared" si="47"/>
        <v>45500</v>
      </c>
      <c r="B212" s="130" t="str">
        <f t="shared" si="38"/>
        <v/>
      </c>
      <c r="C212" s="217">
        <f t="shared" si="39"/>
        <v>0</v>
      </c>
      <c r="D212" s="217">
        <f t="shared" si="40"/>
        <v>0</v>
      </c>
      <c r="E212" s="218">
        <f>SUMIF(Consolidado!$A$6:$A$380,'TOTALES DIARIOS'!A212,Consolidado!$E$6:$E$380)</f>
        <v>0</v>
      </c>
      <c r="F212" s="218">
        <f>SUMIF(Consolidado!$A$6:$A$380,'TOTALES DIARIOS'!A212,Consolidado!$F$6:$F$380)</f>
        <v>0</v>
      </c>
      <c r="G212" s="218">
        <f>SUMIF(Consolidado!$A$6:$A$380,'TOTALES DIARIOS'!A212,Consolidado!$G$6:$G$380)</f>
        <v>0</v>
      </c>
      <c r="H212" s="219">
        <f t="shared" si="41"/>
        <v>0</v>
      </c>
      <c r="I212" s="99">
        <f t="shared" si="42"/>
        <v>0</v>
      </c>
      <c r="J212" s="99">
        <f t="shared" si="43"/>
        <v>0</v>
      </c>
      <c r="K212" s="113">
        <f t="shared" si="44"/>
        <v>2024</v>
      </c>
      <c r="L212" s="113">
        <f t="shared" si="45"/>
        <v>7</v>
      </c>
      <c r="M212" s="115">
        <f t="array" ref="M212">MIN(IF(Consolidado!$A$6:$A$1000='TOTALES DIARIOS'!A212,IF(Consolidado!$C$6:$C$1000&gt;TIMEVALUE("07:00"),Consolidado!$C$6:$C$1000,1)))</f>
        <v>0</v>
      </c>
      <c r="N212" s="115">
        <f t="array" ref="N212">MIN(IF(Consolidado!$A$6:$A$1000='TOTALES DIARIOS'!A212,IF(Consolidado!$C$6:$C$1000&lt;=M212,Consolidado!$C$6:$C$1000,1)))</f>
        <v>0</v>
      </c>
      <c r="O212" s="115">
        <f t="array" ref="O212">MAX(IF(Consolidado!$A$6:$A$1000='TOTALES DIARIOS'!A212,IF(Consolidado!$D$6:$D$1000&gt;=M212,Consolidado!$D$6:$D$1000,0)))</f>
        <v>0</v>
      </c>
      <c r="P212" s="118">
        <f t="array" ref="P212">MAX(IF(Consolidado!$A$6:$A$1000='TOTALES DIARIOS'!A212,IF(Consolidado!$D$6:$D$1000&lt;=M212,Consolidado!$D$6:$D$1000,0)))</f>
        <v>0</v>
      </c>
      <c r="Q212" s="117">
        <f t="shared" si="49"/>
        <v>0</v>
      </c>
      <c r="R212" s="117">
        <f t="shared" si="48"/>
        <v>0</v>
      </c>
      <c r="S212" s="104" t="str">
        <f t="shared" si="46"/>
        <v>NO</v>
      </c>
    </row>
    <row r="213" spans="1:19" x14ac:dyDescent="0.25">
      <c r="A213" s="221">
        <f t="shared" si="47"/>
        <v>45501</v>
      </c>
      <c r="B213" s="130" t="str">
        <f t="shared" si="38"/>
        <v/>
      </c>
      <c r="C213" s="217">
        <f t="shared" si="39"/>
        <v>0</v>
      </c>
      <c r="D213" s="217">
        <f t="shared" si="40"/>
        <v>0</v>
      </c>
      <c r="E213" s="218">
        <f>SUMIF(Consolidado!$A$6:$A$380,'TOTALES DIARIOS'!A213,Consolidado!$E$6:$E$380)</f>
        <v>0</v>
      </c>
      <c r="F213" s="218">
        <f>SUMIF(Consolidado!$A$6:$A$380,'TOTALES DIARIOS'!A213,Consolidado!$F$6:$F$380)</f>
        <v>0</v>
      </c>
      <c r="G213" s="218">
        <f>SUMIF(Consolidado!$A$6:$A$380,'TOTALES DIARIOS'!A213,Consolidado!$G$6:$G$380)</f>
        <v>0</v>
      </c>
      <c r="H213" s="219">
        <f t="shared" si="41"/>
        <v>0</v>
      </c>
      <c r="I213" s="99">
        <f t="shared" si="42"/>
        <v>0</v>
      </c>
      <c r="J213" s="99">
        <f t="shared" si="43"/>
        <v>0</v>
      </c>
      <c r="K213" s="113">
        <f t="shared" si="44"/>
        <v>2024</v>
      </c>
      <c r="L213" s="113">
        <f t="shared" si="45"/>
        <v>7</v>
      </c>
      <c r="M213" s="115">
        <f t="array" ref="M213">MIN(IF(Consolidado!$A$6:$A$1000='TOTALES DIARIOS'!A213,IF(Consolidado!$C$6:$C$1000&gt;TIMEVALUE("07:00"),Consolidado!$C$6:$C$1000,1)))</f>
        <v>0</v>
      </c>
      <c r="N213" s="115">
        <f t="array" ref="N213">MIN(IF(Consolidado!$A$6:$A$1000='TOTALES DIARIOS'!A213,IF(Consolidado!$C$6:$C$1000&lt;=M213,Consolidado!$C$6:$C$1000,1)))</f>
        <v>0</v>
      </c>
      <c r="O213" s="115">
        <f t="array" ref="O213">MAX(IF(Consolidado!$A$6:$A$1000='TOTALES DIARIOS'!A213,IF(Consolidado!$D$6:$D$1000&gt;=M213,Consolidado!$D$6:$D$1000,0)))</f>
        <v>0</v>
      </c>
      <c r="P213" s="118">
        <f t="array" ref="P213">MAX(IF(Consolidado!$A$6:$A$1000='TOTALES DIARIOS'!A213,IF(Consolidado!$D$6:$D$1000&lt;=M213,Consolidado!$D$6:$D$1000,0)))</f>
        <v>0</v>
      </c>
      <c r="Q213" s="117">
        <f t="shared" si="49"/>
        <v>0</v>
      </c>
      <c r="R213" s="117">
        <f t="shared" si="48"/>
        <v>0</v>
      </c>
      <c r="S213" s="104" t="str">
        <f t="shared" si="46"/>
        <v>NO</v>
      </c>
    </row>
    <row r="214" spans="1:19" x14ac:dyDescent="0.25">
      <c r="A214" s="221">
        <f t="shared" si="47"/>
        <v>45502</v>
      </c>
      <c r="B214" s="130" t="str">
        <f t="shared" si="38"/>
        <v/>
      </c>
      <c r="C214" s="217">
        <f t="shared" si="39"/>
        <v>0</v>
      </c>
      <c r="D214" s="217">
        <f t="shared" si="40"/>
        <v>0</v>
      </c>
      <c r="E214" s="218">
        <f>SUMIF(Consolidado!$A$6:$A$380,'TOTALES DIARIOS'!A214,Consolidado!$E$6:$E$380)</f>
        <v>0</v>
      </c>
      <c r="F214" s="218">
        <f>SUMIF(Consolidado!$A$6:$A$380,'TOTALES DIARIOS'!A214,Consolidado!$F$6:$F$380)</f>
        <v>0</v>
      </c>
      <c r="G214" s="218">
        <f>SUMIF(Consolidado!$A$6:$A$380,'TOTALES DIARIOS'!A214,Consolidado!$G$6:$G$380)</f>
        <v>0</v>
      </c>
      <c r="H214" s="219">
        <f t="shared" si="41"/>
        <v>0</v>
      </c>
      <c r="I214" s="99">
        <f t="shared" si="42"/>
        <v>0</v>
      </c>
      <c r="J214" s="99">
        <f t="shared" si="43"/>
        <v>0</v>
      </c>
      <c r="K214" s="113">
        <f t="shared" si="44"/>
        <v>2024</v>
      </c>
      <c r="L214" s="113">
        <f t="shared" si="45"/>
        <v>7</v>
      </c>
      <c r="M214" s="115">
        <f t="array" ref="M214">MIN(IF(Consolidado!$A$6:$A$1000='TOTALES DIARIOS'!A214,IF(Consolidado!$C$6:$C$1000&gt;TIMEVALUE("07:00"),Consolidado!$C$6:$C$1000,1)))</f>
        <v>0</v>
      </c>
      <c r="N214" s="115">
        <f t="array" ref="N214">MIN(IF(Consolidado!$A$6:$A$1000='TOTALES DIARIOS'!A214,IF(Consolidado!$C$6:$C$1000&lt;=M214,Consolidado!$C$6:$C$1000,1)))</f>
        <v>0</v>
      </c>
      <c r="O214" s="115">
        <f t="array" ref="O214">MAX(IF(Consolidado!$A$6:$A$1000='TOTALES DIARIOS'!A214,IF(Consolidado!$D$6:$D$1000&gt;=M214,Consolidado!$D$6:$D$1000,0)))</f>
        <v>0</v>
      </c>
      <c r="P214" s="118">
        <f t="array" ref="P214">MAX(IF(Consolidado!$A$6:$A$1000='TOTALES DIARIOS'!A214,IF(Consolidado!$D$6:$D$1000&lt;=M214,Consolidado!$D$6:$D$1000,0)))</f>
        <v>0</v>
      </c>
      <c r="Q214" s="117">
        <f t="shared" si="49"/>
        <v>0</v>
      </c>
      <c r="R214" s="117">
        <f t="shared" si="48"/>
        <v>0</v>
      </c>
      <c r="S214" s="104" t="str">
        <f t="shared" si="46"/>
        <v>NO</v>
      </c>
    </row>
    <row r="215" spans="1:19" x14ac:dyDescent="0.25">
      <c r="A215" s="221">
        <f t="shared" si="47"/>
        <v>45503</v>
      </c>
      <c r="B215" s="130" t="str">
        <f t="shared" si="38"/>
        <v/>
      </c>
      <c r="C215" s="217">
        <f t="shared" si="39"/>
        <v>0</v>
      </c>
      <c r="D215" s="217">
        <f t="shared" si="40"/>
        <v>0</v>
      </c>
      <c r="E215" s="218">
        <f>SUMIF(Consolidado!$A$6:$A$380,'TOTALES DIARIOS'!A215,Consolidado!$E$6:$E$380)</f>
        <v>0</v>
      </c>
      <c r="F215" s="218">
        <f>SUMIF(Consolidado!$A$6:$A$380,'TOTALES DIARIOS'!A215,Consolidado!$F$6:$F$380)</f>
        <v>0</v>
      </c>
      <c r="G215" s="218">
        <f>SUMIF(Consolidado!$A$6:$A$380,'TOTALES DIARIOS'!A215,Consolidado!$G$6:$G$380)</f>
        <v>0</v>
      </c>
      <c r="H215" s="219">
        <f t="shared" si="41"/>
        <v>0</v>
      </c>
      <c r="I215" s="99">
        <f t="shared" si="42"/>
        <v>0</v>
      </c>
      <c r="J215" s="99">
        <f t="shared" si="43"/>
        <v>0</v>
      </c>
      <c r="K215" s="113">
        <f t="shared" si="44"/>
        <v>2024</v>
      </c>
      <c r="L215" s="113">
        <f t="shared" si="45"/>
        <v>7</v>
      </c>
      <c r="M215" s="115">
        <f t="array" ref="M215">MIN(IF(Consolidado!$A$6:$A$1000='TOTALES DIARIOS'!A215,IF(Consolidado!$C$6:$C$1000&gt;TIMEVALUE("07:00"),Consolidado!$C$6:$C$1000,1)))</f>
        <v>0</v>
      </c>
      <c r="N215" s="115">
        <f t="array" ref="N215">MIN(IF(Consolidado!$A$6:$A$1000='TOTALES DIARIOS'!A215,IF(Consolidado!$C$6:$C$1000&lt;=M215,Consolidado!$C$6:$C$1000,1)))</f>
        <v>0</v>
      </c>
      <c r="O215" s="115">
        <f t="array" ref="O215">MAX(IF(Consolidado!$A$6:$A$1000='TOTALES DIARIOS'!A215,IF(Consolidado!$D$6:$D$1000&gt;=M215,Consolidado!$D$6:$D$1000,0)))</f>
        <v>0</v>
      </c>
      <c r="P215" s="118">
        <f t="array" ref="P215">MAX(IF(Consolidado!$A$6:$A$1000='TOTALES DIARIOS'!A215,IF(Consolidado!$D$6:$D$1000&lt;=M215,Consolidado!$D$6:$D$1000,0)))</f>
        <v>0</v>
      </c>
      <c r="Q215" s="117">
        <f t="shared" si="49"/>
        <v>0</v>
      </c>
      <c r="R215" s="117">
        <f t="shared" si="48"/>
        <v>0</v>
      </c>
      <c r="S215" s="104" t="str">
        <f t="shared" si="46"/>
        <v>NO</v>
      </c>
    </row>
    <row r="216" spans="1:19" x14ac:dyDescent="0.25">
      <c r="A216" s="221">
        <f t="shared" si="47"/>
        <v>45504</v>
      </c>
      <c r="B216" s="130" t="str">
        <f t="shared" si="38"/>
        <v/>
      </c>
      <c r="C216" s="217">
        <f t="shared" si="39"/>
        <v>0</v>
      </c>
      <c r="D216" s="217">
        <f t="shared" si="40"/>
        <v>0</v>
      </c>
      <c r="E216" s="218">
        <f>SUMIF(Consolidado!$A$6:$A$380,'TOTALES DIARIOS'!A216,Consolidado!$E$6:$E$380)</f>
        <v>0</v>
      </c>
      <c r="F216" s="218">
        <f>SUMIF(Consolidado!$A$6:$A$380,'TOTALES DIARIOS'!A216,Consolidado!$F$6:$F$380)</f>
        <v>0</v>
      </c>
      <c r="G216" s="218">
        <f>SUMIF(Consolidado!$A$6:$A$380,'TOTALES DIARIOS'!A216,Consolidado!$G$6:$G$380)</f>
        <v>0</v>
      </c>
      <c r="H216" s="219">
        <f t="shared" si="41"/>
        <v>0</v>
      </c>
      <c r="I216" s="99">
        <f t="shared" si="42"/>
        <v>0</v>
      </c>
      <c r="J216" s="99">
        <f t="shared" si="43"/>
        <v>0</v>
      </c>
      <c r="K216" s="113">
        <f t="shared" si="44"/>
        <v>2024</v>
      </c>
      <c r="L216" s="113">
        <f t="shared" si="45"/>
        <v>7</v>
      </c>
      <c r="M216" s="115">
        <f t="array" ref="M216">MIN(IF(Consolidado!$A$6:$A$1000='TOTALES DIARIOS'!A216,IF(Consolidado!$C$6:$C$1000&gt;TIMEVALUE("07:00"),Consolidado!$C$6:$C$1000,1)))</f>
        <v>0</v>
      </c>
      <c r="N216" s="115">
        <f t="array" ref="N216">MIN(IF(Consolidado!$A$6:$A$1000='TOTALES DIARIOS'!A216,IF(Consolidado!$C$6:$C$1000&lt;=M216,Consolidado!$C$6:$C$1000,1)))</f>
        <v>0</v>
      </c>
      <c r="O216" s="115">
        <f t="array" ref="O216">MAX(IF(Consolidado!$A$6:$A$1000='TOTALES DIARIOS'!A216,IF(Consolidado!$D$6:$D$1000&gt;=M216,Consolidado!$D$6:$D$1000,0)))</f>
        <v>0</v>
      </c>
      <c r="P216" s="118">
        <f t="array" ref="P216">MAX(IF(Consolidado!$A$6:$A$1000='TOTALES DIARIOS'!A216,IF(Consolidado!$D$6:$D$1000&lt;=M216,Consolidado!$D$6:$D$1000,0)))</f>
        <v>0</v>
      </c>
      <c r="Q216" s="117">
        <f t="shared" si="49"/>
        <v>0</v>
      </c>
      <c r="R216" s="117">
        <f t="shared" si="48"/>
        <v>0</v>
      </c>
      <c r="S216" s="104" t="str">
        <f t="shared" si="46"/>
        <v>NO</v>
      </c>
    </row>
    <row r="217" spans="1:19" x14ac:dyDescent="0.25">
      <c r="A217" s="221">
        <f t="shared" si="47"/>
        <v>45505</v>
      </c>
      <c r="B217" s="130" t="str">
        <f t="shared" si="38"/>
        <v/>
      </c>
      <c r="C217" s="217">
        <f t="shared" si="39"/>
        <v>0</v>
      </c>
      <c r="D217" s="217">
        <f t="shared" si="40"/>
        <v>0</v>
      </c>
      <c r="E217" s="218">
        <f>SUMIF(Consolidado!$A$6:$A$380,'TOTALES DIARIOS'!A217,Consolidado!$E$6:$E$380)</f>
        <v>0</v>
      </c>
      <c r="F217" s="218">
        <f>SUMIF(Consolidado!$A$6:$A$380,'TOTALES DIARIOS'!A217,Consolidado!$F$6:$F$380)</f>
        <v>0</v>
      </c>
      <c r="G217" s="218">
        <f>SUMIF(Consolidado!$A$6:$A$380,'TOTALES DIARIOS'!A217,Consolidado!$G$6:$G$380)</f>
        <v>0</v>
      </c>
      <c r="H217" s="219">
        <f t="shared" si="41"/>
        <v>0</v>
      </c>
      <c r="I217" s="99">
        <f t="shared" si="42"/>
        <v>0</v>
      </c>
      <c r="J217" s="99">
        <f t="shared" si="43"/>
        <v>0</v>
      </c>
      <c r="K217" s="113">
        <f t="shared" si="44"/>
        <v>2024</v>
      </c>
      <c r="L217" s="113">
        <f t="shared" si="45"/>
        <v>8</v>
      </c>
      <c r="M217" s="115">
        <f t="array" ref="M217">MIN(IF(Consolidado!$A$6:$A$1000='TOTALES DIARIOS'!A217,IF(Consolidado!$C$6:$C$1000&gt;TIMEVALUE("07:00"),Consolidado!$C$6:$C$1000,1)))</f>
        <v>0</v>
      </c>
      <c r="N217" s="115">
        <f t="array" ref="N217">MIN(IF(Consolidado!$A$6:$A$1000='TOTALES DIARIOS'!A217,IF(Consolidado!$C$6:$C$1000&lt;=M217,Consolidado!$C$6:$C$1000,1)))</f>
        <v>0</v>
      </c>
      <c r="O217" s="115">
        <f t="array" ref="O217">MAX(IF(Consolidado!$A$6:$A$1000='TOTALES DIARIOS'!A217,IF(Consolidado!$D$6:$D$1000&gt;=M217,Consolidado!$D$6:$D$1000,0)))</f>
        <v>0</v>
      </c>
      <c r="P217" s="118">
        <f t="array" ref="P217">MAX(IF(Consolidado!$A$6:$A$1000='TOTALES DIARIOS'!A217,IF(Consolidado!$D$6:$D$1000&lt;=M217,Consolidado!$D$6:$D$1000,0)))</f>
        <v>0</v>
      </c>
      <c r="Q217" s="117">
        <f t="shared" si="49"/>
        <v>0</v>
      </c>
      <c r="R217" s="117">
        <f t="shared" si="48"/>
        <v>0</v>
      </c>
      <c r="S217" s="104" t="str">
        <f t="shared" si="46"/>
        <v>NO</v>
      </c>
    </row>
    <row r="218" spans="1:19" x14ac:dyDescent="0.25">
      <c r="A218" s="221">
        <f t="shared" si="47"/>
        <v>45506</v>
      </c>
      <c r="B218" s="130" t="str">
        <f t="shared" si="38"/>
        <v/>
      </c>
      <c r="C218" s="217">
        <f t="shared" si="39"/>
        <v>0</v>
      </c>
      <c r="D218" s="217">
        <f t="shared" si="40"/>
        <v>0</v>
      </c>
      <c r="E218" s="218">
        <f>SUMIF(Consolidado!$A$6:$A$380,'TOTALES DIARIOS'!A218,Consolidado!$E$6:$E$380)</f>
        <v>0</v>
      </c>
      <c r="F218" s="218">
        <f>SUMIF(Consolidado!$A$6:$A$380,'TOTALES DIARIOS'!A218,Consolidado!$F$6:$F$380)</f>
        <v>0</v>
      </c>
      <c r="G218" s="218">
        <f>SUMIF(Consolidado!$A$6:$A$380,'TOTALES DIARIOS'!A218,Consolidado!$G$6:$G$380)</f>
        <v>0</v>
      </c>
      <c r="H218" s="219">
        <f t="shared" si="41"/>
        <v>0</v>
      </c>
      <c r="I218" s="99">
        <f t="shared" si="42"/>
        <v>0</v>
      </c>
      <c r="J218" s="99">
        <f t="shared" si="43"/>
        <v>0</v>
      </c>
      <c r="K218" s="113">
        <f t="shared" si="44"/>
        <v>2024</v>
      </c>
      <c r="L218" s="113">
        <f t="shared" si="45"/>
        <v>8</v>
      </c>
      <c r="M218" s="115">
        <f t="array" ref="M218">MIN(IF(Consolidado!$A$6:$A$1000='TOTALES DIARIOS'!A218,IF(Consolidado!$C$6:$C$1000&gt;TIMEVALUE("07:00"),Consolidado!$C$6:$C$1000,1)))</f>
        <v>0</v>
      </c>
      <c r="N218" s="115">
        <f t="array" ref="N218">MIN(IF(Consolidado!$A$6:$A$1000='TOTALES DIARIOS'!A218,IF(Consolidado!$C$6:$C$1000&lt;=M218,Consolidado!$C$6:$C$1000,1)))</f>
        <v>0</v>
      </c>
      <c r="O218" s="115">
        <f t="array" ref="O218">MAX(IF(Consolidado!$A$6:$A$1000='TOTALES DIARIOS'!A218,IF(Consolidado!$D$6:$D$1000&gt;=M218,Consolidado!$D$6:$D$1000,0)))</f>
        <v>0</v>
      </c>
      <c r="P218" s="118">
        <f t="array" ref="P218">MAX(IF(Consolidado!$A$6:$A$1000='TOTALES DIARIOS'!A218,IF(Consolidado!$D$6:$D$1000&lt;=M218,Consolidado!$D$6:$D$1000,0)))</f>
        <v>0</v>
      </c>
      <c r="Q218" s="117">
        <f t="shared" si="49"/>
        <v>0</v>
      </c>
      <c r="R218" s="117">
        <f t="shared" si="48"/>
        <v>0</v>
      </c>
      <c r="S218" s="104" t="str">
        <f t="shared" si="46"/>
        <v>NO</v>
      </c>
    </row>
    <row r="219" spans="1:19" x14ac:dyDescent="0.25">
      <c r="A219" s="221">
        <f t="shared" si="47"/>
        <v>45507</v>
      </c>
      <c r="B219" s="130" t="str">
        <f t="shared" si="38"/>
        <v/>
      </c>
      <c r="C219" s="217">
        <f t="shared" si="39"/>
        <v>0</v>
      </c>
      <c r="D219" s="217">
        <f t="shared" si="40"/>
        <v>0</v>
      </c>
      <c r="E219" s="218">
        <f>SUMIF(Consolidado!$A$6:$A$380,'TOTALES DIARIOS'!A219,Consolidado!$E$6:$E$380)</f>
        <v>0</v>
      </c>
      <c r="F219" s="218">
        <f>SUMIF(Consolidado!$A$6:$A$380,'TOTALES DIARIOS'!A219,Consolidado!$F$6:$F$380)</f>
        <v>0</v>
      </c>
      <c r="G219" s="218">
        <f>SUMIF(Consolidado!$A$6:$A$380,'TOTALES DIARIOS'!A219,Consolidado!$G$6:$G$380)</f>
        <v>0</v>
      </c>
      <c r="H219" s="219">
        <f t="shared" si="41"/>
        <v>0</v>
      </c>
      <c r="I219" s="99">
        <f t="shared" si="42"/>
        <v>0</v>
      </c>
      <c r="J219" s="99">
        <f t="shared" si="43"/>
        <v>0</v>
      </c>
      <c r="K219" s="113">
        <f t="shared" si="44"/>
        <v>2024</v>
      </c>
      <c r="L219" s="113">
        <f t="shared" si="45"/>
        <v>8</v>
      </c>
      <c r="M219" s="115">
        <f t="array" ref="M219">MIN(IF(Consolidado!$A$6:$A$1000='TOTALES DIARIOS'!A219,IF(Consolidado!$C$6:$C$1000&gt;TIMEVALUE("07:00"),Consolidado!$C$6:$C$1000,1)))</f>
        <v>0</v>
      </c>
      <c r="N219" s="115">
        <f t="array" ref="N219">MIN(IF(Consolidado!$A$6:$A$1000='TOTALES DIARIOS'!A219,IF(Consolidado!$C$6:$C$1000&lt;=M219,Consolidado!$C$6:$C$1000,1)))</f>
        <v>0</v>
      </c>
      <c r="O219" s="115">
        <f t="array" ref="O219">MAX(IF(Consolidado!$A$6:$A$1000='TOTALES DIARIOS'!A219,IF(Consolidado!$D$6:$D$1000&gt;=M219,Consolidado!$D$6:$D$1000,0)))</f>
        <v>0</v>
      </c>
      <c r="P219" s="118">
        <f t="array" ref="P219">MAX(IF(Consolidado!$A$6:$A$1000='TOTALES DIARIOS'!A219,IF(Consolidado!$D$6:$D$1000&lt;=M219,Consolidado!$D$6:$D$1000,0)))</f>
        <v>0</v>
      </c>
      <c r="Q219" s="117">
        <f t="shared" si="49"/>
        <v>0</v>
      </c>
      <c r="R219" s="117">
        <f t="shared" si="48"/>
        <v>0</v>
      </c>
      <c r="S219" s="104" t="str">
        <f t="shared" si="46"/>
        <v>NO</v>
      </c>
    </row>
    <row r="220" spans="1:19" x14ac:dyDescent="0.25">
      <c r="A220" s="221">
        <f t="shared" si="47"/>
        <v>45508</v>
      </c>
      <c r="B220" s="130" t="str">
        <f t="shared" si="38"/>
        <v/>
      </c>
      <c r="C220" s="217">
        <f t="shared" si="39"/>
        <v>0</v>
      </c>
      <c r="D220" s="217">
        <f t="shared" si="40"/>
        <v>0</v>
      </c>
      <c r="E220" s="218">
        <f>SUMIF(Consolidado!$A$6:$A$380,'TOTALES DIARIOS'!A220,Consolidado!$E$6:$E$380)</f>
        <v>0</v>
      </c>
      <c r="F220" s="218">
        <f>SUMIF(Consolidado!$A$6:$A$380,'TOTALES DIARIOS'!A220,Consolidado!$F$6:$F$380)</f>
        <v>0</v>
      </c>
      <c r="G220" s="218">
        <f>SUMIF(Consolidado!$A$6:$A$380,'TOTALES DIARIOS'!A220,Consolidado!$G$6:$G$380)</f>
        <v>0</v>
      </c>
      <c r="H220" s="219">
        <f t="shared" si="41"/>
        <v>0</v>
      </c>
      <c r="I220" s="99">
        <f t="shared" si="42"/>
        <v>0</v>
      </c>
      <c r="J220" s="99">
        <f t="shared" si="43"/>
        <v>0</v>
      </c>
      <c r="K220" s="113">
        <f t="shared" si="44"/>
        <v>2024</v>
      </c>
      <c r="L220" s="113">
        <f t="shared" si="45"/>
        <v>8</v>
      </c>
      <c r="M220" s="115">
        <f t="array" ref="M220">MIN(IF(Consolidado!$A$6:$A$1000='TOTALES DIARIOS'!A220,IF(Consolidado!$C$6:$C$1000&gt;TIMEVALUE("07:00"),Consolidado!$C$6:$C$1000,1)))</f>
        <v>0</v>
      </c>
      <c r="N220" s="115">
        <f t="array" ref="N220">MIN(IF(Consolidado!$A$6:$A$1000='TOTALES DIARIOS'!A220,IF(Consolidado!$C$6:$C$1000&lt;=M220,Consolidado!$C$6:$C$1000,1)))</f>
        <v>0</v>
      </c>
      <c r="O220" s="115">
        <f t="array" ref="O220">MAX(IF(Consolidado!$A$6:$A$1000='TOTALES DIARIOS'!A220,IF(Consolidado!$D$6:$D$1000&gt;=M220,Consolidado!$D$6:$D$1000,0)))</f>
        <v>0</v>
      </c>
      <c r="P220" s="118">
        <f t="array" ref="P220">MAX(IF(Consolidado!$A$6:$A$1000='TOTALES DIARIOS'!A220,IF(Consolidado!$D$6:$D$1000&lt;=M220,Consolidado!$D$6:$D$1000,0)))</f>
        <v>0</v>
      </c>
      <c r="Q220" s="117">
        <f t="shared" si="49"/>
        <v>0</v>
      </c>
      <c r="R220" s="117">
        <f t="shared" si="48"/>
        <v>0</v>
      </c>
      <c r="S220" s="104" t="str">
        <f t="shared" si="46"/>
        <v>NO</v>
      </c>
    </row>
    <row r="221" spans="1:19" x14ac:dyDescent="0.25">
      <c r="A221" s="221">
        <f t="shared" si="47"/>
        <v>45509</v>
      </c>
      <c r="B221" s="130" t="str">
        <f t="shared" si="38"/>
        <v/>
      </c>
      <c r="C221" s="217">
        <f t="shared" si="39"/>
        <v>0</v>
      </c>
      <c r="D221" s="217">
        <f t="shared" si="40"/>
        <v>0</v>
      </c>
      <c r="E221" s="218">
        <f>SUMIF(Consolidado!$A$6:$A$380,'TOTALES DIARIOS'!A221,Consolidado!$E$6:$E$380)</f>
        <v>0</v>
      </c>
      <c r="F221" s="218">
        <f>SUMIF(Consolidado!$A$6:$A$380,'TOTALES DIARIOS'!A221,Consolidado!$F$6:$F$380)</f>
        <v>0</v>
      </c>
      <c r="G221" s="218">
        <f>SUMIF(Consolidado!$A$6:$A$380,'TOTALES DIARIOS'!A221,Consolidado!$G$6:$G$380)</f>
        <v>0</v>
      </c>
      <c r="H221" s="219">
        <f t="shared" si="41"/>
        <v>0</v>
      </c>
      <c r="I221" s="99">
        <f t="shared" si="42"/>
        <v>0</v>
      </c>
      <c r="J221" s="99">
        <f t="shared" si="43"/>
        <v>0</v>
      </c>
      <c r="K221" s="113">
        <f t="shared" si="44"/>
        <v>2024</v>
      </c>
      <c r="L221" s="113">
        <f t="shared" si="45"/>
        <v>8</v>
      </c>
      <c r="M221" s="115">
        <f t="array" ref="M221">MIN(IF(Consolidado!$A$6:$A$1000='TOTALES DIARIOS'!A221,IF(Consolidado!$C$6:$C$1000&gt;TIMEVALUE("07:00"),Consolidado!$C$6:$C$1000,1)))</f>
        <v>0</v>
      </c>
      <c r="N221" s="115">
        <f t="array" ref="N221">MIN(IF(Consolidado!$A$6:$A$1000='TOTALES DIARIOS'!A221,IF(Consolidado!$C$6:$C$1000&lt;=M221,Consolidado!$C$6:$C$1000,1)))</f>
        <v>0</v>
      </c>
      <c r="O221" s="115">
        <f t="array" ref="O221">MAX(IF(Consolidado!$A$6:$A$1000='TOTALES DIARIOS'!A221,IF(Consolidado!$D$6:$D$1000&gt;=M221,Consolidado!$D$6:$D$1000,0)))</f>
        <v>0</v>
      </c>
      <c r="P221" s="118">
        <f t="array" ref="P221">MAX(IF(Consolidado!$A$6:$A$1000='TOTALES DIARIOS'!A221,IF(Consolidado!$D$6:$D$1000&lt;=M221,Consolidado!$D$6:$D$1000,0)))</f>
        <v>0</v>
      </c>
      <c r="Q221" s="117">
        <f t="shared" si="49"/>
        <v>0</v>
      </c>
      <c r="R221" s="117">
        <f t="shared" si="48"/>
        <v>0</v>
      </c>
      <c r="S221" s="104" t="str">
        <f t="shared" si="46"/>
        <v>NO</v>
      </c>
    </row>
    <row r="222" spans="1:19" x14ac:dyDescent="0.25">
      <c r="A222" s="221">
        <f t="shared" si="47"/>
        <v>45510</v>
      </c>
      <c r="B222" s="130" t="str">
        <f t="shared" si="38"/>
        <v/>
      </c>
      <c r="C222" s="217">
        <f t="shared" si="39"/>
        <v>0</v>
      </c>
      <c r="D222" s="217">
        <f t="shared" si="40"/>
        <v>0</v>
      </c>
      <c r="E222" s="218">
        <f>SUMIF(Consolidado!$A$6:$A$380,'TOTALES DIARIOS'!A222,Consolidado!$E$6:$E$380)</f>
        <v>0</v>
      </c>
      <c r="F222" s="218">
        <f>SUMIF(Consolidado!$A$6:$A$380,'TOTALES DIARIOS'!A222,Consolidado!$F$6:$F$380)</f>
        <v>0</v>
      </c>
      <c r="G222" s="218">
        <f>SUMIF(Consolidado!$A$6:$A$380,'TOTALES DIARIOS'!A222,Consolidado!$G$6:$G$380)</f>
        <v>0</v>
      </c>
      <c r="H222" s="219">
        <f t="shared" si="41"/>
        <v>0</v>
      </c>
      <c r="I222" s="99">
        <f t="shared" si="42"/>
        <v>0</v>
      </c>
      <c r="J222" s="99">
        <f t="shared" si="43"/>
        <v>0</v>
      </c>
      <c r="K222" s="113">
        <f t="shared" si="44"/>
        <v>2024</v>
      </c>
      <c r="L222" s="113">
        <f t="shared" si="45"/>
        <v>8</v>
      </c>
      <c r="M222" s="115">
        <f t="array" ref="M222">MIN(IF(Consolidado!$A$6:$A$1000='TOTALES DIARIOS'!A222,IF(Consolidado!$C$6:$C$1000&gt;TIMEVALUE("07:00"),Consolidado!$C$6:$C$1000,1)))</f>
        <v>0</v>
      </c>
      <c r="N222" s="115">
        <f t="array" ref="N222">MIN(IF(Consolidado!$A$6:$A$1000='TOTALES DIARIOS'!A222,IF(Consolidado!$C$6:$C$1000&lt;=M222,Consolidado!$C$6:$C$1000,1)))</f>
        <v>0</v>
      </c>
      <c r="O222" s="115">
        <f t="array" ref="O222">MAX(IF(Consolidado!$A$6:$A$1000='TOTALES DIARIOS'!A222,IF(Consolidado!$D$6:$D$1000&gt;=M222,Consolidado!$D$6:$D$1000,0)))</f>
        <v>0</v>
      </c>
      <c r="P222" s="118">
        <f t="array" ref="P222">MAX(IF(Consolidado!$A$6:$A$1000='TOTALES DIARIOS'!A222,IF(Consolidado!$D$6:$D$1000&lt;=M222,Consolidado!$D$6:$D$1000,0)))</f>
        <v>0</v>
      </c>
      <c r="Q222" s="117">
        <f t="shared" si="49"/>
        <v>0</v>
      </c>
      <c r="R222" s="117">
        <f t="shared" si="48"/>
        <v>0</v>
      </c>
      <c r="S222" s="104" t="str">
        <f t="shared" si="46"/>
        <v>NO</v>
      </c>
    </row>
    <row r="223" spans="1:19" x14ac:dyDescent="0.25">
      <c r="A223" s="221">
        <f t="shared" si="47"/>
        <v>45511</v>
      </c>
      <c r="B223" s="130" t="str">
        <f t="shared" si="38"/>
        <v/>
      </c>
      <c r="C223" s="217">
        <f t="shared" si="39"/>
        <v>0</v>
      </c>
      <c r="D223" s="217">
        <f t="shared" si="40"/>
        <v>0</v>
      </c>
      <c r="E223" s="218">
        <f>SUMIF(Consolidado!$A$6:$A$380,'TOTALES DIARIOS'!A223,Consolidado!$E$6:$E$380)</f>
        <v>0</v>
      </c>
      <c r="F223" s="218">
        <f>SUMIF(Consolidado!$A$6:$A$380,'TOTALES DIARIOS'!A223,Consolidado!$F$6:$F$380)</f>
        <v>0</v>
      </c>
      <c r="G223" s="218">
        <f>SUMIF(Consolidado!$A$6:$A$380,'TOTALES DIARIOS'!A223,Consolidado!$G$6:$G$380)</f>
        <v>0</v>
      </c>
      <c r="H223" s="219">
        <f t="shared" si="41"/>
        <v>0</v>
      </c>
      <c r="I223" s="99">
        <f t="shared" si="42"/>
        <v>0</v>
      </c>
      <c r="J223" s="99">
        <f t="shared" si="43"/>
        <v>0</v>
      </c>
      <c r="K223" s="113">
        <f t="shared" si="44"/>
        <v>2024</v>
      </c>
      <c r="L223" s="113">
        <f t="shared" si="45"/>
        <v>8</v>
      </c>
      <c r="M223" s="115">
        <f t="array" ref="M223">MIN(IF(Consolidado!$A$6:$A$1000='TOTALES DIARIOS'!A223,IF(Consolidado!$C$6:$C$1000&gt;TIMEVALUE("07:00"),Consolidado!$C$6:$C$1000,1)))</f>
        <v>0</v>
      </c>
      <c r="N223" s="115">
        <f t="array" ref="N223">MIN(IF(Consolidado!$A$6:$A$1000='TOTALES DIARIOS'!A223,IF(Consolidado!$C$6:$C$1000&lt;=M223,Consolidado!$C$6:$C$1000,1)))</f>
        <v>0</v>
      </c>
      <c r="O223" s="115">
        <f t="array" ref="O223">MAX(IF(Consolidado!$A$6:$A$1000='TOTALES DIARIOS'!A223,IF(Consolidado!$D$6:$D$1000&gt;=M223,Consolidado!$D$6:$D$1000,0)))</f>
        <v>0</v>
      </c>
      <c r="P223" s="118">
        <f t="array" ref="P223">MAX(IF(Consolidado!$A$6:$A$1000='TOTALES DIARIOS'!A223,IF(Consolidado!$D$6:$D$1000&lt;=M223,Consolidado!$D$6:$D$1000,0)))</f>
        <v>0</v>
      </c>
      <c r="Q223" s="117">
        <f t="shared" si="49"/>
        <v>0</v>
      </c>
      <c r="R223" s="117">
        <f t="shared" si="48"/>
        <v>0</v>
      </c>
      <c r="S223" s="104" t="str">
        <f t="shared" si="46"/>
        <v>NO</v>
      </c>
    </row>
    <row r="224" spans="1:19" x14ac:dyDescent="0.25">
      <c r="A224" s="221">
        <f t="shared" si="47"/>
        <v>45512</v>
      </c>
      <c r="B224" s="130" t="str">
        <f t="shared" si="38"/>
        <v/>
      </c>
      <c r="C224" s="217">
        <f t="shared" si="39"/>
        <v>0</v>
      </c>
      <c r="D224" s="217">
        <f t="shared" si="40"/>
        <v>0</v>
      </c>
      <c r="E224" s="218">
        <f>SUMIF(Consolidado!$A$6:$A$380,'TOTALES DIARIOS'!A224,Consolidado!$E$6:$E$380)</f>
        <v>0</v>
      </c>
      <c r="F224" s="218">
        <f>SUMIF(Consolidado!$A$6:$A$380,'TOTALES DIARIOS'!A224,Consolidado!$F$6:$F$380)</f>
        <v>0</v>
      </c>
      <c r="G224" s="218">
        <f>SUMIF(Consolidado!$A$6:$A$380,'TOTALES DIARIOS'!A224,Consolidado!$G$6:$G$380)</f>
        <v>0</v>
      </c>
      <c r="H224" s="219">
        <f t="shared" si="41"/>
        <v>0</v>
      </c>
      <c r="I224" s="99">
        <f t="shared" si="42"/>
        <v>0</v>
      </c>
      <c r="J224" s="99">
        <f t="shared" si="43"/>
        <v>0</v>
      </c>
      <c r="K224" s="113">
        <f t="shared" si="44"/>
        <v>2024</v>
      </c>
      <c r="L224" s="113">
        <f t="shared" si="45"/>
        <v>8</v>
      </c>
      <c r="M224" s="115">
        <f t="array" ref="M224">MIN(IF(Consolidado!$A$6:$A$1000='TOTALES DIARIOS'!A224,IF(Consolidado!$C$6:$C$1000&gt;TIMEVALUE("07:00"),Consolidado!$C$6:$C$1000,1)))</f>
        <v>0</v>
      </c>
      <c r="N224" s="115">
        <f t="array" ref="N224">MIN(IF(Consolidado!$A$6:$A$1000='TOTALES DIARIOS'!A224,IF(Consolidado!$C$6:$C$1000&lt;=M224,Consolidado!$C$6:$C$1000,1)))</f>
        <v>0</v>
      </c>
      <c r="O224" s="115">
        <f t="array" ref="O224">MAX(IF(Consolidado!$A$6:$A$1000='TOTALES DIARIOS'!A224,IF(Consolidado!$D$6:$D$1000&gt;=M224,Consolidado!$D$6:$D$1000,0)))</f>
        <v>0</v>
      </c>
      <c r="P224" s="118">
        <f t="array" ref="P224">MAX(IF(Consolidado!$A$6:$A$1000='TOTALES DIARIOS'!A224,IF(Consolidado!$D$6:$D$1000&lt;=M224,Consolidado!$D$6:$D$1000,0)))</f>
        <v>0</v>
      </c>
      <c r="Q224" s="117">
        <f t="shared" si="49"/>
        <v>0</v>
      </c>
      <c r="R224" s="117">
        <f t="shared" si="48"/>
        <v>0</v>
      </c>
      <c r="S224" s="104" t="str">
        <f t="shared" si="46"/>
        <v>NO</v>
      </c>
    </row>
    <row r="225" spans="1:19" x14ac:dyDescent="0.25">
      <c r="A225" s="221">
        <f t="shared" si="47"/>
        <v>45513</v>
      </c>
      <c r="B225" s="130" t="str">
        <f t="shared" si="38"/>
        <v/>
      </c>
      <c r="C225" s="217">
        <f t="shared" si="39"/>
        <v>0</v>
      </c>
      <c r="D225" s="217">
        <f t="shared" si="40"/>
        <v>0</v>
      </c>
      <c r="E225" s="218">
        <f>SUMIF(Consolidado!$A$6:$A$380,'TOTALES DIARIOS'!A225,Consolidado!$E$6:$E$380)</f>
        <v>0</v>
      </c>
      <c r="F225" s="218">
        <f>SUMIF(Consolidado!$A$6:$A$380,'TOTALES DIARIOS'!A225,Consolidado!$F$6:$F$380)</f>
        <v>0</v>
      </c>
      <c r="G225" s="218">
        <f>SUMIF(Consolidado!$A$6:$A$380,'TOTALES DIARIOS'!A225,Consolidado!$G$6:$G$380)</f>
        <v>0</v>
      </c>
      <c r="H225" s="219">
        <f t="shared" si="41"/>
        <v>0</v>
      </c>
      <c r="I225" s="99">
        <f t="shared" si="42"/>
        <v>0</v>
      </c>
      <c r="J225" s="99">
        <f t="shared" si="43"/>
        <v>0</v>
      </c>
      <c r="K225" s="113">
        <f t="shared" si="44"/>
        <v>2024</v>
      </c>
      <c r="L225" s="113">
        <f t="shared" si="45"/>
        <v>8</v>
      </c>
      <c r="M225" s="115">
        <f t="array" ref="M225">MIN(IF(Consolidado!$A$6:$A$1000='TOTALES DIARIOS'!A225,IF(Consolidado!$C$6:$C$1000&gt;TIMEVALUE("07:00"),Consolidado!$C$6:$C$1000,1)))</f>
        <v>0</v>
      </c>
      <c r="N225" s="115">
        <f t="array" ref="N225">MIN(IF(Consolidado!$A$6:$A$1000='TOTALES DIARIOS'!A225,IF(Consolidado!$C$6:$C$1000&lt;=M225,Consolidado!$C$6:$C$1000,1)))</f>
        <v>0</v>
      </c>
      <c r="O225" s="115">
        <f t="array" ref="O225">MAX(IF(Consolidado!$A$6:$A$1000='TOTALES DIARIOS'!A225,IF(Consolidado!$D$6:$D$1000&gt;=M225,Consolidado!$D$6:$D$1000,0)))</f>
        <v>0</v>
      </c>
      <c r="P225" s="118">
        <f t="array" ref="P225">MAX(IF(Consolidado!$A$6:$A$1000='TOTALES DIARIOS'!A225,IF(Consolidado!$D$6:$D$1000&lt;=M225,Consolidado!$D$6:$D$1000,0)))</f>
        <v>0</v>
      </c>
      <c r="Q225" s="117">
        <f t="shared" si="49"/>
        <v>0</v>
      </c>
      <c r="R225" s="117">
        <f t="shared" si="48"/>
        <v>0</v>
      </c>
      <c r="S225" s="104" t="str">
        <f t="shared" si="46"/>
        <v>NO</v>
      </c>
    </row>
    <row r="226" spans="1:19" x14ac:dyDescent="0.25">
      <c r="A226" s="221">
        <f t="shared" si="47"/>
        <v>45514</v>
      </c>
      <c r="B226" s="130" t="str">
        <f t="shared" si="38"/>
        <v/>
      </c>
      <c r="C226" s="217">
        <f t="shared" si="39"/>
        <v>0</v>
      </c>
      <c r="D226" s="217">
        <f t="shared" si="40"/>
        <v>0</v>
      </c>
      <c r="E226" s="218">
        <f>SUMIF(Consolidado!$A$6:$A$380,'TOTALES DIARIOS'!A226,Consolidado!$E$6:$E$380)</f>
        <v>0</v>
      </c>
      <c r="F226" s="218">
        <f>SUMIF(Consolidado!$A$6:$A$380,'TOTALES DIARIOS'!A226,Consolidado!$F$6:$F$380)</f>
        <v>0</v>
      </c>
      <c r="G226" s="218">
        <f>SUMIF(Consolidado!$A$6:$A$380,'TOTALES DIARIOS'!A226,Consolidado!$G$6:$G$380)</f>
        <v>0</v>
      </c>
      <c r="H226" s="219">
        <f t="shared" si="41"/>
        <v>0</v>
      </c>
      <c r="I226" s="99">
        <f t="shared" si="42"/>
        <v>0</v>
      </c>
      <c r="J226" s="99">
        <f t="shared" si="43"/>
        <v>0</v>
      </c>
      <c r="K226" s="113">
        <f t="shared" si="44"/>
        <v>2024</v>
      </c>
      <c r="L226" s="113">
        <f t="shared" si="45"/>
        <v>8</v>
      </c>
      <c r="M226" s="115">
        <f t="array" ref="M226">MIN(IF(Consolidado!$A$6:$A$1000='TOTALES DIARIOS'!A226,IF(Consolidado!$C$6:$C$1000&gt;TIMEVALUE("07:00"),Consolidado!$C$6:$C$1000,1)))</f>
        <v>0</v>
      </c>
      <c r="N226" s="115">
        <f t="array" ref="N226">MIN(IF(Consolidado!$A$6:$A$1000='TOTALES DIARIOS'!A226,IF(Consolidado!$C$6:$C$1000&lt;=M226,Consolidado!$C$6:$C$1000,1)))</f>
        <v>0</v>
      </c>
      <c r="O226" s="115">
        <f t="array" ref="O226">MAX(IF(Consolidado!$A$6:$A$1000='TOTALES DIARIOS'!A226,IF(Consolidado!$D$6:$D$1000&gt;=M226,Consolidado!$D$6:$D$1000,0)))</f>
        <v>0</v>
      </c>
      <c r="P226" s="118">
        <f t="array" ref="P226">MAX(IF(Consolidado!$A$6:$A$1000='TOTALES DIARIOS'!A226,IF(Consolidado!$D$6:$D$1000&lt;=M226,Consolidado!$D$6:$D$1000,0)))</f>
        <v>0</v>
      </c>
      <c r="Q226" s="117">
        <f t="shared" si="49"/>
        <v>0</v>
      </c>
      <c r="R226" s="117">
        <f t="shared" si="48"/>
        <v>0</v>
      </c>
      <c r="S226" s="104" t="str">
        <f t="shared" si="46"/>
        <v>NO</v>
      </c>
    </row>
    <row r="227" spans="1:19" x14ac:dyDescent="0.25">
      <c r="A227" s="221">
        <f t="shared" si="47"/>
        <v>45515</v>
      </c>
      <c r="B227" s="130" t="str">
        <f t="shared" si="38"/>
        <v/>
      </c>
      <c r="C227" s="217">
        <f t="shared" si="39"/>
        <v>0</v>
      </c>
      <c r="D227" s="217">
        <f t="shared" si="40"/>
        <v>0</v>
      </c>
      <c r="E227" s="218">
        <f>SUMIF(Consolidado!$A$6:$A$380,'TOTALES DIARIOS'!A227,Consolidado!$E$6:$E$380)</f>
        <v>0</v>
      </c>
      <c r="F227" s="218">
        <f>SUMIF(Consolidado!$A$6:$A$380,'TOTALES DIARIOS'!A227,Consolidado!$F$6:$F$380)</f>
        <v>0</v>
      </c>
      <c r="G227" s="218">
        <f>SUMIF(Consolidado!$A$6:$A$380,'TOTALES DIARIOS'!A227,Consolidado!$G$6:$G$380)</f>
        <v>0</v>
      </c>
      <c r="H227" s="219">
        <f t="shared" si="41"/>
        <v>0</v>
      </c>
      <c r="I227" s="99">
        <f t="shared" si="42"/>
        <v>0</v>
      </c>
      <c r="J227" s="99">
        <f t="shared" si="43"/>
        <v>0</v>
      </c>
      <c r="K227" s="113">
        <f t="shared" si="44"/>
        <v>2024</v>
      </c>
      <c r="L227" s="113">
        <f t="shared" si="45"/>
        <v>8</v>
      </c>
      <c r="M227" s="115">
        <f t="array" ref="M227">MIN(IF(Consolidado!$A$6:$A$1000='TOTALES DIARIOS'!A227,IF(Consolidado!$C$6:$C$1000&gt;TIMEVALUE("07:00"),Consolidado!$C$6:$C$1000,1)))</f>
        <v>0</v>
      </c>
      <c r="N227" s="115">
        <f t="array" ref="N227">MIN(IF(Consolidado!$A$6:$A$1000='TOTALES DIARIOS'!A227,IF(Consolidado!$C$6:$C$1000&lt;=M227,Consolidado!$C$6:$C$1000,1)))</f>
        <v>0</v>
      </c>
      <c r="O227" s="115">
        <f t="array" ref="O227">MAX(IF(Consolidado!$A$6:$A$1000='TOTALES DIARIOS'!A227,IF(Consolidado!$D$6:$D$1000&gt;=M227,Consolidado!$D$6:$D$1000,0)))</f>
        <v>0</v>
      </c>
      <c r="P227" s="118">
        <f t="array" ref="P227">MAX(IF(Consolidado!$A$6:$A$1000='TOTALES DIARIOS'!A227,IF(Consolidado!$D$6:$D$1000&lt;=M227,Consolidado!$D$6:$D$1000,0)))</f>
        <v>0</v>
      </c>
      <c r="Q227" s="117">
        <f t="shared" si="49"/>
        <v>0</v>
      </c>
      <c r="R227" s="117">
        <f t="shared" si="48"/>
        <v>0</v>
      </c>
      <c r="S227" s="104" t="str">
        <f t="shared" si="46"/>
        <v>NO</v>
      </c>
    </row>
    <row r="228" spans="1:19" x14ac:dyDescent="0.25">
      <c r="A228" s="221">
        <f t="shared" si="47"/>
        <v>45516</v>
      </c>
      <c r="B228" s="130" t="str">
        <f t="shared" si="38"/>
        <v/>
      </c>
      <c r="C228" s="217">
        <f t="shared" si="39"/>
        <v>0</v>
      </c>
      <c r="D228" s="217">
        <f t="shared" si="40"/>
        <v>0</v>
      </c>
      <c r="E228" s="218">
        <f>SUMIF(Consolidado!$A$6:$A$380,'TOTALES DIARIOS'!A228,Consolidado!$E$6:$E$380)</f>
        <v>0</v>
      </c>
      <c r="F228" s="218">
        <f>SUMIF(Consolidado!$A$6:$A$380,'TOTALES DIARIOS'!A228,Consolidado!$F$6:$F$380)</f>
        <v>0</v>
      </c>
      <c r="G228" s="218">
        <f>SUMIF(Consolidado!$A$6:$A$380,'TOTALES DIARIOS'!A228,Consolidado!$G$6:$G$380)</f>
        <v>0</v>
      </c>
      <c r="H228" s="219">
        <f t="shared" si="41"/>
        <v>0</v>
      </c>
      <c r="I228" s="99">
        <f t="shared" si="42"/>
        <v>0</v>
      </c>
      <c r="J228" s="99">
        <f t="shared" si="43"/>
        <v>0</v>
      </c>
      <c r="K228" s="113">
        <f t="shared" si="44"/>
        <v>2024</v>
      </c>
      <c r="L228" s="113">
        <f t="shared" si="45"/>
        <v>8</v>
      </c>
      <c r="M228" s="115">
        <f t="array" ref="M228">MIN(IF(Consolidado!$A$6:$A$1000='TOTALES DIARIOS'!A228,IF(Consolidado!$C$6:$C$1000&gt;TIMEVALUE("07:00"),Consolidado!$C$6:$C$1000,1)))</f>
        <v>0</v>
      </c>
      <c r="N228" s="115">
        <f t="array" ref="N228">MIN(IF(Consolidado!$A$6:$A$1000='TOTALES DIARIOS'!A228,IF(Consolidado!$C$6:$C$1000&lt;=M228,Consolidado!$C$6:$C$1000,1)))</f>
        <v>0</v>
      </c>
      <c r="O228" s="115">
        <f t="array" ref="O228">MAX(IF(Consolidado!$A$6:$A$1000='TOTALES DIARIOS'!A228,IF(Consolidado!$D$6:$D$1000&gt;=M228,Consolidado!$D$6:$D$1000,0)))</f>
        <v>0</v>
      </c>
      <c r="P228" s="118">
        <f t="array" ref="P228">MAX(IF(Consolidado!$A$6:$A$1000='TOTALES DIARIOS'!A228,IF(Consolidado!$D$6:$D$1000&lt;=M228,Consolidado!$D$6:$D$1000,0)))</f>
        <v>0</v>
      </c>
      <c r="Q228" s="117">
        <f t="shared" si="49"/>
        <v>0</v>
      </c>
      <c r="R228" s="117">
        <f t="shared" si="48"/>
        <v>0</v>
      </c>
      <c r="S228" s="104" t="str">
        <f t="shared" si="46"/>
        <v>NO</v>
      </c>
    </row>
    <row r="229" spans="1:19" x14ac:dyDescent="0.25">
      <c r="A229" s="221">
        <f t="shared" si="47"/>
        <v>45517</v>
      </c>
      <c r="B229" s="130" t="str">
        <f t="shared" si="38"/>
        <v/>
      </c>
      <c r="C229" s="217">
        <f t="shared" si="39"/>
        <v>0</v>
      </c>
      <c r="D229" s="217">
        <f t="shared" si="40"/>
        <v>0</v>
      </c>
      <c r="E229" s="218">
        <f>SUMIF(Consolidado!$A$6:$A$380,'TOTALES DIARIOS'!A229,Consolidado!$E$6:$E$380)</f>
        <v>0</v>
      </c>
      <c r="F229" s="218">
        <f>SUMIF(Consolidado!$A$6:$A$380,'TOTALES DIARIOS'!A229,Consolidado!$F$6:$F$380)</f>
        <v>0</v>
      </c>
      <c r="G229" s="218">
        <f>SUMIF(Consolidado!$A$6:$A$380,'TOTALES DIARIOS'!A229,Consolidado!$G$6:$G$380)</f>
        <v>0</v>
      </c>
      <c r="H229" s="219">
        <f t="shared" si="41"/>
        <v>0</v>
      </c>
      <c r="I229" s="99">
        <f t="shared" si="42"/>
        <v>0</v>
      </c>
      <c r="J229" s="99">
        <f t="shared" si="43"/>
        <v>0</v>
      </c>
      <c r="K229" s="113">
        <f t="shared" si="44"/>
        <v>2024</v>
      </c>
      <c r="L229" s="113">
        <f t="shared" si="45"/>
        <v>8</v>
      </c>
      <c r="M229" s="115">
        <f t="array" ref="M229">MIN(IF(Consolidado!$A$6:$A$1000='TOTALES DIARIOS'!A229,IF(Consolidado!$C$6:$C$1000&gt;TIMEVALUE("07:00"),Consolidado!$C$6:$C$1000,1)))</f>
        <v>0</v>
      </c>
      <c r="N229" s="115">
        <f t="array" ref="N229">MIN(IF(Consolidado!$A$6:$A$1000='TOTALES DIARIOS'!A229,IF(Consolidado!$C$6:$C$1000&lt;=M229,Consolidado!$C$6:$C$1000,1)))</f>
        <v>0</v>
      </c>
      <c r="O229" s="115">
        <f t="array" ref="O229">MAX(IF(Consolidado!$A$6:$A$1000='TOTALES DIARIOS'!A229,IF(Consolidado!$D$6:$D$1000&gt;=M229,Consolidado!$D$6:$D$1000,0)))</f>
        <v>0</v>
      </c>
      <c r="P229" s="118">
        <f t="array" ref="P229">MAX(IF(Consolidado!$A$6:$A$1000='TOTALES DIARIOS'!A229,IF(Consolidado!$D$6:$D$1000&lt;=M229,Consolidado!$D$6:$D$1000,0)))</f>
        <v>0</v>
      </c>
      <c r="Q229" s="117">
        <f t="shared" si="49"/>
        <v>0</v>
      </c>
      <c r="R229" s="117">
        <f t="shared" si="48"/>
        <v>0</v>
      </c>
      <c r="S229" s="104" t="str">
        <f t="shared" si="46"/>
        <v>NO</v>
      </c>
    </row>
    <row r="230" spans="1:19" x14ac:dyDescent="0.25">
      <c r="A230" s="221">
        <f t="shared" si="47"/>
        <v>45518</v>
      </c>
      <c r="B230" s="130" t="str">
        <f t="shared" si="38"/>
        <v/>
      </c>
      <c r="C230" s="217">
        <f t="shared" si="39"/>
        <v>0</v>
      </c>
      <c r="D230" s="217">
        <f t="shared" si="40"/>
        <v>0</v>
      </c>
      <c r="E230" s="218">
        <f>SUMIF(Consolidado!$A$6:$A$380,'TOTALES DIARIOS'!A230,Consolidado!$E$6:$E$380)</f>
        <v>0</v>
      </c>
      <c r="F230" s="218">
        <f>SUMIF(Consolidado!$A$6:$A$380,'TOTALES DIARIOS'!A230,Consolidado!$F$6:$F$380)</f>
        <v>0</v>
      </c>
      <c r="G230" s="218">
        <f>SUMIF(Consolidado!$A$6:$A$380,'TOTALES DIARIOS'!A230,Consolidado!$G$6:$G$380)</f>
        <v>0</v>
      </c>
      <c r="H230" s="219">
        <f t="shared" si="41"/>
        <v>0</v>
      </c>
      <c r="I230" s="99">
        <f t="shared" si="42"/>
        <v>0</v>
      </c>
      <c r="J230" s="99">
        <f t="shared" si="43"/>
        <v>0</v>
      </c>
      <c r="K230" s="113">
        <f t="shared" si="44"/>
        <v>2024</v>
      </c>
      <c r="L230" s="113">
        <f t="shared" si="45"/>
        <v>8</v>
      </c>
      <c r="M230" s="115">
        <f t="array" ref="M230">MIN(IF(Consolidado!$A$6:$A$1000='TOTALES DIARIOS'!A230,IF(Consolidado!$C$6:$C$1000&gt;TIMEVALUE("07:00"),Consolidado!$C$6:$C$1000,1)))</f>
        <v>0</v>
      </c>
      <c r="N230" s="115">
        <f t="array" ref="N230">MIN(IF(Consolidado!$A$6:$A$1000='TOTALES DIARIOS'!A230,IF(Consolidado!$C$6:$C$1000&lt;=M230,Consolidado!$C$6:$C$1000,1)))</f>
        <v>0</v>
      </c>
      <c r="O230" s="115">
        <f t="array" ref="O230">MAX(IF(Consolidado!$A$6:$A$1000='TOTALES DIARIOS'!A230,IF(Consolidado!$D$6:$D$1000&gt;=M230,Consolidado!$D$6:$D$1000,0)))</f>
        <v>0</v>
      </c>
      <c r="P230" s="118">
        <f t="array" ref="P230">MAX(IF(Consolidado!$A$6:$A$1000='TOTALES DIARIOS'!A230,IF(Consolidado!$D$6:$D$1000&lt;=M230,Consolidado!$D$6:$D$1000,0)))</f>
        <v>0</v>
      </c>
      <c r="Q230" s="117">
        <f t="shared" si="49"/>
        <v>0</v>
      </c>
      <c r="R230" s="117">
        <f t="shared" si="48"/>
        <v>0</v>
      </c>
      <c r="S230" s="104" t="str">
        <f t="shared" si="46"/>
        <v>NO</v>
      </c>
    </row>
    <row r="231" spans="1:19" x14ac:dyDescent="0.25">
      <c r="A231" s="221">
        <f t="shared" si="47"/>
        <v>45519</v>
      </c>
      <c r="B231" s="130" t="str">
        <f t="shared" si="38"/>
        <v/>
      </c>
      <c r="C231" s="217">
        <f t="shared" si="39"/>
        <v>0</v>
      </c>
      <c r="D231" s="217">
        <f t="shared" si="40"/>
        <v>0</v>
      </c>
      <c r="E231" s="218">
        <f>SUMIF(Consolidado!$A$6:$A$380,'TOTALES DIARIOS'!A231,Consolidado!$E$6:$E$380)</f>
        <v>0</v>
      </c>
      <c r="F231" s="218">
        <f>SUMIF(Consolidado!$A$6:$A$380,'TOTALES DIARIOS'!A231,Consolidado!$F$6:$F$380)</f>
        <v>0</v>
      </c>
      <c r="G231" s="218">
        <f>SUMIF(Consolidado!$A$6:$A$380,'TOTALES DIARIOS'!A231,Consolidado!$G$6:$G$380)</f>
        <v>0</v>
      </c>
      <c r="H231" s="219">
        <f t="shared" si="41"/>
        <v>0</v>
      </c>
      <c r="I231" s="99">
        <f t="shared" si="42"/>
        <v>0</v>
      </c>
      <c r="J231" s="99">
        <f t="shared" si="43"/>
        <v>0</v>
      </c>
      <c r="K231" s="113">
        <f t="shared" si="44"/>
        <v>2024</v>
      </c>
      <c r="L231" s="113">
        <f t="shared" si="45"/>
        <v>8</v>
      </c>
      <c r="M231" s="115">
        <f t="array" ref="M231">MIN(IF(Consolidado!$A$6:$A$1000='TOTALES DIARIOS'!A231,IF(Consolidado!$C$6:$C$1000&gt;TIMEVALUE("07:00"),Consolidado!$C$6:$C$1000,1)))</f>
        <v>0</v>
      </c>
      <c r="N231" s="115">
        <f t="array" ref="N231">MIN(IF(Consolidado!$A$6:$A$1000='TOTALES DIARIOS'!A231,IF(Consolidado!$C$6:$C$1000&lt;=M231,Consolidado!$C$6:$C$1000,1)))</f>
        <v>0</v>
      </c>
      <c r="O231" s="115">
        <f t="array" ref="O231">MAX(IF(Consolidado!$A$6:$A$1000='TOTALES DIARIOS'!A231,IF(Consolidado!$D$6:$D$1000&gt;=M231,Consolidado!$D$6:$D$1000,0)))</f>
        <v>0</v>
      </c>
      <c r="P231" s="118">
        <f t="array" ref="P231">MAX(IF(Consolidado!$A$6:$A$1000='TOTALES DIARIOS'!A231,IF(Consolidado!$D$6:$D$1000&lt;=M231,Consolidado!$D$6:$D$1000,0)))</f>
        <v>0</v>
      </c>
      <c r="Q231" s="117">
        <f t="shared" si="49"/>
        <v>0</v>
      </c>
      <c r="R231" s="117">
        <f t="shared" si="48"/>
        <v>0</v>
      </c>
      <c r="S231" s="104" t="str">
        <f t="shared" si="46"/>
        <v>NO</v>
      </c>
    </row>
    <row r="232" spans="1:19" x14ac:dyDescent="0.25">
      <c r="A232" s="221">
        <f t="shared" si="47"/>
        <v>45520</v>
      </c>
      <c r="B232" s="130" t="str">
        <f t="shared" si="38"/>
        <v/>
      </c>
      <c r="C232" s="217">
        <f t="shared" si="39"/>
        <v>0</v>
      </c>
      <c r="D232" s="217">
        <f t="shared" si="40"/>
        <v>0</v>
      </c>
      <c r="E232" s="218">
        <f>SUMIF(Consolidado!$A$6:$A$380,'TOTALES DIARIOS'!A232,Consolidado!$E$6:$E$380)</f>
        <v>0</v>
      </c>
      <c r="F232" s="218">
        <f>SUMIF(Consolidado!$A$6:$A$380,'TOTALES DIARIOS'!A232,Consolidado!$F$6:$F$380)</f>
        <v>0</v>
      </c>
      <c r="G232" s="218">
        <f>SUMIF(Consolidado!$A$6:$A$380,'TOTALES DIARIOS'!A232,Consolidado!$G$6:$G$380)</f>
        <v>0</v>
      </c>
      <c r="H232" s="219">
        <f t="shared" si="41"/>
        <v>0</v>
      </c>
      <c r="I232" s="99">
        <f t="shared" si="42"/>
        <v>0</v>
      </c>
      <c r="J232" s="99">
        <f t="shared" si="43"/>
        <v>0</v>
      </c>
      <c r="K232" s="113">
        <f t="shared" si="44"/>
        <v>2024</v>
      </c>
      <c r="L232" s="113">
        <f t="shared" si="45"/>
        <v>8</v>
      </c>
      <c r="M232" s="115">
        <f t="array" ref="M232">MIN(IF(Consolidado!$A$6:$A$1000='TOTALES DIARIOS'!A232,IF(Consolidado!$C$6:$C$1000&gt;TIMEVALUE("07:00"),Consolidado!$C$6:$C$1000,1)))</f>
        <v>0</v>
      </c>
      <c r="N232" s="115">
        <f t="array" ref="N232">MIN(IF(Consolidado!$A$6:$A$1000='TOTALES DIARIOS'!A232,IF(Consolidado!$C$6:$C$1000&lt;=M232,Consolidado!$C$6:$C$1000,1)))</f>
        <v>0</v>
      </c>
      <c r="O232" s="115">
        <f t="array" ref="O232">MAX(IF(Consolidado!$A$6:$A$1000='TOTALES DIARIOS'!A232,IF(Consolidado!$D$6:$D$1000&gt;=M232,Consolidado!$D$6:$D$1000,0)))</f>
        <v>0</v>
      </c>
      <c r="P232" s="118">
        <f t="array" ref="P232">MAX(IF(Consolidado!$A$6:$A$1000='TOTALES DIARIOS'!A232,IF(Consolidado!$D$6:$D$1000&lt;=M232,Consolidado!$D$6:$D$1000,0)))</f>
        <v>0</v>
      </c>
      <c r="Q232" s="117">
        <f t="shared" si="49"/>
        <v>0</v>
      </c>
      <c r="R232" s="117">
        <f t="shared" si="48"/>
        <v>0</v>
      </c>
      <c r="S232" s="104" t="str">
        <f t="shared" si="46"/>
        <v>NO</v>
      </c>
    </row>
    <row r="233" spans="1:19" x14ac:dyDescent="0.25">
      <c r="A233" s="221">
        <f t="shared" si="47"/>
        <v>45521</v>
      </c>
      <c r="B233" s="130" t="str">
        <f t="shared" si="38"/>
        <v/>
      </c>
      <c r="C233" s="217">
        <f t="shared" si="39"/>
        <v>0</v>
      </c>
      <c r="D233" s="217">
        <f t="shared" si="40"/>
        <v>0</v>
      </c>
      <c r="E233" s="218">
        <f>SUMIF(Consolidado!$A$6:$A$380,'TOTALES DIARIOS'!A233,Consolidado!$E$6:$E$380)</f>
        <v>0</v>
      </c>
      <c r="F233" s="218">
        <f>SUMIF(Consolidado!$A$6:$A$380,'TOTALES DIARIOS'!A233,Consolidado!$F$6:$F$380)</f>
        <v>0</v>
      </c>
      <c r="G233" s="218">
        <f>SUMIF(Consolidado!$A$6:$A$380,'TOTALES DIARIOS'!A233,Consolidado!$G$6:$G$380)</f>
        <v>0</v>
      </c>
      <c r="H233" s="219">
        <f t="shared" si="41"/>
        <v>0</v>
      </c>
      <c r="I233" s="99">
        <f t="shared" si="42"/>
        <v>0</v>
      </c>
      <c r="J233" s="99">
        <f t="shared" si="43"/>
        <v>0</v>
      </c>
      <c r="K233" s="113">
        <f t="shared" si="44"/>
        <v>2024</v>
      </c>
      <c r="L233" s="113">
        <f t="shared" si="45"/>
        <v>8</v>
      </c>
      <c r="M233" s="115">
        <f t="array" ref="M233">MIN(IF(Consolidado!$A$6:$A$1000='TOTALES DIARIOS'!A233,IF(Consolidado!$C$6:$C$1000&gt;TIMEVALUE("07:00"),Consolidado!$C$6:$C$1000,1)))</f>
        <v>0</v>
      </c>
      <c r="N233" s="115">
        <f t="array" ref="N233">MIN(IF(Consolidado!$A$6:$A$1000='TOTALES DIARIOS'!A233,IF(Consolidado!$C$6:$C$1000&lt;=M233,Consolidado!$C$6:$C$1000,1)))</f>
        <v>0</v>
      </c>
      <c r="O233" s="115">
        <f t="array" ref="O233">MAX(IF(Consolidado!$A$6:$A$1000='TOTALES DIARIOS'!A233,IF(Consolidado!$D$6:$D$1000&gt;=M233,Consolidado!$D$6:$D$1000,0)))</f>
        <v>0</v>
      </c>
      <c r="P233" s="118">
        <f t="array" ref="P233">MAX(IF(Consolidado!$A$6:$A$1000='TOTALES DIARIOS'!A233,IF(Consolidado!$D$6:$D$1000&lt;=M233,Consolidado!$D$6:$D$1000,0)))</f>
        <v>0</v>
      </c>
      <c r="Q233" s="117">
        <f t="shared" si="49"/>
        <v>0</v>
      </c>
      <c r="R233" s="117">
        <f t="shared" si="48"/>
        <v>0</v>
      </c>
      <c r="S233" s="104" t="str">
        <f t="shared" si="46"/>
        <v>NO</v>
      </c>
    </row>
    <row r="234" spans="1:19" x14ac:dyDescent="0.25">
      <c r="A234" s="221">
        <f t="shared" si="47"/>
        <v>45522</v>
      </c>
      <c r="B234" s="130" t="str">
        <f t="shared" si="38"/>
        <v/>
      </c>
      <c r="C234" s="217">
        <f t="shared" si="39"/>
        <v>0</v>
      </c>
      <c r="D234" s="217">
        <f t="shared" si="40"/>
        <v>0</v>
      </c>
      <c r="E234" s="218">
        <f>SUMIF(Consolidado!$A$6:$A$380,'TOTALES DIARIOS'!A234,Consolidado!$E$6:$E$380)</f>
        <v>0</v>
      </c>
      <c r="F234" s="218">
        <f>SUMIF(Consolidado!$A$6:$A$380,'TOTALES DIARIOS'!A234,Consolidado!$F$6:$F$380)</f>
        <v>0</v>
      </c>
      <c r="G234" s="218">
        <f>SUMIF(Consolidado!$A$6:$A$380,'TOTALES DIARIOS'!A234,Consolidado!$G$6:$G$380)</f>
        <v>0</v>
      </c>
      <c r="H234" s="219">
        <f t="shared" si="41"/>
        <v>0</v>
      </c>
      <c r="I234" s="99">
        <f t="shared" si="42"/>
        <v>0</v>
      </c>
      <c r="J234" s="99">
        <f t="shared" si="43"/>
        <v>0</v>
      </c>
      <c r="K234" s="113">
        <f t="shared" si="44"/>
        <v>2024</v>
      </c>
      <c r="L234" s="113">
        <f t="shared" si="45"/>
        <v>8</v>
      </c>
      <c r="M234" s="115">
        <f t="array" ref="M234">MIN(IF(Consolidado!$A$6:$A$1000='TOTALES DIARIOS'!A234,IF(Consolidado!$C$6:$C$1000&gt;TIMEVALUE("07:00"),Consolidado!$C$6:$C$1000,1)))</f>
        <v>0</v>
      </c>
      <c r="N234" s="115">
        <f t="array" ref="N234">MIN(IF(Consolidado!$A$6:$A$1000='TOTALES DIARIOS'!A234,IF(Consolidado!$C$6:$C$1000&lt;=M234,Consolidado!$C$6:$C$1000,1)))</f>
        <v>0</v>
      </c>
      <c r="O234" s="115">
        <f t="array" ref="O234">MAX(IF(Consolidado!$A$6:$A$1000='TOTALES DIARIOS'!A234,IF(Consolidado!$D$6:$D$1000&gt;=M234,Consolidado!$D$6:$D$1000,0)))</f>
        <v>0</v>
      </c>
      <c r="P234" s="118">
        <f t="array" ref="P234">MAX(IF(Consolidado!$A$6:$A$1000='TOTALES DIARIOS'!A234,IF(Consolidado!$D$6:$D$1000&lt;=M234,Consolidado!$D$6:$D$1000,0)))</f>
        <v>0</v>
      </c>
      <c r="Q234" s="117">
        <f t="shared" si="49"/>
        <v>0</v>
      </c>
      <c r="R234" s="117">
        <f t="shared" si="48"/>
        <v>0</v>
      </c>
      <c r="S234" s="104" t="str">
        <f t="shared" si="46"/>
        <v>NO</v>
      </c>
    </row>
    <row r="235" spans="1:19" x14ac:dyDescent="0.25">
      <c r="A235" s="221">
        <f t="shared" si="47"/>
        <v>45523</v>
      </c>
      <c r="B235" s="130" t="str">
        <f t="shared" si="38"/>
        <v/>
      </c>
      <c r="C235" s="217">
        <f t="shared" si="39"/>
        <v>0</v>
      </c>
      <c r="D235" s="217">
        <f t="shared" si="40"/>
        <v>0</v>
      </c>
      <c r="E235" s="218">
        <f>SUMIF(Consolidado!$A$6:$A$380,'TOTALES DIARIOS'!A235,Consolidado!$E$6:$E$380)</f>
        <v>0</v>
      </c>
      <c r="F235" s="218">
        <f>SUMIF(Consolidado!$A$6:$A$380,'TOTALES DIARIOS'!A235,Consolidado!$F$6:$F$380)</f>
        <v>0</v>
      </c>
      <c r="G235" s="218">
        <f>SUMIF(Consolidado!$A$6:$A$380,'TOTALES DIARIOS'!A235,Consolidado!$G$6:$G$380)</f>
        <v>0</v>
      </c>
      <c r="H235" s="219">
        <f t="shared" si="41"/>
        <v>0</v>
      </c>
      <c r="I235" s="99">
        <f t="shared" si="42"/>
        <v>0</v>
      </c>
      <c r="J235" s="99">
        <f t="shared" si="43"/>
        <v>0</v>
      </c>
      <c r="K235" s="113">
        <f t="shared" si="44"/>
        <v>2024</v>
      </c>
      <c r="L235" s="113">
        <f t="shared" si="45"/>
        <v>8</v>
      </c>
      <c r="M235" s="115">
        <f t="array" ref="M235">MIN(IF(Consolidado!$A$6:$A$1000='TOTALES DIARIOS'!A235,IF(Consolidado!$C$6:$C$1000&gt;TIMEVALUE("07:00"),Consolidado!$C$6:$C$1000,1)))</f>
        <v>0</v>
      </c>
      <c r="N235" s="115">
        <f t="array" ref="N235">MIN(IF(Consolidado!$A$6:$A$1000='TOTALES DIARIOS'!A235,IF(Consolidado!$C$6:$C$1000&lt;=M235,Consolidado!$C$6:$C$1000,1)))</f>
        <v>0</v>
      </c>
      <c r="O235" s="115">
        <f t="array" ref="O235">MAX(IF(Consolidado!$A$6:$A$1000='TOTALES DIARIOS'!A235,IF(Consolidado!$D$6:$D$1000&gt;=M235,Consolidado!$D$6:$D$1000,0)))</f>
        <v>0</v>
      </c>
      <c r="P235" s="118">
        <f t="array" ref="P235">MAX(IF(Consolidado!$A$6:$A$1000='TOTALES DIARIOS'!A235,IF(Consolidado!$D$6:$D$1000&lt;=M235,Consolidado!$D$6:$D$1000,0)))</f>
        <v>0</v>
      </c>
      <c r="Q235" s="117">
        <f t="shared" si="49"/>
        <v>0</v>
      </c>
      <c r="R235" s="117">
        <f t="shared" si="48"/>
        <v>0</v>
      </c>
      <c r="S235" s="104" t="str">
        <f t="shared" si="46"/>
        <v>NO</v>
      </c>
    </row>
    <row r="236" spans="1:19" x14ac:dyDescent="0.25">
      <c r="A236" s="221">
        <f t="shared" si="47"/>
        <v>45524</v>
      </c>
      <c r="B236" s="130" t="str">
        <f t="shared" si="38"/>
        <v/>
      </c>
      <c r="C236" s="217">
        <f t="shared" si="39"/>
        <v>0</v>
      </c>
      <c r="D236" s="217">
        <f t="shared" si="40"/>
        <v>0</v>
      </c>
      <c r="E236" s="218">
        <f>SUMIF(Consolidado!$A$6:$A$380,'TOTALES DIARIOS'!A236,Consolidado!$E$6:$E$380)</f>
        <v>0</v>
      </c>
      <c r="F236" s="218">
        <f>SUMIF(Consolidado!$A$6:$A$380,'TOTALES DIARIOS'!A236,Consolidado!$F$6:$F$380)</f>
        <v>0</v>
      </c>
      <c r="G236" s="218">
        <f>SUMIF(Consolidado!$A$6:$A$380,'TOTALES DIARIOS'!A236,Consolidado!$G$6:$G$380)</f>
        <v>0</v>
      </c>
      <c r="H236" s="219">
        <f t="shared" si="41"/>
        <v>0</v>
      </c>
      <c r="I236" s="99">
        <f t="shared" si="42"/>
        <v>0</v>
      </c>
      <c r="J236" s="99">
        <f t="shared" si="43"/>
        <v>0</v>
      </c>
      <c r="K236" s="113">
        <f t="shared" si="44"/>
        <v>2024</v>
      </c>
      <c r="L236" s="113">
        <f t="shared" si="45"/>
        <v>8</v>
      </c>
      <c r="M236" s="115">
        <f t="array" ref="M236">MIN(IF(Consolidado!$A$6:$A$1000='TOTALES DIARIOS'!A236,IF(Consolidado!$C$6:$C$1000&gt;TIMEVALUE("07:00"),Consolidado!$C$6:$C$1000,1)))</f>
        <v>0</v>
      </c>
      <c r="N236" s="115">
        <f t="array" ref="N236">MIN(IF(Consolidado!$A$6:$A$1000='TOTALES DIARIOS'!A236,IF(Consolidado!$C$6:$C$1000&lt;=M236,Consolidado!$C$6:$C$1000,1)))</f>
        <v>0</v>
      </c>
      <c r="O236" s="115">
        <f t="array" ref="O236">MAX(IF(Consolidado!$A$6:$A$1000='TOTALES DIARIOS'!A236,IF(Consolidado!$D$6:$D$1000&gt;=M236,Consolidado!$D$6:$D$1000,0)))</f>
        <v>0</v>
      </c>
      <c r="P236" s="118">
        <f t="array" ref="P236">MAX(IF(Consolidado!$A$6:$A$1000='TOTALES DIARIOS'!A236,IF(Consolidado!$D$6:$D$1000&lt;=M236,Consolidado!$D$6:$D$1000,0)))</f>
        <v>0</v>
      </c>
      <c r="Q236" s="117">
        <f t="shared" si="49"/>
        <v>0</v>
      </c>
      <c r="R236" s="117">
        <f t="shared" si="48"/>
        <v>0</v>
      </c>
      <c r="S236" s="104" t="str">
        <f t="shared" si="46"/>
        <v>NO</v>
      </c>
    </row>
    <row r="237" spans="1:19" x14ac:dyDescent="0.25">
      <c r="A237" s="221">
        <f t="shared" si="47"/>
        <v>45525</v>
      </c>
      <c r="B237" s="130" t="str">
        <f t="shared" si="38"/>
        <v/>
      </c>
      <c r="C237" s="217">
        <f t="shared" si="39"/>
        <v>0</v>
      </c>
      <c r="D237" s="217">
        <f t="shared" si="40"/>
        <v>0</v>
      </c>
      <c r="E237" s="218">
        <f>SUMIF(Consolidado!$A$6:$A$380,'TOTALES DIARIOS'!A237,Consolidado!$E$6:$E$380)</f>
        <v>0</v>
      </c>
      <c r="F237" s="218">
        <f>SUMIF(Consolidado!$A$6:$A$380,'TOTALES DIARIOS'!A237,Consolidado!$F$6:$F$380)</f>
        <v>0</v>
      </c>
      <c r="G237" s="218">
        <f>SUMIF(Consolidado!$A$6:$A$380,'TOTALES DIARIOS'!A237,Consolidado!$G$6:$G$380)</f>
        <v>0</v>
      </c>
      <c r="H237" s="219">
        <f t="shared" si="41"/>
        <v>0</v>
      </c>
      <c r="I237" s="99">
        <f t="shared" si="42"/>
        <v>0</v>
      </c>
      <c r="J237" s="99">
        <f t="shared" si="43"/>
        <v>0</v>
      </c>
      <c r="K237" s="113">
        <f t="shared" si="44"/>
        <v>2024</v>
      </c>
      <c r="L237" s="113">
        <f t="shared" si="45"/>
        <v>8</v>
      </c>
      <c r="M237" s="115">
        <f t="array" ref="M237">MIN(IF(Consolidado!$A$6:$A$1000='TOTALES DIARIOS'!A237,IF(Consolidado!$C$6:$C$1000&gt;TIMEVALUE("07:00"),Consolidado!$C$6:$C$1000,1)))</f>
        <v>0</v>
      </c>
      <c r="N237" s="115">
        <f t="array" ref="N237">MIN(IF(Consolidado!$A$6:$A$1000='TOTALES DIARIOS'!A237,IF(Consolidado!$C$6:$C$1000&lt;=M237,Consolidado!$C$6:$C$1000,1)))</f>
        <v>0</v>
      </c>
      <c r="O237" s="115">
        <f t="array" ref="O237">MAX(IF(Consolidado!$A$6:$A$1000='TOTALES DIARIOS'!A237,IF(Consolidado!$D$6:$D$1000&gt;=M237,Consolidado!$D$6:$D$1000,0)))</f>
        <v>0</v>
      </c>
      <c r="P237" s="118">
        <f t="array" ref="P237">MAX(IF(Consolidado!$A$6:$A$1000='TOTALES DIARIOS'!A237,IF(Consolidado!$D$6:$D$1000&lt;=M237,Consolidado!$D$6:$D$1000,0)))</f>
        <v>0</v>
      </c>
      <c r="Q237" s="117">
        <f t="shared" si="49"/>
        <v>0</v>
      </c>
      <c r="R237" s="117">
        <f t="shared" si="48"/>
        <v>0</v>
      </c>
      <c r="S237" s="104" t="str">
        <f t="shared" si="46"/>
        <v>NO</v>
      </c>
    </row>
    <row r="238" spans="1:19" x14ac:dyDescent="0.25">
      <c r="A238" s="221">
        <f t="shared" si="47"/>
        <v>45526</v>
      </c>
      <c r="B238" s="130" t="str">
        <f t="shared" si="38"/>
        <v/>
      </c>
      <c r="C238" s="217">
        <f t="shared" si="39"/>
        <v>0</v>
      </c>
      <c r="D238" s="217">
        <f t="shared" si="40"/>
        <v>0</v>
      </c>
      <c r="E238" s="218">
        <f>SUMIF(Consolidado!$A$6:$A$380,'TOTALES DIARIOS'!A238,Consolidado!$E$6:$E$380)</f>
        <v>0</v>
      </c>
      <c r="F238" s="218">
        <f>SUMIF(Consolidado!$A$6:$A$380,'TOTALES DIARIOS'!A238,Consolidado!$F$6:$F$380)</f>
        <v>0</v>
      </c>
      <c r="G238" s="218">
        <f>SUMIF(Consolidado!$A$6:$A$380,'TOTALES DIARIOS'!A238,Consolidado!$G$6:$G$380)</f>
        <v>0</v>
      </c>
      <c r="H238" s="219">
        <f t="shared" si="41"/>
        <v>0</v>
      </c>
      <c r="I238" s="99">
        <f t="shared" si="42"/>
        <v>0</v>
      </c>
      <c r="J238" s="99">
        <f t="shared" si="43"/>
        <v>0</v>
      </c>
      <c r="K238" s="113">
        <f t="shared" si="44"/>
        <v>2024</v>
      </c>
      <c r="L238" s="113">
        <f t="shared" si="45"/>
        <v>8</v>
      </c>
      <c r="M238" s="115">
        <f t="array" ref="M238">MIN(IF(Consolidado!$A$6:$A$1000='TOTALES DIARIOS'!A238,IF(Consolidado!$C$6:$C$1000&gt;TIMEVALUE("07:00"),Consolidado!$C$6:$C$1000,1)))</f>
        <v>0</v>
      </c>
      <c r="N238" s="115">
        <f t="array" ref="N238">MIN(IF(Consolidado!$A$6:$A$1000='TOTALES DIARIOS'!A238,IF(Consolidado!$C$6:$C$1000&lt;=M238,Consolidado!$C$6:$C$1000,1)))</f>
        <v>0</v>
      </c>
      <c r="O238" s="115">
        <f t="array" ref="O238">MAX(IF(Consolidado!$A$6:$A$1000='TOTALES DIARIOS'!A238,IF(Consolidado!$D$6:$D$1000&gt;=M238,Consolidado!$D$6:$D$1000,0)))</f>
        <v>0</v>
      </c>
      <c r="P238" s="118">
        <f t="array" ref="P238">MAX(IF(Consolidado!$A$6:$A$1000='TOTALES DIARIOS'!A238,IF(Consolidado!$D$6:$D$1000&lt;=M238,Consolidado!$D$6:$D$1000,0)))</f>
        <v>0</v>
      </c>
      <c r="Q238" s="117">
        <f t="shared" si="49"/>
        <v>0</v>
      </c>
      <c r="R238" s="117">
        <f t="shared" si="48"/>
        <v>0</v>
      </c>
      <c r="S238" s="104" t="str">
        <f t="shared" si="46"/>
        <v>NO</v>
      </c>
    </row>
    <row r="239" spans="1:19" x14ac:dyDescent="0.25">
      <c r="A239" s="221">
        <f t="shared" si="47"/>
        <v>45527</v>
      </c>
      <c r="B239" s="130" t="str">
        <f t="shared" si="38"/>
        <v/>
      </c>
      <c r="C239" s="217">
        <f t="shared" si="39"/>
        <v>0</v>
      </c>
      <c r="D239" s="217">
        <f t="shared" si="40"/>
        <v>0</v>
      </c>
      <c r="E239" s="218">
        <f>SUMIF(Consolidado!$A$6:$A$380,'TOTALES DIARIOS'!A239,Consolidado!$E$6:$E$380)</f>
        <v>0</v>
      </c>
      <c r="F239" s="218">
        <f>SUMIF(Consolidado!$A$6:$A$380,'TOTALES DIARIOS'!A239,Consolidado!$F$6:$F$380)</f>
        <v>0</v>
      </c>
      <c r="G239" s="218">
        <f>SUMIF(Consolidado!$A$6:$A$380,'TOTALES DIARIOS'!A239,Consolidado!$G$6:$G$380)</f>
        <v>0</v>
      </c>
      <c r="H239" s="219">
        <f t="shared" si="41"/>
        <v>0</v>
      </c>
      <c r="I239" s="99">
        <f t="shared" si="42"/>
        <v>0</v>
      </c>
      <c r="J239" s="99">
        <f t="shared" si="43"/>
        <v>0</v>
      </c>
      <c r="K239" s="113">
        <f t="shared" si="44"/>
        <v>2024</v>
      </c>
      <c r="L239" s="113">
        <f t="shared" si="45"/>
        <v>8</v>
      </c>
      <c r="M239" s="115">
        <f t="array" ref="M239">MIN(IF(Consolidado!$A$6:$A$1000='TOTALES DIARIOS'!A239,IF(Consolidado!$C$6:$C$1000&gt;TIMEVALUE("07:00"),Consolidado!$C$6:$C$1000,1)))</f>
        <v>0</v>
      </c>
      <c r="N239" s="115">
        <f t="array" ref="N239">MIN(IF(Consolidado!$A$6:$A$1000='TOTALES DIARIOS'!A239,IF(Consolidado!$C$6:$C$1000&lt;=M239,Consolidado!$C$6:$C$1000,1)))</f>
        <v>0</v>
      </c>
      <c r="O239" s="115">
        <f t="array" ref="O239">MAX(IF(Consolidado!$A$6:$A$1000='TOTALES DIARIOS'!A239,IF(Consolidado!$D$6:$D$1000&gt;=M239,Consolidado!$D$6:$D$1000,0)))</f>
        <v>0</v>
      </c>
      <c r="P239" s="118">
        <f t="array" ref="P239">MAX(IF(Consolidado!$A$6:$A$1000='TOTALES DIARIOS'!A239,IF(Consolidado!$D$6:$D$1000&lt;=M239,Consolidado!$D$6:$D$1000,0)))</f>
        <v>0</v>
      </c>
      <c r="Q239" s="117">
        <f t="shared" si="49"/>
        <v>0</v>
      </c>
      <c r="R239" s="117">
        <f t="shared" si="48"/>
        <v>0</v>
      </c>
      <c r="S239" s="104" t="str">
        <f t="shared" si="46"/>
        <v>NO</v>
      </c>
    </row>
    <row r="240" spans="1:19" x14ac:dyDescent="0.25">
      <c r="A240" s="221">
        <f t="shared" si="47"/>
        <v>45528</v>
      </c>
      <c r="B240" s="130" t="str">
        <f t="shared" si="38"/>
        <v/>
      </c>
      <c r="C240" s="217">
        <f t="shared" si="39"/>
        <v>0</v>
      </c>
      <c r="D240" s="217">
        <f t="shared" si="40"/>
        <v>0</v>
      </c>
      <c r="E240" s="218">
        <f>SUMIF(Consolidado!$A$6:$A$380,'TOTALES DIARIOS'!A240,Consolidado!$E$6:$E$380)</f>
        <v>0</v>
      </c>
      <c r="F240" s="218">
        <f>SUMIF(Consolidado!$A$6:$A$380,'TOTALES DIARIOS'!A240,Consolidado!$F$6:$F$380)</f>
        <v>0</v>
      </c>
      <c r="G240" s="218">
        <f>SUMIF(Consolidado!$A$6:$A$380,'TOTALES DIARIOS'!A240,Consolidado!$G$6:$G$380)</f>
        <v>0</v>
      </c>
      <c r="H240" s="219">
        <f t="shared" si="41"/>
        <v>0</v>
      </c>
      <c r="I240" s="99">
        <f t="shared" si="42"/>
        <v>0</v>
      </c>
      <c r="J240" s="99">
        <f t="shared" si="43"/>
        <v>0</v>
      </c>
      <c r="K240" s="113">
        <f t="shared" si="44"/>
        <v>2024</v>
      </c>
      <c r="L240" s="113">
        <f t="shared" si="45"/>
        <v>8</v>
      </c>
      <c r="M240" s="115">
        <f t="array" ref="M240">MIN(IF(Consolidado!$A$6:$A$1000='TOTALES DIARIOS'!A240,IF(Consolidado!$C$6:$C$1000&gt;TIMEVALUE("07:00"),Consolidado!$C$6:$C$1000,1)))</f>
        <v>0</v>
      </c>
      <c r="N240" s="115">
        <f t="array" ref="N240">MIN(IF(Consolidado!$A$6:$A$1000='TOTALES DIARIOS'!A240,IF(Consolidado!$C$6:$C$1000&lt;=M240,Consolidado!$C$6:$C$1000,1)))</f>
        <v>0</v>
      </c>
      <c r="O240" s="115">
        <f t="array" ref="O240">MAX(IF(Consolidado!$A$6:$A$1000='TOTALES DIARIOS'!A240,IF(Consolidado!$D$6:$D$1000&gt;=M240,Consolidado!$D$6:$D$1000,0)))</f>
        <v>0</v>
      </c>
      <c r="P240" s="118">
        <f t="array" ref="P240">MAX(IF(Consolidado!$A$6:$A$1000='TOTALES DIARIOS'!A240,IF(Consolidado!$D$6:$D$1000&lt;=M240,Consolidado!$D$6:$D$1000,0)))</f>
        <v>0</v>
      </c>
      <c r="Q240" s="117">
        <f t="shared" si="49"/>
        <v>0</v>
      </c>
      <c r="R240" s="117">
        <f t="shared" si="48"/>
        <v>0</v>
      </c>
      <c r="S240" s="104" t="str">
        <f t="shared" si="46"/>
        <v>NO</v>
      </c>
    </row>
    <row r="241" spans="1:19" x14ac:dyDescent="0.25">
      <c r="A241" s="221">
        <f t="shared" si="47"/>
        <v>45529</v>
      </c>
      <c r="B241" s="130" t="str">
        <f t="shared" si="38"/>
        <v/>
      </c>
      <c r="C241" s="217">
        <f t="shared" si="39"/>
        <v>0</v>
      </c>
      <c r="D241" s="217">
        <f t="shared" si="40"/>
        <v>0</v>
      </c>
      <c r="E241" s="218">
        <f>SUMIF(Consolidado!$A$6:$A$380,'TOTALES DIARIOS'!A241,Consolidado!$E$6:$E$380)</f>
        <v>0</v>
      </c>
      <c r="F241" s="218">
        <f>SUMIF(Consolidado!$A$6:$A$380,'TOTALES DIARIOS'!A241,Consolidado!$F$6:$F$380)</f>
        <v>0</v>
      </c>
      <c r="G241" s="218">
        <f>SUMIF(Consolidado!$A$6:$A$380,'TOTALES DIARIOS'!A241,Consolidado!$G$6:$G$380)</f>
        <v>0</v>
      </c>
      <c r="H241" s="219">
        <f t="shared" si="41"/>
        <v>0</v>
      </c>
      <c r="I241" s="99">
        <f t="shared" si="42"/>
        <v>0</v>
      </c>
      <c r="J241" s="99">
        <f t="shared" si="43"/>
        <v>0</v>
      </c>
      <c r="K241" s="113">
        <f t="shared" si="44"/>
        <v>2024</v>
      </c>
      <c r="L241" s="113">
        <f t="shared" si="45"/>
        <v>8</v>
      </c>
      <c r="M241" s="115">
        <f t="array" ref="M241">MIN(IF(Consolidado!$A$6:$A$1000='TOTALES DIARIOS'!A241,IF(Consolidado!$C$6:$C$1000&gt;TIMEVALUE("07:00"),Consolidado!$C$6:$C$1000,1)))</f>
        <v>0</v>
      </c>
      <c r="N241" s="115">
        <f t="array" ref="N241">MIN(IF(Consolidado!$A$6:$A$1000='TOTALES DIARIOS'!A241,IF(Consolidado!$C$6:$C$1000&lt;=M241,Consolidado!$C$6:$C$1000,1)))</f>
        <v>0</v>
      </c>
      <c r="O241" s="115">
        <f t="array" ref="O241">MAX(IF(Consolidado!$A$6:$A$1000='TOTALES DIARIOS'!A241,IF(Consolidado!$D$6:$D$1000&gt;=M241,Consolidado!$D$6:$D$1000,0)))</f>
        <v>0</v>
      </c>
      <c r="P241" s="118">
        <f t="array" ref="P241">MAX(IF(Consolidado!$A$6:$A$1000='TOTALES DIARIOS'!A241,IF(Consolidado!$D$6:$D$1000&lt;=M241,Consolidado!$D$6:$D$1000,0)))</f>
        <v>0</v>
      </c>
      <c r="Q241" s="117">
        <f t="shared" si="49"/>
        <v>0</v>
      </c>
      <c r="R241" s="117">
        <f t="shared" si="48"/>
        <v>0</v>
      </c>
      <c r="S241" s="104" t="str">
        <f t="shared" si="46"/>
        <v>NO</v>
      </c>
    </row>
    <row r="242" spans="1:19" x14ac:dyDescent="0.25">
      <c r="A242" s="221">
        <f t="shared" si="47"/>
        <v>45530</v>
      </c>
      <c r="B242" s="130" t="str">
        <f t="shared" si="38"/>
        <v/>
      </c>
      <c r="C242" s="217">
        <f t="shared" si="39"/>
        <v>0</v>
      </c>
      <c r="D242" s="217">
        <f t="shared" si="40"/>
        <v>0</v>
      </c>
      <c r="E242" s="218">
        <f>SUMIF(Consolidado!$A$6:$A$380,'TOTALES DIARIOS'!A242,Consolidado!$E$6:$E$380)</f>
        <v>0</v>
      </c>
      <c r="F242" s="218">
        <f>SUMIF(Consolidado!$A$6:$A$380,'TOTALES DIARIOS'!A242,Consolidado!$F$6:$F$380)</f>
        <v>0</v>
      </c>
      <c r="G242" s="218">
        <f>SUMIF(Consolidado!$A$6:$A$380,'TOTALES DIARIOS'!A242,Consolidado!$G$6:$G$380)</f>
        <v>0</v>
      </c>
      <c r="H242" s="219">
        <f t="shared" si="41"/>
        <v>0</v>
      </c>
      <c r="I242" s="99">
        <f t="shared" si="42"/>
        <v>0</v>
      </c>
      <c r="J242" s="99">
        <f t="shared" si="43"/>
        <v>0</v>
      </c>
      <c r="K242" s="113">
        <f t="shared" si="44"/>
        <v>2024</v>
      </c>
      <c r="L242" s="113">
        <f t="shared" si="45"/>
        <v>8</v>
      </c>
      <c r="M242" s="115">
        <f t="array" ref="M242">MIN(IF(Consolidado!$A$6:$A$1000='TOTALES DIARIOS'!A242,IF(Consolidado!$C$6:$C$1000&gt;TIMEVALUE("07:00"),Consolidado!$C$6:$C$1000,1)))</f>
        <v>0</v>
      </c>
      <c r="N242" s="115">
        <f t="array" ref="N242">MIN(IF(Consolidado!$A$6:$A$1000='TOTALES DIARIOS'!A242,IF(Consolidado!$C$6:$C$1000&lt;=M242,Consolidado!$C$6:$C$1000,1)))</f>
        <v>0</v>
      </c>
      <c r="O242" s="115">
        <f t="array" ref="O242">MAX(IF(Consolidado!$A$6:$A$1000='TOTALES DIARIOS'!A242,IF(Consolidado!$D$6:$D$1000&gt;=M242,Consolidado!$D$6:$D$1000,0)))</f>
        <v>0</v>
      </c>
      <c r="P242" s="118">
        <f t="array" ref="P242">MAX(IF(Consolidado!$A$6:$A$1000='TOTALES DIARIOS'!A242,IF(Consolidado!$D$6:$D$1000&lt;=M242,Consolidado!$D$6:$D$1000,0)))</f>
        <v>0</v>
      </c>
      <c r="Q242" s="117">
        <f t="shared" si="49"/>
        <v>0</v>
      </c>
      <c r="R242" s="117">
        <f t="shared" si="48"/>
        <v>0</v>
      </c>
      <c r="S242" s="104" t="str">
        <f t="shared" si="46"/>
        <v>NO</v>
      </c>
    </row>
    <row r="243" spans="1:19" x14ac:dyDescent="0.25">
      <c r="A243" s="221">
        <f t="shared" si="47"/>
        <v>45531</v>
      </c>
      <c r="B243" s="130" t="str">
        <f t="shared" si="38"/>
        <v/>
      </c>
      <c r="C243" s="217">
        <f t="shared" si="39"/>
        <v>0</v>
      </c>
      <c r="D243" s="217">
        <f t="shared" si="40"/>
        <v>0</v>
      </c>
      <c r="E243" s="218">
        <f>SUMIF(Consolidado!$A$6:$A$380,'TOTALES DIARIOS'!A243,Consolidado!$E$6:$E$380)</f>
        <v>0</v>
      </c>
      <c r="F243" s="218">
        <f>SUMIF(Consolidado!$A$6:$A$380,'TOTALES DIARIOS'!A243,Consolidado!$F$6:$F$380)</f>
        <v>0</v>
      </c>
      <c r="G243" s="218">
        <f>SUMIF(Consolidado!$A$6:$A$380,'TOTALES DIARIOS'!A243,Consolidado!$G$6:$G$380)</f>
        <v>0</v>
      </c>
      <c r="H243" s="219">
        <f t="shared" si="41"/>
        <v>0</v>
      </c>
      <c r="I243" s="99">
        <f t="shared" si="42"/>
        <v>0</v>
      </c>
      <c r="J243" s="99">
        <f t="shared" si="43"/>
        <v>0</v>
      </c>
      <c r="K243" s="113">
        <f t="shared" si="44"/>
        <v>2024</v>
      </c>
      <c r="L243" s="113">
        <f t="shared" si="45"/>
        <v>8</v>
      </c>
      <c r="M243" s="115">
        <f t="array" ref="M243">MIN(IF(Consolidado!$A$6:$A$1000='TOTALES DIARIOS'!A243,IF(Consolidado!$C$6:$C$1000&gt;TIMEVALUE("07:00"),Consolidado!$C$6:$C$1000,1)))</f>
        <v>0</v>
      </c>
      <c r="N243" s="115">
        <f t="array" ref="N243">MIN(IF(Consolidado!$A$6:$A$1000='TOTALES DIARIOS'!A243,IF(Consolidado!$C$6:$C$1000&lt;=M243,Consolidado!$C$6:$C$1000,1)))</f>
        <v>0</v>
      </c>
      <c r="O243" s="115">
        <f t="array" ref="O243">MAX(IF(Consolidado!$A$6:$A$1000='TOTALES DIARIOS'!A243,IF(Consolidado!$D$6:$D$1000&gt;=M243,Consolidado!$D$6:$D$1000,0)))</f>
        <v>0</v>
      </c>
      <c r="P243" s="118">
        <f t="array" ref="P243">MAX(IF(Consolidado!$A$6:$A$1000='TOTALES DIARIOS'!A243,IF(Consolidado!$D$6:$D$1000&lt;=M243,Consolidado!$D$6:$D$1000,0)))</f>
        <v>0</v>
      </c>
      <c r="Q243" s="117">
        <f t="shared" si="49"/>
        <v>0</v>
      </c>
      <c r="R243" s="117">
        <f t="shared" si="48"/>
        <v>0</v>
      </c>
      <c r="S243" s="104" t="str">
        <f t="shared" si="46"/>
        <v>NO</v>
      </c>
    </row>
    <row r="244" spans="1:19" x14ac:dyDescent="0.25">
      <c r="A244" s="221">
        <f t="shared" si="47"/>
        <v>45532</v>
      </c>
      <c r="B244" s="130" t="str">
        <f t="shared" si="38"/>
        <v/>
      </c>
      <c r="C244" s="217">
        <f t="shared" si="39"/>
        <v>0</v>
      </c>
      <c r="D244" s="217">
        <f t="shared" si="40"/>
        <v>0</v>
      </c>
      <c r="E244" s="218">
        <f>SUMIF(Consolidado!$A$6:$A$380,'TOTALES DIARIOS'!A244,Consolidado!$E$6:$E$380)</f>
        <v>0</v>
      </c>
      <c r="F244" s="218">
        <f>SUMIF(Consolidado!$A$6:$A$380,'TOTALES DIARIOS'!A244,Consolidado!$F$6:$F$380)</f>
        <v>0</v>
      </c>
      <c r="G244" s="218">
        <f>SUMIF(Consolidado!$A$6:$A$380,'TOTALES DIARIOS'!A244,Consolidado!$G$6:$G$380)</f>
        <v>0</v>
      </c>
      <c r="H244" s="219">
        <f t="shared" si="41"/>
        <v>0</v>
      </c>
      <c r="I244" s="99">
        <f t="shared" si="42"/>
        <v>0</v>
      </c>
      <c r="J244" s="99">
        <f t="shared" si="43"/>
        <v>0</v>
      </c>
      <c r="K244" s="113">
        <f t="shared" si="44"/>
        <v>2024</v>
      </c>
      <c r="L244" s="113">
        <f t="shared" si="45"/>
        <v>8</v>
      </c>
      <c r="M244" s="115">
        <f t="array" ref="M244">MIN(IF(Consolidado!$A$6:$A$1000='TOTALES DIARIOS'!A244,IF(Consolidado!$C$6:$C$1000&gt;TIMEVALUE("07:00"),Consolidado!$C$6:$C$1000,1)))</f>
        <v>0</v>
      </c>
      <c r="N244" s="115">
        <f t="array" ref="N244">MIN(IF(Consolidado!$A$6:$A$1000='TOTALES DIARIOS'!A244,IF(Consolidado!$C$6:$C$1000&lt;=M244,Consolidado!$C$6:$C$1000,1)))</f>
        <v>0</v>
      </c>
      <c r="O244" s="115">
        <f t="array" ref="O244">MAX(IF(Consolidado!$A$6:$A$1000='TOTALES DIARIOS'!A244,IF(Consolidado!$D$6:$D$1000&gt;=M244,Consolidado!$D$6:$D$1000,0)))</f>
        <v>0</v>
      </c>
      <c r="P244" s="118">
        <f t="array" ref="P244">MAX(IF(Consolidado!$A$6:$A$1000='TOTALES DIARIOS'!A244,IF(Consolidado!$D$6:$D$1000&lt;=M244,Consolidado!$D$6:$D$1000,0)))</f>
        <v>0</v>
      </c>
      <c r="Q244" s="117">
        <f t="shared" si="49"/>
        <v>0</v>
      </c>
      <c r="R244" s="117">
        <f t="shared" si="48"/>
        <v>0</v>
      </c>
      <c r="S244" s="104" t="str">
        <f t="shared" si="46"/>
        <v>NO</v>
      </c>
    </row>
    <row r="245" spans="1:19" x14ac:dyDescent="0.25">
      <c r="A245" s="221">
        <f t="shared" si="47"/>
        <v>45533</v>
      </c>
      <c r="B245" s="130" t="str">
        <f t="shared" si="38"/>
        <v/>
      </c>
      <c r="C245" s="217">
        <f t="shared" si="39"/>
        <v>0</v>
      </c>
      <c r="D245" s="217">
        <f t="shared" si="40"/>
        <v>0</v>
      </c>
      <c r="E245" s="218">
        <f>SUMIF(Consolidado!$A$6:$A$380,'TOTALES DIARIOS'!A245,Consolidado!$E$6:$E$380)</f>
        <v>0</v>
      </c>
      <c r="F245" s="218">
        <f>SUMIF(Consolidado!$A$6:$A$380,'TOTALES DIARIOS'!A245,Consolidado!$F$6:$F$380)</f>
        <v>0</v>
      </c>
      <c r="G245" s="218">
        <f>SUMIF(Consolidado!$A$6:$A$380,'TOTALES DIARIOS'!A245,Consolidado!$G$6:$G$380)</f>
        <v>0</v>
      </c>
      <c r="H245" s="219">
        <f t="shared" si="41"/>
        <v>0</v>
      </c>
      <c r="I245" s="99">
        <f t="shared" si="42"/>
        <v>0</v>
      </c>
      <c r="J245" s="99">
        <f t="shared" si="43"/>
        <v>0</v>
      </c>
      <c r="K245" s="113">
        <f t="shared" si="44"/>
        <v>2024</v>
      </c>
      <c r="L245" s="113">
        <f t="shared" si="45"/>
        <v>8</v>
      </c>
      <c r="M245" s="115">
        <f t="array" ref="M245">MIN(IF(Consolidado!$A$6:$A$1000='TOTALES DIARIOS'!A245,IF(Consolidado!$C$6:$C$1000&gt;TIMEVALUE("07:00"),Consolidado!$C$6:$C$1000,1)))</f>
        <v>0</v>
      </c>
      <c r="N245" s="115">
        <f t="array" ref="N245">MIN(IF(Consolidado!$A$6:$A$1000='TOTALES DIARIOS'!A245,IF(Consolidado!$C$6:$C$1000&lt;=M245,Consolidado!$C$6:$C$1000,1)))</f>
        <v>0</v>
      </c>
      <c r="O245" s="115">
        <f t="array" ref="O245">MAX(IF(Consolidado!$A$6:$A$1000='TOTALES DIARIOS'!A245,IF(Consolidado!$D$6:$D$1000&gt;=M245,Consolidado!$D$6:$D$1000,0)))</f>
        <v>0</v>
      </c>
      <c r="P245" s="118">
        <f t="array" ref="P245">MAX(IF(Consolidado!$A$6:$A$1000='TOTALES DIARIOS'!A245,IF(Consolidado!$D$6:$D$1000&lt;=M245,Consolidado!$D$6:$D$1000,0)))</f>
        <v>0</v>
      </c>
      <c r="Q245" s="117">
        <f t="shared" si="49"/>
        <v>0</v>
      </c>
      <c r="R245" s="117">
        <f t="shared" si="48"/>
        <v>0</v>
      </c>
      <c r="S245" s="104" t="str">
        <f t="shared" si="46"/>
        <v>NO</v>
      </c>
    </row>
    <row r="246" spans="1:19" x14ac:dyDescent="0.25">
      <c r="A246" s="221">
        <f t="shared" si="47"/>
        <v>45534</v>
      </c>
      <c r="B246" s="130" t="str">
        <f t="shared" si="38"/>
        <v/>
      </c>
      <c r="C246" s="217">
        <f t="shared" si="39"/>
        <v>0</v>
      </c>
      <c r="D246" s="217">
        <f t="shared" si="40"/>
        <v>0</v>
      </c>
      <c r="E246" s="218">
        <f>SUMIF(Consolidado!$A$6:$A$380,'TOTALES DIARIOS'!A246,Consolidado!$E$6:$E$380)</f>
        <v>0</v>
      </c>
      <c r="F246" s="218">
        <f>SUMIF(Consolidado!$A$6:$A$380,'TOTALES DIARIOS'!A246,Consolidado!$F$6:$F$380)</f>
        <v>0</v>
      </c>
      <c r="G246" s="218">
        <f>SUMIF(Consolidado!$A$6:$A$380,'TOTALES DIARIOS'!A246,Consolidado!$G$6:$G$380)</f>
        <v>0</v>
      </c>
      <c r="H246" s="219">
        <f t="shared" si="41"/>
        <v>0</v>
      </c>
      <c r="I246" s="99">
        <f t="shared" si="42"/>
        <v>0</v>
      </c>
      <c r="J246" s="99">
        <f t="shared" si="43"/>
        <v>0</v>
      </c>
      <c r="K246" s="113">
        <f t="shared" si="44"/>
        <v>2024</v>
      </c>
      <c r="L246" s="113">
        <f t="shared" si="45"/>
        <v>8</v>
      </c>
      <c r="M246" s="115">
        <f t="array" ref="M246">MIN(IF(Consolidado!$A$6:$A$1000='TOTALES DIARIOS'!A246,IF(Consolidado!$C$6:$C$1000&gt;TIMEVALUE("07:00"),Consolidado!$C$6:$C$1000,1)))</f>
        <v>0</v>
      </c>
      <c r="N246" s="115">
        <f t="array" ref="N246">MIN(IF(Consolidado!$A$6:$A$1000='TOTALES DIARIOS'!A246,IF(Consolidado!$C$6:$C$1000&lt;=M246,Consolidado!$C$6:$C$1000,1)))</f>
        <v>0</v>
      </c>
      <c r="O246" s="115">
        <f t="array" ref="O246">MAX(IF(Consolidado!$A$6:$A$1000='TOTALES DIARIOS'!A246,IF(Consolidado!$D$6:$D$1000&gt;=M246,Consolidado!$D$6:$D$1000,0)))</f>
        <v>0</v>
      </c>
      <c r="P246" s="118">
        <f t="array" ref="P246">MAX(IF(Consolidado!$A$6:$A$1000='TOTALES DIARIOS'!A246,IF(Consolidado!$D$6:$D$1000&lt;=M246,Consolidado!$D$6:$D$1000,0)))</f>
        <v>0</v>
      </c>
      <c r="Q246" s="117">
        <f t="shared" si="49"/>
        <v>0</v>
      </c>
      <c r="R246" s="117">
        <f t="shared" si="48"/>
        <v>0</v>
      </c>
      <c r="S246" s="104" t="str">
        <f t="shared" si="46"/>
        <v>NO</v>
      </c>
    </row>
    <row r="247" spans="1:19" x14ac:dyDescent="0.25">
      <c r="A247" s="221">
        <f t="shared" si="47"/>
        <v>45535</v>
      </c>
      <c r="B247" s="130" t="str">
        <f t="shared" si="38"/>
        <v/>
      </c>
      <c r="C247" s="217">
        <f t="shared" si="39"/>
        <v>0</v>
      </c>
      <c r="D247" s="217">
        <f t="shared" si="40"/>
        <v>0</v>
      </c>
      <c r="E247" s="218">
        <f>SUMIF(Consolidado!$A$6:$A$380,'TOTALES DIARIOS'!A247,Consolidado!$E$6:$E$380)</f>
        <v>0</v>
      </c>
      <c r="F247" s="218">
        <f>SUMIF(Consolidado!$A$6:$A$380,'TOTALES DIARIOS'!A247,Consolidado!$F$6:$F$380)</f>
        <v>0</v>
      </c>
      <c r="G247" s="218">
        <f>SUMIF(Consolidado!$A$6:$A$380,'TOTALES DIARIOS'!A247,Consolidado!$G$6:$G$380)</f>
        <v>0</v>
      </c>
      <c r="H247" s="219">
        <f t="shared" si="41"/>
        <v>0</v>
      </c>
      <c r="I247" s="99">
        <f t="shared" si="42"/>
        <v>0</v>
      </c>
      <c r="J247" s="99">
        <f t="shared" si="43"/>
        <v>0</v>
      </c>
      <c r="K247" s="113">
        <f t="shared" si="44"/>
        <v>2024</v>
      </c>
      <c r="L247" s="113">
        <f t="shared" si="45"/>
        <v>8</v>
      </c>
      <c r="M247" s="115">
        <f t="array" ref="M247">MIN(IF(Consolidado!$A$6:$A$1000='TOTALES DIARIOS'!A247,IF(Consolidado!$C$6:$C$1000&gt;TIMEVALUE("07:00"),Consolidado!$C$6:$C$1000,1)))</f>
        <v>0</v>
      </c>
      <c r="N247" s="115">
        <f t="array" ref="N247">MIN(IF(Consolidado!$A$6:$A$1000='TOTALES DIARIOS'!A247,IF(Consolidado!$C$6:$C$1000&lt;=M247,Consolidado!$C$6:$C$1000,1)))</f>
        <v>0</v>
      </c>
      <c r="O247" s="115">
        <f t="array" ref="O247">MAX(IF(Consolidado!$A$6:$A$1000='TOTALES DIARIOS'!A247,IF(Consolidado!$D$6:$D$1000&gt;=M247,Consolidado!$D$6:$D$1000,0)))</f>
        <v>0</v>
      </c>
      <c r="P247" s="118">
        <f t="array" ref="P247">MAX(IF(Consolidado!$A$6:$A$1000='TOTALES DIARIOS'!A247,IF(Consolidado!$D$6:$D$1000&lt;=M247,Consolidado!$D$6:$D$1000,0)))</f>
        <v>0</v>
      </c>
      <c r="Q247" s="117">
        <f t="shared" si="49"/>
        <v>0</v>
      </c>
      <c r="R247" s="117">
        <f t="shared" si="48"/>
        <v>0</v>
      </c>
      <c r="S247" s="104" t="str">
        <f t="shared" si="46"/>
        <v>NO</v>
      </c>
    </row>
    <row r="248" spans="1:19" x14ac:dyDescent="0.25">
      <c r="A248" s="221">
        <f t="shared" si="47"/>
        <v>45536</v>
      </c>
      <c r="B248" s="130" t="str">
        <f t="shared" si="38"/>
        <v/>
      </c>
      <c r="C248" s="217">
        <f t="shared" si="39"/>
        <v>0</v>
      </c>
      <c r="D248" s="217">
        <f t="shared" si="40"/>
        <v>0</v>
      </c>
      <c r="E248" s="218">
        <f>SUMIF(Consolidado!$A$6:$A$380,'TOTALES DIARIOS'!A248,Consolidado!$E$6:$E$380)</f>
        <v>0</v>
      </c>
      <c r="F248" s="218">
        <f>SUMIF(Consolidado!$A$6:$A$380,'TOTALES DIARIOS'!A248,Consolidado!$F$6:$F$380)</f>
        <v>0</v>
      </c>
      <c r="G248" s="218">
        <f>SUMIF(Consolidado!$A$6:$A$380,'TOTALES DIARIOS'!A248,Consolidado!$G$6:$G$380)</f>
        <v>0</v>
      </c>
      <c r="H248" s="219">
        <f t="shared" si="41"/>
        <v>0</v>
      </c>
      <c r="I248" s="99">
        <f t="shared" si="42"/>
        <v>0</v>
      </c>
      <c r="J248" s="99">
        <f t="shared" si="43"/>
        <v>0</v>
      </c>
      <c r="K248" s="113">
        <f t="shared" si="44"/>
        <v>2024</v>
      </c>
      <c r="L248" s="113">
        <f t="shared" si="45"/>
        <v>9</v>
      </c>
      <c r="M248" s="115">
        <f t="array" ref="M248">MIN(IF(Consolidado!$A$6:$A$1000='TOTALES DIARIOS'!A248,IF(Consolidado!$C$6:$C$1000&gt;TIMEVALUE("07:00"),Consolidado!$C$6:$C$1000,1)))</f>
        <v>0</v>
      </c>
      <c r="N248" s="115">
        <f t="array" ref="N248">MIN(IF(Consolidado!$A$6:$A$1000='TOTALES DIARIOS'!A248,IF(Consolidado!$C$6:$C$1000&lt;=M248,Consolidado!$C$6:$C$1000,1)))</f>
        <v>0</v>
      </c>
      <c r="O248" s="115">
        <f t="array" ref="O248">MAX(IF(Consolidado!$A$6:$A$1000='TOTALES DIARIOS'!A248,IF(Consolidado!$D$6:$D$1000&gt;=M248,Consolidado!$D$6:$D$1000,0)))</f>
        <v>0</v>
      </c>
      <c r="P248" s="118">
        <f t="array" ref="P248">MAX(IF(Consolidado!$A$6:$A$1000='TOTALES DIARIOS'!A248,IF(Consolidado!$D$6:$D$1000&lt;=M248,Consolidado!$D$6:$D$1000,0)))</f>
        <v>0</v>
      </c>
      <c r="Q248" s="117">
        <f t="shared" si="49"/>
        <v>0</v>
      </c>
      <c r="R248" s="117">
        <f t="shared" si="48"/>
        <v>0</v>
      </c>
      <c r="S248" s="104" t="str">
        <f t="shared" si="46"/>
        <v>NO</v>
      </c>
    </row>
    <row r="249" spans="1:19" x14ac:dyDescent="0.25">
      <c r="A249" s="221">
        <f t="shared" si="47"/>
        <v>45537</v>
      </c>
      <c r="B249" s="130" t="str">
        <f t="shared" si="38"/>
        <v/>
      </c>
      <c r="C249" s="217">
        <f t="shared" si="39"/>
        <v>0</v>
      </c>
      <c r="D249" s="217">
        <f t="shared" si="40"/>
        <v>0</v>
      </c>
      <c r="E249" s="218">
        <f>SUMIF(Consolidado!$A$6:$A$380,'TOTALES DIARIOS'!A249,Consolidado!$E$6:$E$380)</f>
        <v>0</v>
      </c>
      <c r="F249" s="218">
        <f>SUMIF(Consolidado!$A$6:$A$380,'TOTALES DIARIOS'!A249,Consolidado!$F$6:$F$380)</f>
        <v>0</v>
      </c>
      <c r="G249" s="218">
        <f>SUMIF(Consolidado!$A$6:$A$380,'TOTALES DIARIOS'!A249,Consolidado!$G$6:$G$380)</f>
        <v>0</v>
      </c>
      <c r="H249" s="219">
        <f t="shared" si="41"/>
        <v>0</v>
      </c>
      <c r="I249" s="99">
        <f t="shared" si="42"/>
        <v>0</v>
      </c>
      <c r="J249" s="99">
        <f t="shared" si="43"/>
        <v>0</v>
      </c>
      <c r="K249" s="113">
        <f t="shared" si="44"/>
        <v>2024</v>
      </c>
      <c r="L249" s="113">
        <f t="shared" si="45"/>
        <v>9</v>
      </c>
      <c r="M249" s="115">
        <f t="array" ref="M249">MIN(IF(Consolidado!$A$6:$A$1000='TOTALES DIARIOS'!A249,IF(Consolidado!$C$6:$C$1000&gt;TIMEVALUE("07:00"),Consolidado!$C$6:$C$1000,1)))</f>
        <v>0</v>
      </c>
      <c r="N249" s="115">
        <f t="array" ref="N249">MIN(IF(Consolidado!$A$6:$A$1000='TOTALES DIARIOS'!A249,IF(Consolidado!$C$6:$C$1000&lt;=M249,Consolidado!$C$6:$C$1000,1)))</f>
        <v>0</v>
      </c>
      <c r="O249" s="115">
        <f t="array" ref="O249">MAX(IF(Consolidado!$A$6:$A$1000='TOTALES DIARIOS'!A249,IF(Consolidado!$D$6:$D$1000&gt;=M249,Consolidado!$D$6:$D$1000,0)))</f>
        <v>0</v>
      </c>
      <c r="P249" s="118">
        <f t="array" ref="P249">MAX(IF(Consolidado!$A$6:$A$1000='TOTALES DIARIOS'!A249,IF(Consolidado!$D$6:$D$1000&lt;=M249,Consolidado!$D$6:$D$1000,0)))</f>
        <v>0</v>
      </c>
      <c r="Q249" s="117">
        <f t="shared" si="49"/>
        <v>0</v>
      </c>
      <c r="R249" s="117">
        <f t="shared" si="48"/>
        <v>0</v>
      </c>
      <c r="S249" s="104" t="str">
        <f t="shared" si="46"/>
        <v>NO</v>
      </c>
    </row>
    <row r="250" spans="1:19" x14ac:dyDescent="0.25">
      <c r="A250" s="221">
        <f t="shared" si="47"/>
        <v>45538</v>
      </c>
      <c r="B250" s="130" t="str">
        <f t="shared" si="38"/>
        <v/>
      </c>
      <c r="C250" s="217">
        <f t="shared" si="39"/>
        <v>0</v>
      </c>
      <c r="D250" s="217">
        <f t="shared" si="40"/>
        <v>0</v>
      </c>
      <c r="E250" s="218">
        <f>SUMIF(Consolidado!$A$6:$A$380,'TOTALES DIARIOS'!A250,Consolidado!$E$6:$E$380)</f>
        <v>0</v>
      </c>
      <c r="F250" s="218">
        <f>SUMIF(Consolidado!$A$6:$A$380,'TOTALES DIARIOS'!A250,Consolidado!$F$6:$F$380)</f>
        <v>0</v>
      </c>
      <c r="G250" s="218">
        <f>SUMIF(Consolidado!$A$6:$A$380,'TOTALES DIARIOS'!A250,Consolidado!$G$6:$G$380)</f>
        <v>0</v>
      </c>
      <c r="H250" s="219">
        <f t="shared" si="41"/>
        <v>0</v>
      </c>
      <c r="I250" s="99">
        <f t="shared" si="42"/>
        <v>0</v>
      </c>
      <c r="J250" s="99">
        <f t="shared" si="43"/>
        <v>0</v>
      </c>
      <c r="K250" s="113">
        <f t="shared" si="44"/>
        <v>2024</v>
      </c>
      <c r="L250" s="113">
        <f t="shared" si="45"/>
        <v>9</v>
      </c>
      <c r="M250" s="115">
        <f t="array" ref="M250">MIN(IF(Consolidado!$A$6:$A$1000='TOTALES DIARIOS'!A250,IF(Consolidado!$C$6:$C$1000&gt;TIMEVALUE("07:00"),Consolidado!$C$6:$C$1000,1)))</f>
        <v>0</v>
      </c>
      <c r="N250" s="115">
        <f t="array" ref="N250">MIN(IF(Consolidado!$A$6:$A$1000='TOTALES DIARIOS'!A250,IF(Consolidado!$C$6:$C$1000&lt;=M250,Consolidado!$C$6:$C$1000,1)))</f>
        <v>0</v>
      </c>
      <c r="O250" s="115">
        <f t="array" ref="O250">MAX(IF(Consolidado!$A$6:$A$1000='TOTALES DIARIOS'!A250,IF(Consolidado!$D$6:$D$1000&gt;=M250,Consolidado!$D$6:$D$1000,0)))</f>
        <v>0</v>
      </c>
      <c r="P250" s="118">
        <f t="array" ref="P250">MAX(IF(Consolidado!$A$6:$A$1000='TOTALES DIARIOS'!A250,IF(Consolidado!$D$6:$D$1000&lt;=M250,Consolidado!$D$6:$D$1000,0)))</f>
        <v>0</v>
      </c>
      <c r="Q250" s="117">
        <f t="shared" si="49"/>
        <v>0</v>
      </c>
      <c r="R250" s="117">
        <f t="shared" si="48"/>
        <v>0</v>
      </c>
      <c r="S250" s="104" t="str">
        <f t="shared" si="46"/>
        <v>NO</v>
      </c>
    </row>
    <row r="251" spans="1:19" x14ac:dyDescent="0.25">
      <c r="A251" s="221">
        <f t="shared" si="47"/>
        <v>45539</v>
      </c>
      <c r="B251" s="130" t="str">
        <f t="shared" si="38"/>
        <v/>
      </c>
      <c r="C251" s="217">
        <f t="shared" si="39"/>
        <v>0</v>
      </c>
      <c r="D251" s="217">
        <f t="shared" si="40"/>
        <v>0</v>
      </c>
      <c r="E251" s="218">
        <f>SUMIF(Consolidado!$A$6:$A$380,'TOTALES DIARIOS'!A251,Consolidado!$E$6:$E$380)</f>
        <v>0</v>
      </c>
      <c r="F251" s="218">
        <f>SUMIF(Consolidado!$A$6:$A$380,'TOTALES DIARIOS'!A251,Consolidado!$F$6:$F$380)</f>
        <v>0</v>
      </c>
      <c r="G251" s="218">
        <f>SUMIF(Consolidado!$A$6:$A$380,'TOTALES DIARIOS'!A251,Consolidado!$G$6:$G$380)</f>
        <v>0</v>
      </c>
      <c r="H251" s="219">
        <f t="shared" si="41"/>
        <v>0</v>
      </c>
      <c r="I251" s="99">
        <f t="shared" si="42"/>
        <v>0</v>
      </c>
      <c r="J251" s="99">
        <f t="shared" si="43"/>
        <v>0</v>
      </c>
      <c r="K251" s="113">
        <f t="shared" si="44"/>
        <v>2024</v>
      </c>
      <c r="L251" s="113">
        <f t="shared" si="45"/>
        <v>9</v>
      </c>
      <c r="M251" s="115">
        <f t="array" ref="M251">MIN(IF(Consolidado!$A$6:$A$1000='TOTALES DIARIOS'!A251,IF(Consolidado!$C$6:$C$1000&gt;TIMEVALUE("07:00"),Consolidado!$C$6:$C$1000,1)))</f>
        <v>0</v>
      </c>
      <c r="N251" s="115">
        <f t="array" ref="N251">MIN(IF(Consolidado!$A$6:$A$1000='TOTALES DIARIOS'!A251,IF(Consolidado!$C$6:$C$1000&lt;=M251,Consolidado!$C$6:$C$1000,1)))</f>
        <v>0</v>
      </c>
      <c r="O251" s="115">
        <f t="array" ref="O251">MAX(IF(Consolidado!$A$6:$A$1000='TOTALES DIARIOS'!A251,IF(Consolidado!$D$6:$D$1000&gt;=M251,Consolidado!$D$6:$D$1000,0)))</f>
        <v>0</v>
      </c>
      <c r="P251" s="118">
        <f t="array" ref="P251">MAX(IF(Consolidado!$A$6:$A$1000='TOTALES DIARIOS'!A251,IF(Consolidado!$D$6:$D$1000&lt;=M251,Consolidado!$D$6:$D$1000,0)))</f>
        <v>0</v>
      </c>
      <c r="Q251" s="117">
        <f t="shared" si="49"/>
        <v>0</v>
      </c>
      <c r="R251" s="117">
        <f t="shared" si="48"/>
        <v>0</v>
      </c>
      <c r="S251" s="104" t="str">
        <f t="shared" si="46"/>
        <v>NO</v>
      </c>
    </row>
    <row r="252" spans="1:19" x14ac:dyDescent="0.25">
      <c r="A252" s="221">
        <f t="shared" si="47"/>
        <v>45540</v>
      </c>
      <c r="B252" s="130" t="str">
        <f t="shared" si="38"/>
        <v/>
      </c>
      <c r="C252" s="217">
        <f t="shared" si="39"/>
        <v>0</v>
      </c>
      <c r="D252" s="217">
        <f t="shared" si="40"/>
        <v>0</v>
      </c>
      <c r="E252" s="218">
        <f>SUMIF(Consolidado!$A$6:$A$380,'TOTALES DIARIOS'!A252,Consolidado!$E$6:$E$380)</f>
        <v>0</v>
      </c>
      <c r="F252" s="218">
        <f>SUMIF(Consolidado!$A$6:$A$380,'TOTALES DIARIOS'!A252,Consolidado!$F$6:$F$380)</f>
        <v>0</v>
      </c>
      <c r="G252" s="218">
        <f>SUMIF(Consolidado!$A$6:$A$380,'TOTALES DIARIOS'!A252,Consolidado!$G$6:$G$380)</f>
        <v>0</v>
      </c>
      <c r="H252" s="219">
        <f t="shared" si="41"/>
        <v>0</v>
      </c>
      <c r="I252" s="99">
        <f t="shared" si="42"/>
        <v>0</v>
      </c>
      <c r="J252" s="99">
        <f t="shared" si="43"/>
        <v>0</v>
      </c>
      <c r="K252" s="113">
        <f t="shared" si="44"/>
        <v>2024</v>
      </c>
      <c r="L252" s="113">
        <f t="shared" si="45"/>
        <v>9</v>
      </c>
      <c r="M252" s="115">
        <f t="array" ref="M252">MIN(IF(Consolidado!$A$6:$A$1000='TOTALES DIARIOS'!A252,IF(Consolidado!$C$6:$C$1000&gt;TIMEVALUE("07:00"),Consolidado!$C$6:$C$1000,1)))</f>
        <v>0</v>
      </c>
      <c r="N252" s="115">
        <f t="array" ref="N252">MIN(IF(Consolidado!$A$6:$A$1000='TOTALES DIARIOS'!A252,IF(Consolidado!$C$6:$C$1000&lt;=M252,Consolidado!$C$6:$C$1000,1)))</f>
        <v>0</v>
      </c>
      <c r="O252" s="115">
        <f t="array" ref="O252">MAX(IF(Consolidado!$A$6:$A$1000='TOTALES DIARIOS'!A252,IF(Consolidado!$D$6:$D$1000&gt;=M252,Consolidado!$D$6:$D$1000,0)))</f>
        <v>0</v>
      </c>
      <c r="P252" s="118">
        <f t="array" ref="P252">MAX(IF(Consolidado!$A$6:$A$1000='TOTALES DIARIOS'!A252,IF(Consolidado!$D$6:$D$1000&lt;=M252,Consolidado!$D$6:$D$1000,0)))</f>
        <v>0</v>
      </c>
      <c r="Q252" s="117">
        <f t="shared" si="49"/>
        <v>0</v>
      </c>
      <c r="R252" s="117">
        <f t="shared" si="48"/>
        <v>0</v>
      </c>
      <c r="S252" s="104" t="str">
        <f t="shared" si="46"/>
        <v>NO</v>
      </c>
    </row>
    <row r="253" spans="1:19" x14ac:dyDescent="0.25">
      <c r="A253" s="221">
        <f t="shared" si="47"/>
        <v>45541</v>
      </c>
      <c r="B253" s="130" t="str">
        <f t="shared" si="38"/>
        <v/>
      </c>
      <c r="C253" s="217">
        <f t="shared" si="39"/>
        <v>0</v>
      </c>
      <c r="D253" s="217">
        <f t="shared" si="40"/>
        <v>0</v>
      </c>
      <c r="E253" s="218">
        <f>SUMIF(Consolidado!$A$6:$A$380,'TOTALES DIARIOS'!A253,Consolidado!$E$6:$E$380)</f>
        <v>0</v>
      </c>
      <c r="F253" s="218">
        <f>SUMIF(Consolidado!$A$6:$A$380,'TOTALES DIARIOS'!A253,Consolidado!$F$6:$F$380)</f>
        <v>0</v>
      </c>
      <c r="G253" s="218">
        <f>SUMIF(Consolidado!$A$6:$A$380,'TOTALES DIARIOS'!A253,Consolidado!$G$6:$G$380)</f>
        <v>0</v>
      </c>
      <c r="H253" s="219">
        <f t="shared" si="41"/>
        <v>0</v>
      </c>
      <c r="I253" s="99">
        <f t="shared" si="42"/>
        <v>0</v>
      </c>
      <c r="J253" s="99">
        <f t="shared" si="43"/>
        <v>0</v>
      </c>
      <c r="K253" s="113">
        <f t="shared" si="44"/>
        <v>2024</v>
      </c>
      <c r="L253" s="113">
        <f t="shared" si="45"/>
        <v>9</v>
      </c>
      <c r="M253" s="115">
        <f t="array" ref="M253">MIN(IF(Consolidado!$A$6:$A$1000='TOTALES DIARIOS'!A253,IF(Consolidado!$C$6:$C$1000&gt;TIMEVALUE("07:00"),Consolidado!$C$6:$C$1000,1)))</f>
        <v>0</v>
      </c>
      <c r="N253" s="115">
        <f t="array" ref="N253">MIN(IF(Consolidado!$A$6:$A$1000='TOTALES DIARIOS'!A253,IF(Consolidado!$C$6:$C$1000&lt;=M253,Consolidado!$C$6:$C$1000,1)))</f>
        <v>0</v>
      </c>
      <c r="O253" s="115">
        <f t="array" ref="O253">MAX(IF(Consolidado!$A$6:$A$1000='TOTALES DIARIOS'!A253,IF(Consolidado!$D$6:$D$1000&gt;=M253,Consolidado!$D$6:$D$1000,0)))</f>
        <v>0</v>
      </c>
      <c r="P253" s="118">
        <f t="array" ref="P253">MAX(IF(Consolidado!$A$6:$A$1000='TOTALES DIARIOS'!A253,IF(Consolidado!$D$6:$D$1000&lt;=M253,Consolidado!$D$6:$D$1000,0)))</f>
        <v>0</v>
      </c>
      <c r="Q253" s="117">
        <f t="shared" si="49"/>
        <v>0</v>
      </c>
      <c r="R253" s="117">
        <f t="shared" si="48"/>
        <v>0</v>
      </c>
      <c r="S253" s="104" t="str">
        <f t="shared" si="46"/>
        <v>NO</v>
      </c>
    </row>
    <row r="254" spans="1:19" x14ac:dyDescent="0.25">
      <c r="A254" s="221">
        <f t="shared" si="47"/>
        <v>45542</v>
      </c>
      <c r="B254" s="130" t="str">
        <f t="shared" si="38"/>
        <v/>
      </c>
      <c r="C254" s="217">
        <f t="shared" si="39"/>
        <v>0</v>
      </c>
      <c r="D254" s="217">
        <f t="shared" si="40"/>
        <v>0</v>
      </c>
      <c r="E254" s="218">
        <f>SUMIF(Consolidado!$A$6:$A$380,'TOTALES DIARIOS'!A254,Consolidado!$E$6:$E$380)</f>
        <v>0</v>
      </c>
      <c r="F254" s="218">
        <f>SUMIF(Consolidado!$A$6:$A$380,'TOTALES DIARIOS'!A254,Consolidado!$F$6:$F$380)</f>
        <v>0</v>
      </c>
      <c r="G254" s="218">
        <f>SUMIF(Consolidado!$A$6:$A$380,'TOTALES DIARIOS'!A254,Consolidado!$G$6:$G$380)</f>
        <v>0</v>
      </c>
      <c r="H254" s="219">
        <f t="shared" si="41"/>
        <v>0</v>
      </c>
      <c r="I254" s="99">
        <f t="shared" si="42"/>
        <v>0</v>
      </c>
      <c r="J254" s="99">
        <f t="shared" si="43"/>
        <v>0</v>
      </c>
      <c r="K254" s="113">
        <f t="shared" si="44"/>
        <v>2024</v>
      </c>
      <c r="L254" s="113">
        <f t="shared" si="45"/>
        <v>9</v>
      </c>
      <c r="M254" s="115">
        <f t="array" ref="M254">MIN(IF(Consolidado!$A$6:$A$1000='TOTALES DIARIOS'!A254,IF(Consolidado!$C$6:$C$1000&gt;TIMEVALUE("07:00"),Consolidado!$C$6:$C$1000,1)))</f>
        <v>0</v>
      </c>
      <c r="N254" s="115">
        <f t="array" ref="N254">MIN(IF(Consolidado!$A$6:$A$1000='TOTALES DIARIOS'!A254,IF(Consolidado!$C$6:$C$1000&lt;=M254,Consolidado!$C$6:$C$1000,1)))</f>
        <v>0</v>
      </c>
      <c r="O254" s="115">
        <f t="array" ref="O254">MAX(IF(Consolidado!$A$6:$A$1000='TOTALES DIARIOS'!A254,IF(Consolidado!$D$6:$D$1000&gt;=M254,Consolidado!$D$6:$D$1000,0)))</f>
        <v>0</v>
      </c>
      <c r="P254" s="118">
        <f t="array" ref="P254">MAX(IF(Consolidado!$A$6:$A$1000='TOTALES DIARIOS'!A254,IF(Consolidado!$D$6:$D$1000&lt;=M254,Consolidado!$D$6:$D$1000,0)))</f>
        <v>0</v>
      </c>
      <c r="Q254" s="117">
        <f t="shared" si="49"/>
        <v>0</v>
      </c>
      <c r="R254" s="117">
        <f t="shared" si="48"/>
        <v>0</v>
      </c>
      <c r="S254" s="104" t="str">
        <f t="shared" si="46"/>
        <v>NO</v>
      </c>
    </row>
    <row r="255" spans="1:19" x14ac:dyDescent="0.25">
      <c r="A255" s="221">
        <f t="shared" si="47"/>
        <v>45543</v>
      </c>
      <c r="B255" s="130" t="str">
        <f t="shared" si="38"/>
        <v/>
      </c>
      <c r="C255" s="217">
        <f t="shared" si="39"/>
        <v>0</v>
      </c>
      <c r="D255" s="217">
        <f t="shared" si="40"/>
        <v>0</v>
      </c>
      <c r="E255" s="218">
        <f>SUMIF(Consolidado!$A$6:$A$380,'TOTALES DIARIOS'!A255,Consolidado!$E$6:$E$380)</f>
        <v>0</v>
      </c>
      <c r="F255" s="218">
        <f>SUMIF(Consolidado!$A$6:$A$380,'TOTALES DIARIOS'!A255,Consolidado!$F$6:$F$380)</f>
        <v>0</v>
      </c>
      <c r="G255" s="218">
        <f>SUMIF(Consolidado!$A$6:$A$380,'TOTALES DIARIOS'!A255,Consolidado!$G$6:$G$380)</f>
        <v>0</v>
      </c>
      <c r="H255" s="219">
        <f t="shared" si="41"/>
        <v>0</v>
      </c>
      <c r="I255" s="99">
        <f t="shared" si="42"/>
        <v>0</v>
      </c>
      <c r="J255" s="99">
        <f t="shared" si="43"/>
        <v>0</v>
      </c>
      <c r="K255" s="113">
        <f t="shared" si="44"/>
        <v>2024</v>
      </c>
      <c r="L255" s="113">
        <f t="shared" si="45"/>
        <v>9</v>
      </c>
      <c r="M255" s="115">
        <f t="array" ref="M255">MIN(IF(Consolidado!$A$6:$A$1000='TOTALES DIARIOS'!A255,IF(Consolidado!$C$6:$C$1000&gt;TIMEVALUE("07:00"),Consolidado!$C$6:$C$1000,1)))</f>
        <v>0</v>
      </c>
      <c r="N255" s="115">
        <f t="array" ref="N255">MIN(IF(Consolidado!$A$6:$A$1000='TOTALES DIARIOS'!A255,IF(Consolidado!$C$6:$C$1000&lt;=M255,Consolidado!$C$6:$C$1000,1)))</f>
        <v>0</v>
      </c>
      <c r="O255" s="115">
        <f t="array" ref="O255">MAX(IF(Consolidado!$A$6:$A$1000='TOTALES DIARIOS'!A255,IF(Consolidado!$D$6:$D$1000&gt;=M255,Consolidado!$D$6:$D$1000,0)))</f>
        <v>0</v>
      </c>
      <c r="P255" s="118">
        <f t="array" ref="P255">MAX(IF(Consolidado!$A$6:$A$1000='TOTALES DIARIOS'!A255,IF(Consolidado!$D$6:$D$1000&lt;=M255,Consolidado!$D$6:$D$1000,0)))</f>
        <v>0</v>
      </c>
      <c r="Q255" s="117">
        <f t="shared" si="49"/>
        <v>0</v>
      </c>
      <c r="R255" s="117">
        <f t="shared" si="48"/>
        <v>0</v>
      </c>
      <c r="S255" s="104" t="str">
        <f t="shared" si="46"/>
        <v>NO</v>
      </c>
    </row>
    <row r="256" spans="1:19" x14ac:dyDescent="0.25">
      <c r="A256" s="221">
        <f t="shared" si="47"/>
        <v>45544</v>
      </c>
      <c r="B256" s="130" t="str">
        <f t="shared" si="38"/>
        <v/>
      </c>
      <c r="C256" s="217">
        <f t="shared" si="39"/>
        <v>0</v>
      </c>
      <c r="D256" s="217">
        <f t="shared" si="40"/>
        <v>0</v>
      </c>
      <c r="E256" s="218">
        <f>SUMIF(Consolidado!$A$6:$A$380,'TOTALES DIARIOS'!A256,Consolidado!$E$6:$E$380)</f>
        <v>0</v>
      </c>
      <c r="F256" s="218">
        <f>SUMIF(Consolidado!$A$6:$A$380,'TOTALES DIARIOS'!A256,Consolidado!$F$6:$F$380)</f>
        <v>0</v>
      </c>
      <c r="G256" s="218">
        <f>SUMIF(Consolidado!$A$6:$A$380,'TOTALES DIARIOS'!A256,Consolidado!$G$6:$G$380)</f>
        <v>0</v>
      </c>
      <c r="H256" s="219">
        <f t="shared" si="41"/>
        <v>0</v>
      </c>
      <c r="I256" s="99">
        <f t="shared" si="42"/>
        <v>0</v>
      </c>
      <c r="J256" s="99">
        <f t="shared" si="43"/>
        <v>0</v>
      </c>
      <c r="K256" s="113">
        <f t="shared" si="44"/>
        <v>2024</v>
      </c>
      <c r="L256" s="113">
        <f t="shared" si="45"/>
        <v>9</v>
      </c>
      <c r="M256" s="115">
        <f t="array" ref="M256">MIN(IF(Consolidado!$A$6:$A$1000='TOTALES DIARIOS'!A256,IF(Consolidado!$C$6:$C$1000&gt;TIMEVALUE("07:00"),Consolidado!$C$6:$C$1000,1)))</f>
        <v>0</v>
      </c>
      <c r="N256" s="115">
        <f t="array" ref="N256">MIN(IF(Consolidado!$A$6:$A$1000='TOTALES DIARIOS'!A256,IF(Consolidado!$C$6:$C$1000&lt;=M256,Consolidado!$C$6:$C$1000,1)))</f>
        <v>0</v>
      </c>
      <c r="O256" s="115">
        <f t="array" ref="O256">MAX(IF(Consolidado!$A$6:$A$1000='TOTALES DIARIOS'!A256,IF(Consolidado!$D$6:$D$1000&gt;=M256,Consolidado!$D$6:$D$1000,0)))</f>
        <v>0</v>
      </c>
      <c r="P256" s="118">
        <f t="array" ref="P256">MAX(IF(Consolidado!$A$6:$A$1000='TOTALES DIARIOS'!A256,IF(Consolidado!$D$6:$D$1000&lt;=M256,Consolidado!$D$6:$D$1000,0)))</f>
        <v>0</v>
      </c>
      <c r="Q256" s="117">
        <f t="shared" si="49"/>
        <v>0</v>
      </c>
      <c r="R256" s="117">
        <f t="shared" si="48"/>
        <v>0</v>
      </c>
      <c r="S256" s="104" t="str">
        <f t="shared" si="46"/>
        <v>NO</v>
      </c>
    </row>
    <row r="257" spans="1:19" x14ac:dyDescent="0.25">
      <c r="A257" s="221">
        <f t="shared" si="47"/>
        <v>45545</v>
      </c>
      <c r="B257" s="130" t="str">
        <f t="shared" si="38"/>
        <v/>
      </c>
      <c r="C257" s="217">
        <f t="shared" si="39"/>
        <v>0</v>
      </c>
      <c r="D257" s="217">
        <f t="shared" si="40"/>
        <v>0</v>
      </c>
      <c r="E257" s="218">
        <f>SUMIF(Consolidado!$A$6:$A$380,'TOTALES DIARIOS'!A257,Consolidado!$E$6:$E$380)</f>
        <v>0</v>
      </c>
      <c r="F257" s="218">
        <f>SUMIF(Consolidado!$A$6:$A$380,'TOTALES DIARIOS'!A257,Consolidado!$F$6:$F$380)</f>
        <v>0</v>
      </c>
      <c r="G257" s="218">
        <f>SUMIF(Consolidado!$A$6:$A$380,'TOTALES DIARIOS'!A257,Consolidado!$G$6:$G$380)</f>
        <v>0</v>
      </c>
      <c r="H257" s="219">
        <f t="shared" si="41"/>
        <v>0</v>
      </c>
      <c r="I257" s="99">
        <f t="shared" si="42"/>
        <v>0</v>
      </c>
      <c r="J257" s="99">
        <f t="shared" si="43"/>
        <v>0</v>
      </c>
      <c r="K257" s="113">
        <f t="shared" si="44"/>
        <v>2024</v>
      </c>
      <c r="L257" s="113">
        <f t="shared" si="45"/>
        <v>9</v>
      </c>
      <c r="M257" s="115">
        <f t="array" ref="M257">MIN(IF(Consolidado!$A$6:$A$1000='TOTALES DIARIOS'!A257,IF(Consolidado!$C$6:$C$1000&gt;TIMEVALUE("07:00"),Consolidado!$C$6:$C$1000,1)))</f>
        <v>0</v>
      </c>
      <c r="N257" s="115">
        <f t="array" ref="N257">MIN(IF(Consolidado!$A$6:$A$1000='TOTALES DIARIOS'!A257,IF(Consolidado!$C$6:$C$1000&lt;=M257,Consolidado!$C$6:$C$1000,1)))</f>
        <v>0</v>
      </c>
      <c r="O257" s="115">
        <f t="array" ref="O257">MAX(IF(Consolidado!$A$6:$A$1000='TOTALES DIARIOS'!A257,IF(Consolidado!$D$6:$D$1000&gt;=M257,Consolidado!$D$6:$D$1000,0)))</f>
        <v>0</v>
      </c>
      <c r="P257" s="118">
        <f t="array" ref="P257">MAX(IF(Consolidado!$A$6:$A$1000='TOTALES DIARIOS'!A257,IF(Consolidado!$D$6:$D$1000&lt;=M257,Consolidado!$D$6:$D$1000,0)))</f>
        <v>0</v>
      </c>
      <c r="Q257" s="117">
        <f t="shared" si="49"/>
        <v>0</v>
      </c>
      <c r="R257" s="117">
        <f t="shared" si="48"/>
        <v>0</v>
      </c>
      <c r="S257" s="104" t="str">
        <f t="shared" si="46"/>
        <v>NO</v>
      </c>
    </row>
    <row r="258" spans="1:19" x14ac:dyDescent="0.25">
      <c r="A258" s="221">
        <f t="shared" si="47"/>
        <v>45546</v>
      </c>
      <c r="B258" s="130" t="str">
        <f t="shared" si="38"/>
        <v/>
      </c>
      <c r="C258" s="217">
        <f t="shared" si="39"/>
        <v>0</v>
      </c>
      <c r="D258" s="217">
        <f t="shared" si="40"/>
        <v>0</v>
      </c>
      <c r="E258" s="218">
        <f>SUMIF(Consolidado!$A$6:$A$380,'TOTALES DIARIOS'!A258,Consolidado!$E$6:$E$380)</f>
        <v>0</v>
      </c>
      <c r="F258" s="218">
        <f>SUMIF(Consolidado!$A$6:$A$380,'TOTALES DIARIOS'!A258,Consolidado!$F$6:$F$380)</f>
        <v>0</v>
      </c>
      <c r="G258" s="218">
        <f>SUMIF(Consolidado!$A$6:$A$380,'TOTALES DIARIOS'!A258,Consolidado!$G$6:$G$380)</f>
        <v>0</v>
      </c>
      <c r="H258" s="219">
        <f t="shared" si="41"/>
        <v>0</v>
      </c>
      <c r="I258" s="99">
        <f t="shared" si="42"/>
        <v>0</v>
      </c>
      <c r="J258" s="99">
        <f t="shared" si="43"/>
        <v>0</v>
      </c>
      <c r="K258" s="113">
        <f t="shared" si="44"/>
        <v>2024</v>
      </c>
      <c r="L258" s="113">
        <f t="shared" si="45"/>
        <v>9</v>
      </c>
      <c r="M258" s="115">
        <f t="array" ref="M258">MIN(IF(Consolidado!$A$6:$A$1000='TOTALES DIARIOS'!A258,IF(Consolidado!$C$6:$C$1000&gt;TIMEVALUE("07:00"),Consolidado!$C$6:$C$1000,1)))</f>
        <v>0</v>
      </c>
      <c r="N258" s="115">
        <f t="array" ref="N258">MIN(IF(Consolidado!$A$6:$A$1000='TOTALES DIARIOS'!A258,IF(Consolidado!$C$6:$C$1000&lt;=M258,Consolidado!$C$6:$C$1000,1)))</f>
        <v>0</v>
      </c>
      <c r="O258" s="115">
        <f t="array" ref="O258">MAX(IF(Consolidado!$A$6:$A$1000='TOTALES DIARIOS'!A258,IF(Consolidado!$D$6:$D$1000&gt;=M258,Consolidado!$D$6:$D$1000,0)))</f>
        <v>0</v>
      </c>
      <c r="P258" s="118">
        <f t="array" ref="P258">MAX(IF(Consolidado!$A$6:$A$1000='TOTALES DIARIOS'!A258,IF(Consolidado!$D$6:$D$1000&lt;=M258,Consolidado!$D$6:$D$1000,0)))</f>
        <v>0</v>
      </c>
      <c r="Q258" s="117">
        <f t="shared" si="49"/>
        <v>0</v>
      </c>
      <c r="R258" s="117">
        <f t="shared" si="48"/>
        <v>0</v>
      </c>
      <c r="S258" s="104" t="str">
        <f t="shared" si="46"/>
        <v>NO</v>
      </c>
    </row>
    <row r="259" spans="1:19" x14ac:dyDescent="0.25">
      <c r="A259" s="221">
        <f t="shared" si="47"/>
        <v>45547</v>
      </c>
      <c r="B259" s="130" t="str">
        <f t="shared" si="38"/>
        <v/>
      </c>
      <c r="C259" s="217">
        <f t="shared" si="39"/>
        <v>0</v>
      </c>
      <c r="D259" s="217">
        <f t="shared" si="40"/>
        <v>0</v>
      </c>
      <c r="E259" s="218">
        <f>SUMIF(Consolidado!$A$6:$A$380,'TOTALES DIARIOS'!A259,Consolidado!$E$6:$E$380)</f>
        <v>0</v>
      </c>
      <c r="F259" s="218">
        <f>SUMIF(Consolidado!$A$6:$A$380,'TOTALES DIARIOS'!A259,Consolidado!$F$6:$F$380)</f>
        <v>0</v>
      </c>
      <c r="G259" s="218">
        <f>SUMIF(Consolidado!$A$6:$A$380,'TOTALES DIARIOS'!A259,Consolidado!$G$6:$G$380)</f>
        <v>0</v>
      </c>
      <c r="H259" s="219">
        <f t="shared" si="41"/>
        <v>0</v>
      </c>
      <c r="I259" s="99">
        <f t="shared" si="42"/>
        <v>0</v>
      </c>
      <c r="J259" s="99">
        <f t="shared" si="43"/>
        <v>0</v>
      </c>
      <c r="K259" s="113">
        <f t="shared" si="44"/>
        <v>2024</v>
      </c>
      <c r="L259" s="113">
        <f t="shared" si="45"/>
        <v>9</v>
      </c>
      <c r="M259" s="115">
        <f t="array" ref="M259">MIN(IF(Consolidado!$A$6:$A$1000='TOTALES DIARIOS'!A259,IF(Consolidado!$C$6:$C$1000&gt;TIMEVALUE("07:00"),Consolidado!$C$6:$C$1000,1)))</f>
        <v>0</v>
      </c>
      <c r="N259" s="115">
        <f t="array" ref="N259">MIN(IF(Consolidado!$A$6:$A$1000='TOTALES DIARIOS'!A259,IF(Consolidado!$C$6:$C$1000&lt;=M259,Consolidado!$C$6:$C$1000,1)))</f>
        <v>0</v>
      </c>
      <c r="O259" s="115">
        <f t="array" ref="O259">MAX(IF(Consolidado!$A$6:$A$1000='TOTALES DIARIOS'!A259,IF(Consolidado!$D$6:$D$1000&gt;=M259,Consolidado!$D$6:$D$1000,0)))</f>
        <v>0</v>
      </c>
      <c r="P259" s="118">
        <f t="array" ref="P259">MAX(IF(Consolidado!$A$6:$A$1000='TOTALES DIARIOS'!A259,IF(Consolidado!$D$6:$D$1000&lt;=M259,Consolidado!$D$6:$D$1000,0)))</f>
        <v>0</v>
      </c>
      <c r="Q259" s="117">
        <f t="shared" si="49"/>
        <v>0</v>
      </c>
      <c r="R259" s="117">
        <f t="shared" si="48"/>
        <v>0</v>
      </c>
      <c r="S259" s="104" t="str">
        <f t="shared" si="46"/>
        <v>NO</v>
      </c>
    </row>
    <row r="260" spans="1:19" x14ac:dyDescent="0.25">
      <c r="A260" s="221">
        <f t="shared" si="47"/>
        <v>45548</v>
      </c>
      <c r="B260" s="130" t="str">
        <f t="shared" ref="B260:B323" si="50">IF(G260=0,"",C260-"1:00")</f>
        <v/>
      </c>
      <c r="C260" s="217">
        <f t="shared" ref="C260:C323" si="51">Q260</f>
        <v>0</v>
      </c>
      <c r="D260" s="217">
        <f t="shared" ref="D260:D323" si="52">R260</f>
        <v>0</v>
      </c>
      <c r="E260" s="218">
        <f>SUMIF(Consolidado!$A$6:$A$380,'TOTALES DIARIOS'!A260,Consolidado!$E$6:$E$380)</f>
        <v>0</v>
      </c>
      <c r="F260" s="218">
        <f>SUMIF(Consolidado!$A$6:$A$380,'TOTALES DIARIOS'!A260,Consolidado!$F$6:$F$380)</f>
        <v>0</v>
      </c>
      <c r="G260" s="218">
        <f>SUMIF(Consolidado!$A$6:$A$380,'TOTALES DIARIOS'!A260,Consolidado!$G$6:$G$380)</f>
        <v>0</v>
      </c>
      <c r="H260" s="219">
        <f t="shared" ref="H260:H323" si="53">IF(B260="",0,IF(B260&lt;D260,D260-B260+"0:30","24:00"-B260+D260+"0:30"))*24</f>
        <v>0</v>
      </c>
      <c r="I260" s="99">
        <f t="shared" ref="I260:I323" si="54">IF(G260&lt;&gt;0,1,0)</f>
        <v>0</v>
      </c>
      <c r="J260" s="99">
        <f t="shared" ref="J260:J323" si="55">IF(H260=0,0,IF((D260-"3:30")&gt;(C260-"3:30"),1,2))</f>
        <v>0</v>
      </c>
      <c r="K260" s="113">
        <f t="shared" ref="K260:K323" si="56">YEAR(A260)</f>
        <v>2024</v>
      </c>
      <c r="L260" s="113">
        <f t="shared" ref="L260:L323" si="57">MONTH(A260)</f>
        <v>9</v>
      </c>
      <c r="M260" s="115">
        <f t="array" ref="M260">MIN(IF(Consolidado!$A$6:$A$1000='TOTALES DIARIOS'!A260,IF(Consolidado!$C$6:$C$1000&gt;TIMEVALUE("07:00"),Consolidado!$C$6:$C$1000,1)))</f>
        <v>0</v>
      </c>
      <c r="N260" s="115">
        <f t="array" ref="N260">MIN(IF(Consolidado!$A$6:$A$1000='TOTALES DIARIOS'!A260,IF(Consolidado!$C$6:$C$1000&lt;=M260,Consolidado!$C$6:$C$1000,1)))</f>
        <v>0</v>
      </c>
      <c r="O260" s="115">
        <f t="array" ref="O260">MAX(IF(Consolidado!$A$6:$A$1000='TOTALES DIARIOS'!A260,IF(Consolidado!$D$6:$D$1000&gt;=M260,Consolidado!$D$6:$D$1000,0)))</f>
        <v>0</v>
      </c>
      <c r="P260" s="118">
        <f t="array" ref="P260">MAX(IF(Consolidado!$A$6:$A$1000='TOTALES DIARIOS'!A260,IF(Consolidado!$D$6:$D$1000&lt;=M260,Consolidado!$D$6:$D$1000,0)))</f>
        <v>0</v>
      </c>
      <c r="Q260" s="117">
        <f t="shared" si="49"/>
        <v>0</v>
      </c>
      <c r="R260" s="117">
        <f t="shared" si="48"/>
        <v>0</v>
      </c>
      <c r="S260" s="104" t="str">
        <f t="shared" ref="S260:S323" si="58">IF(D260&gt;AB260,"SI","NO")</f>
        <v>NO</v>
      </c>
    </row>
    <row r="261" spans="1:19" x14ac:dyDescent="0.25">
      <c r="A261" s="221">
        <f t="shared" si="47"/>
        <v>45549</v>
      </c>
      <c r="B261" s="130" t="str">
        <f t="shared" si="50"/>
        <v/>
      </c>
      <c r="C261" s="217">
        <f t="shared" si="51"/>
        <v>0</v>
      </c>
      <c r="D261" s="217">
        <f t="shared" si="52"/>
        <v>0</v>
      </c>
      <c r="E261" s="218">
        <f>SUMIF(Consolidado!$A$6:$A$380,'TOTALES DIARIOS'!A261,Consolidado!$E$6:$E$380)</f>
        <v>0</v>
      </c>
      <c r="F261" s="218">
        <f>SUMIF(Consolidado!$A$6:$A$380,'TOTALES DIARIOS'!A261,Consolidado!$F$6:$F$380)</f>
        <v>0</v>
      </c>
      <c r="G261" s="218">
        <f>SUMIF(Consolidado!$A$6:$A$380,'TOTALES DIARIOS'!A261,Consolidado!$G$6:$G$380)</f>
        <v>0</v>
      </c>
      <c r="H261" s="219">
        <f t="shared" si="53"/>
        <v>0</v>
      </c>
      <c r="I261" s="99">
        <f t="shared" si="54"/>
        <v>0</v>
      </c>
      <c r="J261" s="99">
        <f t="shared" si="55"/>
        <v>0</v>
      </c>
      <c r="K261" s="113">
        <f t="shared" si="56"/>
        <v>2024</v>
      </c>
      <c r="L261" s="113">
        <f t="shared" si="57"/>
        <v>9</v>
      </c>
      <c r="M261" s="115">
        <f t="array" ref="M261">MIN(IF(Consolidado!$A$6:$A$1000='TOTALES DIARIOS'!A261,IF(Consolidado!$C$6:$C$1000&gt;TIMEVALUE("07:00"),Consolidado!$C$6:$C$1000,1)))</f>
        <v>0</v>
      </c>
      <c r="N261" s="115">
        <f t="array" ref="N261">MIN(IF(Consolidado!$A$6:$A$1000='TOTALES DIARIOS'!A261,IF(Consolidado!$C$6:$C$1000&lt;=M261,Consolidado!$C$6:$C$1000,1)))</f>
        <v>0</v>
      </c>
      <c r="O261" s="115">
        <f t="array" ref="O261">MAX(IF(Consolidado!$A$6:$A$1000='TOTALES DIARIOS'!A261,IF(Consolidado!$D$6:$D$1000&gt;=M261,Consolidado!$D$6:$D$1000,0)))</f>
        <v>0</v>
      </c>
      <c r="P261" s="118">
        <f t="array" ref="P261">MAX(IF(Consolidado!$A$6:$A$1000='TOTALES DIARIOS'!A261,IF(Consolidado!$D$6:$D$1000&lt;=M261,Consolidado!$D$6:$D$1000,0)))</f>
        <v>0</v>
      </c>
      <c r="Q261" s="117">
        <f t="shared" si="49"/>
        <v>0</v>
      </c>
      <c r="R261" s="117">
        <f t="shared" si="48"/>
        <v>0</v>
      </c>
      <c r="S261" s="104" t="str">
        <f t="shared" si="58"/>
        <v>NO</v>
      </c>
    </row>
    <row r="262" spans="1:19" x14ac:dyDescent="0.25">
      <c r="A262" s="221">
        <f t="shared" ref="A262:A325" si="59">IFERROR(A261+1,"")</f>
        <v>45550</v>
      </c>
      <c r="B262" s="130" t="str">
        <f t="shared" si="50"/>
        <v/>
      </c>
      <c r="C262" s="217">
        <f t="shared" si="51"/>
        <v>0</v>
      </c>
      <c r="D262" s="217">
        <f t="shared" si="52"/>
        <v>0</v>
      </c>
      <c r="E262" s="218">
        <f>SUMIF(Consolidado!$A$6:$A$380,'TOTALES DIARIOS'!A262,Consolidado!$E$6:$E$380)</f>
        <v>0</v>
      </c>
      <c r="F262" s="218">
        <f>SUMIF(Consolidado!$A$6:$A$380,'TOTALES DIARIOS'!A262,Consolidado!$F$6:$F$380)</f>
        <v>0</v>
      </c>
      <c r="G262" s="218">
        <f>SUMIF(Consolidado!$A$6:$A$380,'TOTALES DIARIOS'!A262,Consolidado!$G$6:$G$380)</f>
        <v>0</v>
      </c>
      <c r="H262" s="219">
        <f t="shared" si="53"/>
        <v>0</v>
      </c>
      <c r="I262" s="99">
        <f t="shared" si="54"/>
        <v>0</v>
      </c>
      <c r="J262" s="99">
        <f t="shared" si="55"/>
        <v>0</v>
      </c>
      <c r="K262" s="113">
        <f t="shared" si="56"/>
        <v>2024</v>
      </c>
      <c r="L262" s="113">
        <f t="shared" si="57"/>
        <v>9</v>
      </c>
      <c r="M262" s="115">
        <f t="array" ref="M262">MIN(IF(Consolidado!$A$6:$A$1000='TOTALES DIARIOS'!A262,IF(Consolidado!$C$6:$C$1000&gt;TIMEVALUE("07:00"),Consolidado!$C$6:$C$1000,1)))</f>
        <v>0</v>
      </c>
      <c r="N262" s="115">
        <f t="array" ref="N262">MIN(IF(Consolidado!$A$6:$A$1000='TOTALES DIARIOS'!A262,IF(Consolidado!$C$6:$C$1000&lt;=M262,Consolidado!$C$6:$C$1000,1)))</f>
        <v>0</v>
      </c>
      <c r="O262" s="115">
        <f t="array" ref="O262">MAX(IF(Consolidado!$A$6:$A$1000='TOTALES DIARIOS'!A262,IF(Consolidado!$D$6:$D$1000&gt;=M262,Consolidado!$D$6:$D$1000,0)))</f>
        <v>0</v>
      </c>
      <c r="P262" s="118">
        <f t="array" ref="P262">MAX(IF(Consolidado!$A$6:$A$1000='TOTALES DIARIOS'!A262,IF(Consolidado!$D$6:$D$1000&lt;=M262,Consolidado!$D$6:$D$1000,0)))</f>
        <v>0</v>
      </c>
      <c r="Q262" s="117">
        <f t="shared" si="49"/>
        <v>0</v>
      </c>
      <c r="R262" s="117">
        <f t="shared" si="48"/>
        <v>0</v>
      </c>
      <c r="S262" s="104" t="str">
        <f t="shared" si="58"/>
        <v>NO</v>
      </c>
    </row>
    <row r="263" spans="1:19" x14ac:dyDescent="0.25">
      <c r="A263" s="221">
        <f t="shared" si="59"/>
        <v>45551</v>
      </c>
      <c r="B263" s="130" t="str">
        <f t="shared" si="50"/>
        <v/>
      </c>
      <c r="C263" s="217">
        <f t="shared" si="51"/>
        <v>0</v>
      </c>
      <c r="D263" s="217">
        <f t="shared" si="52"/>
        <v>0</v>
      </c>
      <c r="E263" s="218">
        <f>SUMIF(Consolidado!$A$6:$A$380,'TOTALES DIARIOS'!A263,Consolidado!$E$6:$E$380)</f>
        <v>0</v>
      </c>
      <c r="F263" s="218">
        <f>SUMIF(Consolidado!$A$6:$A$380,'TOTALES DIARIOS'!A263,Consolidado!$F$6:$F$380)</f>
        <v>0</v>
      </c>
      <c r="G263" s="218">
        <f>SUMIF(Consolidado!$A$6:$A$380,'TOTALES DIARIOS'!A263,Consolidado!$G$6:$G$380)</f>
        <v>0</v>
      </c>
      <c r="H263" s="219">
        <f t="shared" si="53"/>
        <v>0</v>
      </c>
      <c r="I263" s="99">
        <f t="shared" si="54"/>
        <v>0</v>
      </c>
      <c r="J263" s="99">
        <f t="shared" si="55"/>
        <v>0</v>
      </c>
      <c r="K263" s="113">
        <f t="shared" si="56"/>
        <v>2024</v>
      </c>
      <c r="L263" s="113">
        <f t="shared" si="57"/>
        <v>9</v>
      </c>
      <c r="M263" s="115">
        <f t="array" ref="M263">MIN(IF(Consolidado!$A$6:$A$1000='TOTALES DIARIOS'!A263,IF(Consolidado!$C$6:$C$1000&gt;TIMEVALUE("07:00"),Consolidado!$C$6:$C$1000,1)))</f>
        <v>0</v>
      </c>
      <c r="N263" s="115">
        <f t="array" ref="N263">MIN(IF(Consolidado!$A$6:$A$1000='TOTALES DIARIOS'!A263,IF(Consolidado!$C$6:$C$1000&lt;=M263,Consolidado!$C$6:$C$1000,1)))</f>
        <v>0</v>
      </c>
      <c r="O263" s="115">
        <f t="array" ref="O263">MAX(IF(Consolidado!$A$6:$A$1000='TOTALES DIARIOS'!A263,IF(Consolidado!$D$6:$D$1000&gt;=M263,Consolidado!$D$6:$D$1000,0)))</f>
        <v>0</v>
      </c>
      <c r="P263" s="118">
        <f t="array" ref="P263">MAX(IF(Consolidado!$A$6:$A$1000='TOTALES DIARIOS'!A263,IF(Consolidado!$D$6:$D$1000&lt;=M263,Consolidado!$D$6:$D$1000,0)))</f>
        <v>0</v>
      </c>
      <c r="Q263" s="117">
        <f t="shared" si="49"/>
        <v>0</v>
      </c>
      <c r="R263" s="117">
        <f t="shared" ref="R263:R326" si="60">IF(O263=0,P263,IF(P263=0,O263,MIN(P263,O263)))</f>
        <v>0</v>
      </c>
      <c r="S263" s="104" t="str">
        <f t="shared" si="58"/>
        <v>NO</v>
      </c>
    </row>
    <row r="264" spans="1:19" x14ac:dyDescent="0.25">
      <c r="A264" s="221">
        <f t="shared" si="59"/>
        <v>45552</v>
      </c>
      <c r="B264" s="130" t="str">
        <f t="shared" si="50"/>
        <v/>
      </c>
      <c r="C264" s="217">
        <f t="shared" si="51"/>
        <v>0</v>
      </c>
      <c r="D264" s="217">
        <f t="shared" si="52"/>
        <v>0</v>
      </c>
      <c r="E264" s="218">
        <f>SUMIF(Consolidado!$A$6:$A$380,'TOTALES DIARIOS'!A264,Consolidado!$E$6:$E$380)</f>
        <v>0</v>
      </c>
      <c r="F264" s="218">
        <f>SUMIF(Consolidado!$A$6:$A$380,'TOTALES DIARIOS'!A264,Consolidado!$F$6:$F$380)</f>
        <v>0</v>
      </c>
      <c r="G264" s="218">
        <f>SUMIF(Consolidado!$A$6:$A$380,'TOTALES DIARIOS'!A264,Consolidado!$G$6:$G$380)</f>
        <v>0</v>
      </c>
      <c r="H264" s="219">
        <f t="shared" si="53"/>
        <v>0</v>
      </c>
      <c r="I264" s="99">
        <f t="shared" si="54"/>
        <v>0</v>
      </c>
      <c r="J264" s="99">
        <f t="shared" si="55"/>
        <v>0</v>
      </c>
      <c r="K264" s="113">
        <f t="shared" si="56"/>
        <v>2024</v>
      </c>
      <c r="L264" s="113">
        <f t="shared" si="57"/>
        <v>9</v>
      </c>
      <c r="M264" s="115">
        <f t="array" ref="M264">MIN(IF(Consolidado!$A$6:$A$1000='TOTALES DIARIOS'!A264,IF(Consolidado!$C$6:$C$1000&gt;TIMEVALUE("07:00"),Consolidado!$C$6:$C$1000,1)))</f>
        <v>0</v>
      </c>
      <c r="N264" s="115">
        <f t="array" ref="N264">MIN(IF(Consolidado!$A$6:$A$1000='TOTALES DIARIOS'!A264,IF(Consolidado!$C$6:$C$1000&lt;=M264,Consolidado!$C$6:$C$1000,1)))</f>
        <v>0</v>
      </c>
      <c r="O264" s="115">
        <f t="array" ref="O264">MAX(IF(Consolidado!$A$6:$A$1000='TOTALES DIARIOS'!A264,IF(Consolidado!$D$6:$D$1000&gt;=M264,Consolidado!$D$6:$D$1000,0)))</f>
        <v>0</v>
      </c>
      <c r="P264" s="118">
        <f t="array" ref="P264">MAX(IF(Consolidado!$A$6:$A$1000='TOTALES DIARIOS'!A264,IF(Consolidado!$D$6:$D$1000&lt;=M264,Consolidado!$D$6:$D$1000,0)))</f>
        <v>0</v>
      </c>
      <c r="Q264" s="117">
        <f t="shared" si="49"/>
        <v>0</v>
      </c>
      <c r="R264" s="117">
        <f t="shared" si="60"/>
        <v>0</v>
      </c>
      <c r="S264" s="104" t="str">
        <f t="shared" si="58"/>
        <v>NO</v>
      </c>
    </row>
    <row r="265" spans="1:19" x14ac:dyDescent="0.25">
      <c r="A265" s="221">
        <f t="shared" si="59"/>
        <v>45553</v>
      </c>
      <c r="B265" s="130" t="str">
        <f t="shared" si="50"/>
        <v/>
      </c>
      <c r="C265" s="217">
        <f t="shared" si="51"/>
        <v>0</v>
      </c>
      <c r="D265" s="217">
        <f t="shared" si="52"/>
        <v>0</v>
      </c>
      <c r="E265" s="218">
        <f>SUMIF(Consolidado!$A$6:$A$380,'TOTALES DIARIOS'!A265,Consolidado!$E$6:$E$380)</f>
        <v>0</v>
      </c>
      <c r="F265" s="218">
        <f>SUMIF(Consolidado!$A$6:$A$380,'TOTALES DIARIOS'!A265,Consolidado!$F$6:$F$380)</f>
        <v>0</v>
      </c>
      <c r="G265" s="218">
        <f>SUMIF(Consolidado!$A$6:$A$380,'TOTALES DIARIOS'!A265,Consolidado!$G$6:$G$380)</f>
        <v>0</v>
      </c>
      <c r="H265" s="219">
        <f t="shared" si="53"/>
        <v>0</v>
      </c>
      <c r="I265" s="99">
        <f t="shared" si="54"/>
        <v>0</v>
      </c>
      <c r="J265" s="99">
        <f t="shared" si="55"/>
        <v>0</v>
      </c>
      <c r="K265" s="113">
        <f t="shared" si="56"/>
        <v>2024</v>
      </c>
      <c r="L265" s="113">
        <f t="shared" si="57"/>
        <v>9</v>
      </c>
      <c r="M265" s="115">
        <f t="array" ref="M265">MIN(IF(Consolidado!$A$6:$A$1000='TOTALES DIARIOS'!A265,IF(Consolidado!$C$6:$C$1000&gt;TIMEVALUE("07:00"),Consolidado!$C$6:$C$1000,1)))</f>
        <v>0</v>
      </c>
      <c r="N265" s="115">
        <f t="array" ref="N265">MIN(IF(Consolidado!$A$6:$A$1000='TOTALES DIARIOS'!A265,IF(Consolidado!$C$6:$C$1000&lt;=M265,Consolidado!$C$6:$C$1000,1)))</f>
        <v>0</v>
      </c>
      <c r="O265" s="115">
        <f t="array" ref="O265">MAX(IF(Consolidado!$A$6:$A$1000='TOTALES DIARIOS'!A265,IF(Consolidado!$D$6:$D$1000&gt;=M265,Consolidado!$D$6:$D$1000,0)))</f>
        <v>0</v>
      </c>
      <c r="P265" s="118">
        <f t="array" ref="P265">MAX(IF(Consolidado!$A$6:$A$1000='TOTALES DIARIOS'!A265,IF(Consolidado!$D$6:$D$1000&lt;=M265,Consolidado!$D$6:$D$1000,0)))</f>
        <v>0</v>
      </c>
      <c r="Q265" s="117">
        <f t="shared" ref="Q265:Q328" si="61">IF(M265&lt;&gt;1,MAX(M265,N265),N265)</f>
        <v>0</v>
      </c>
      <c r="R265" s="117">
        <f t="shared" si="60"/>
        <v>0</v>
      </c>
      <c r="S265" s="104" t="str">
        <f t="shared" si="58"/>
        <v>NO</v>
      </c>
    </row>
    <row r="266" spans="1:19" x14ac:dyDescent="0.25">
      <c r="A266" s="221">
        <f t="shared" si="59"/>
        <v>45554</v>
      </c>
      <c r="B266" s="130" t="str">
        <f t="shared" si="50"/>
        <v/>
      </c>
      <c r="C266" s="217">
        <f t="shared" si="51"/>
        <v>0</v>
      </c>
      <c r="D266" s="217">
        <f t="shared" si="52"/>
        <v>0</v>
      </c>
      <c r="E266" s="218">
        <f>SUMIF(Consolidado!$A$6:$A$380,'TOTALES DIARIOS'!A266,Consolidado!$E$6:$E$380)</f>
        <v>0</v>
      </c>
      <c r="F266" s="218">
        <f>SUMIF(Consolidado!$A$6:$A$380,'TOTALES DIARIOS'!A266,Consolidado!$F$6:$F$380)</f>
        <v>0</v>
      </c>
      <c r="G266" s="218">
        <f>SUMIF(Consolidado!$A$6:$A$380,'TOTALES DIARIOS'!A266,Consolidado!$G$6:$G$380)</f>
        <v>0</v>
      </c>
      <c r="H266" s="219">
        <f t="shared" si="53"/>
        <v>0</v>
      </c>
      <c r="I266" s="99">
        <f t="shared" si="54"/>
        <v>0</v>
      </c>
      <c r="J266" s="99">
        <f t="shared" si="55"/>
        <v>0</v>
      </c>
      <c r="K266" s="113">
        <f t="shared" si="56"/>
        <v>2024</v>
      </c>
      <c r="L266" s="113">
        <f t="shared" si="57"/>
        <v>9</v>
      </c>
      <c r="M266" s="115">
        <f t="array" ref="M266">MIN(IF(Consolidado!$A$6:$A$1000='TOTALES DIARIOS'!A266,IF(Consolidado!$C$6:$C$1000&gt;TIMEVALUE("07:00"),Consolidado!$C$6:$C$1000,1)))</f>
        <v>0</v>
      </c>
      <c r="N266" s="115">
        <f t="array" ref="N266">MIN(IF(Consolidado!$A$6:$A$1000='TOTALES DIARIOS'!A266,IF(Consolidado!$C$6:$C$1000&lt;=M266,Consolidado!$C$6:$C$1000,1)))</f>
        <v>0</v>
      </c>
      <c r="O266" s="115">
        <f t="array" ref="O266">MAX(IF(Consolidado!$A$6:$A$1000='TOTALES DIARIOS'!A266,IF(Consolidado!$D$6:$D$1000&gt;=M266,Consolidado!$D$6:$D$1000,0)))</f>
        <v>0</v>
      </c>
      <c r="P266" s="118">
        <f t="array" ref="P266">MAX(IF(Consolidado!$A$6:$A$1000='TOTALES DIARIOS'!A266,IF(Consolidado!$D$6:$D$1000&lt;=M266,Consolidado!$D$6:$D$1000,0)))</f>
        <v>0</v>
      </c>
      <c r="Q266" s="117">
        <f t="shared" si="61"/>
        <v>0</v>
      </c>
      <c r="R266" s="117">
        <f t="shared" si="60"/>
        <v>0</v>
      </c>
      <c r="S266" s="104" t="str">
        <f t="shared" si="58"/>
        <v>NO</v>
      </c>
    </row>
    <row r="267" spans="1:19" x14ac:dyDescent="0.25">
      <c r="A267" s="221">
        <f t="shared" si="59"/>
        <v>45555</v>
      </c>
      <c r="B267" s="130" t="str">
        <f t="shared" si="50"/>
        <v/>
      </c>
      <c r="C267" s="217">
        <f t="shared" si="51"/>
        <v>0</v>
      </c>
      <c r="D267" s="217">
        <f t="shared" si="52"/>
        <v>0</v>
      </c>
      <c r="E267" s="218">
        <f>SUMIF(Consolidado!$A$6:$A$380,'TOTALES DIARIOS'!A267,Consolidado!$E$6:$E$380)</f>
        <v>0</v>
      </c>
      <c r="F267" s="218">
        <f>SUMIF(Consolidado!$A$6:$A$380,'TOTALES DIARIOS'!A267,Consolidado!$F$6:$F$380)</f>
        <v>0</v>
      </c>
      <c r="G267" s="218">
        <f>SUMIF(Consolidado!$A$6:$A$380,'TOTALES DIARIOS'!A267,Consolidado!$G$6:$G$380)</f>
        <v>0</v>
      </c>
      <c r="H267" s="219">
        <f t="shared" si="53"/>
        <v>0</v>
      </c>
      <c r="I267" s="99">
        <f t="shared" si="54"/>
        <v>0</v>
      </c>
      <c r="J267" s="99">
        <f t="shared" si="55"/>
        <v>0</v>
      </c>
      <c r="K267" s="113">
        <f t="shared" si="56"/>
        <v>2024</v>
      </c>
      <c r="L267" s="113">
        <f t="shared" si="57"/>
        <v>9</v>
      </c>
      <c r="M267" s="115">
        <f t="array" ref="M267">MIN(IF(Consolidado!$A$6:$A$1000='TOTALES DIARIOS'!A267,IF(Consolidado!$C$6:$C$1000&gt;TIMEVALUE("07:00"),Consolidado!$C$6:$C$1000,1)))</f>
        <v>0</v>
      </c>
      <c r="N267" s="115">
        <f t="array" ref="N267">MIN(IF(Consolidado!$A$6:$A$1000='TOTALES DIARIOS'!A267,IF(Consolidado!$C$6:$C$1000&lt;=M267,Consolidado!$C$6:$C$1000,1)))</f>
        <v>0</v>
      </c>
      <c r="O267" s="115">
        <f t="array" ref="O267">MAX(IF(Consolidado!$A$6:$A$1000='TOTALES DIARIOS'!A267,IF(Consolidado!$D$6:$D$1000&gt;=M267,Consolidado!$D$6:$D$1000,0)))</f>
        <v>0</v>
      </c>
      <c r="P267" s="118">
        <f t="array" ref="P267">MAX(IF(Consolidado!$A$6:$A$1000='TOTALES DIARIOS'!A267,IF(Consolidado!$D$6:$D$1000&lt;=M267,Consolidado!$D$6:$D$1000,0)))</f>
        <v>0</v>
      </c>
      <c r="Q267" s="117">
        <f t="shared" si="61"/>
        <v>0</v>
      </c>
      <c r="R267" s="117">
        <f t="shared" si="60"/>
        <v>0</v>
      </c>
      <c r="S267" s="104" t="str">
        <f t="shared" si="58"/>
        <v>NO</v>
      </c>
    </row>
    <row r="268" spans="1:19" x14ac:dyDescent="0.25">
      <c r="A268" s="221">
        <f t="shared" si="59"/>
        <v>45556</v>
      </c>
      <c r="B268" s="130" t="str">
        <f t="shared" si="50"/>
        <v/>
      </c>
      <c r="C268" s="217">
        <f t="shared" si="51"/>
        <v>0</v>
      </c>
      <c r="D268" s="217">
        <f t="shared" si="52"/>
        <v>0</v>
      </c>
      <c r="E268" s="218">
        <f>SUMIF(Consolidado!$A$6:$A$380,'TOTALES DIARIOS'!A268,Consolidado!$E$6:$E$380)</f>
        <v>0</v>
      </c>
      <c r="F268" s="218">
        <f>SUMIF(Consolidado!$A$6:$A$380,'TOTALES DIARIOS'!A268,Consolidado!$F$6:$F$380)</f>
        <v>0</v>
      </c>
      <c r="G268" s="218">
        <f>SUMIF(Consolidado!$A$6:$A$380,'TOTALES DIARIOS'!A268,Consolidado!$G$6:$G$380)</f>
        <v>0</v>
      </c>
      <c r="H268" s="219">
        <f t="shared" si="53"/>
        <v>0</v>
      </c>
      <c r="I268" s="99">
        <f t="shared" si="54"/>
        <v>0</v>
      </c>
      <c r="J268" s="99">
        <f t="shared" si="55"/>
        <v>0</v>
      </c>
      <c r="K268" s="113">
        <f t="shared" si="56"/>
        <v>2024</v>
      </c>
      <c r="L268" s="113">
        <f t="shared" si="57"/>
        <v>9</v>
      </c>
      <c r="M268" s="115">
        <f t="array" ref="M268">MIN(IF(Consolidado!$A$6:$A$1000='TOTALES DIARIOS'!A268,IF(Consolidado!$C$6:$C$1000&gt;TIMEVALUE("07:00"),Consolidado!$C$6:$C$1000,1)))</f>
        <v>0</v>
      </c>
      <c r="N268" s="115">
        <f t="array" ref="N268">MIN(IF(Consolidado!$A$6:$A$1000='TOTALES DIARIOS'!A268,IF(Consolidado!$C$6:$C$1000&lt;=M268,Consolidado!$C$6:$C$1000,1)))</f>
        <v>0</v>
      </c>
      <c r="O268" s="115">
        <f t="array" ref="O268">MAX(IF(Consolidado!$A$6:$A$1000='TOTALES DIARIOS'!A268,IF(Consolidado!$D$6:$D$1000&gt;=M268,Consolidado!$D$6:$D$1000,0)))</f>
        <v>0</v>
      </c>
      <c r="P268" s="118">
        <f t="array" ref="P268">MAX(IF(Consolidado!$A$6:$A$1000='TOTALES DIARIOS'!A268,IF(Consolidado!$D$6:$D$1000&lt;=M268,Consolidado!$D$6:$D$1000,0)))</f>
        <v>0</v>
      </c>
      <c r="Q268" s="117">
        <f t="shared" si="61"/>
        <v>0</v>
      </c>
      <c r="R268" s="117">
        <f t="shared" si="60"/>
        <v>0</v>
      </c>
      <c r="S268" s="104" t="str">
        <f t="shared" si="58"/>
        <v>NO</v>
      </c>
    </row>
    <row r="269" spans="1:19" x14ac:dyDescent="0.25">
      <c r="A269" s="221">
        <f t="shared" si="59"/>
        <v>45557</v>
      </c>
      <c r="B269" s="130" t="str">
        <f t="shared" si="50"/>
        <v/>
      </c>
      <c r="C269" s="217">
        <f t="shared" si="51"/>
        <v>0</v>
      </c>
      <c r="D269" s="217">
        <f t="shared" si="52"/>
        <v>0</v>
      </c>
      <c r="E269" s="218">
        <f>SUMIF(Consolidado!$A$6:$A$380,'TOTALES DIARIOS'!A269,Consolidado!$E$6:$E$380)</f>
        <v>0</v>
      </c>
      <c r="F269" s="218">
        <f>SUMIF(Consolidado!$A$6:$A$380,'TOTALES DIARIOS'!A269,Consolidado!$F$6:$F$380)</f>
        <v>0</v>
      </c>
      <c r="G269" s="218">
        <f>SUMIF(Consolidado!$A$6:$A$380,'TOTALES DIARIOS'!A269,Consolidado!$G$6:$G$380)</f>
        <v>0</v>
      </c>
      <c r="H269" s="219">
        <f t="shared" si="53"/>
        <v>0</v>
      </c>
      <c r="I269" s="99">
        <f t="shared" si="54"/>
        <v>0</v>
      </c>
      <c r="J269" s="99">
        <f t="shared" si="55"/>
        <v>0</v>
      </c>
      <c r="K269" s="113">
        <f t="shared" si="56"/>
        <v>2024</v>
      </c>
      <c r="L269" s="113">
        <f t="shared" si="57"/>
        <v>9</v>
      </c>
      <c r="M269" s="115">
        <f t="array" ref="M269">MIN(IF(Consolidado!$A$6:$A$1000='TOTALES DIARIOS'!A269,IF(Consolidado!$C$6:$C$1000&gt;TIMEVALUE("07:00"),Consolidado!$C$6:$C$1000,1)))</f>
        <v>0</v>
      </c>
      <c r="N269" s="115">
        <f t="array" ref="N269">MIN(IF(Consolidado!$A$6:$A$1000='TOTALES DIARIOS'!A269,IF(Consolidado!$C$6:$C$1000&lt;=M269,Consolidado!$C$6:$C$1000,1)))</f>
        <v>0</v>
      </c>
      <c r="O269" s="115">
        <f t="array" ref="O269">MAX(IF(Consolidado!$A$6:$A$1000='TOTALES DIARIOS'!A269,IF(Consolidado!$D$6:$D$1000&gt;=M269,Consolidado!$D$6:$D$1000,0)))</f>
        <v>0</v>
      </c>
      <c r="P269" s="118">
        <f t="array" ref="P269">MAX(IF(Consolidado!$A$6:$A$1000='TOTALES DIARIOS'!A269,IF(Consolidado!$D$6:$D$1000&lt;=M269,Consolidado!$D$6:$D$1000,0)))</f>
        <v>0</v>
      </c>
      <c r="Q269" s="117">
        <f t="shared" si="61"/>
        <v>0</v>
      </c>
      <c r="R269" s="117">
        <f t="shared" si="60"/>
        <v>0</v>
      </c>
      <c r="S269" s="104" t="str">
        <f t="shared" si="58"/>
        <v>NO</v>
      </c>
    </row>
    <row r="270" spans="1:19" x14ac:dyDescent="0.25">
      <c r="A270" s="221">
        <f t="shared" si="59"/>
        <v>45558</v>
      </c>
      <c r="B270" s="130" t="str">
        <f t="shared" si="50"/>
        <v/>
      </c>
      <c r="C270" s="217">
        <f t="shared" si="51"/>
        <v>0</v>
      </c>
      <c r="D270" s="217">
        <f t="shared" si="52"/>
        <v>0</v>
      </c>
      <c r="E270" s="218">
        <f>SUMIF(Consolidado!$A$6:$A$380,'TOTALES DIARIOS'!A270,Consolidado!$E$6:$E$380)</f>
        <v>0</v>
      </c>
      <c r="F270" s="218">
        <f>SUMIF(Consolidado!$A$6:$A$380,'TOTALES DIARIOS'!A270,Consolidado!$F$6:$F$380)</f>
        <v>0</v>
      </c>
      <c r="G270" s="218">
        <f>SUMIF(Consolidado!$A$6:$A$380,'TOTALES DIARIOS'!A270,Consolidado!$G$6:$G$380)</f>
        <v>0</v>
      </c>
      <c r="H270" s="219">
        <f t="shared" si="53"/>
        <v>0</v>
      </c>
      <c r="I270" s="99">
        <f t="shared" si="54"/>
        <v>0</v>
      </c>
      <c r="J270" s="99">
        <f t="shared" si="55"/>
        <v>0</v>
      </c>
      <c r="K270" s="113">
        <f t="shared" si="56"/>
        <v>2024</v>
      </c>
      <c r="L270" s="113">
        <f t="shared" si="57"/>
        <v>9</v>
      </c>
      <c r="M270" s="115">
        <f t="array" ref="M270">MIN(IF(Consolidado!$A$6:$A$1000='TOTALES DIARIOS'!A270,IF(Consolidado!$C$6:$C$1000&gt;TIMEVALUE("07:00"),Consolidado!$C$6:$C$1000,1)))</f>
        <v>0</v>
      </c>
      <c r="N270" s="115">
        <f t="array" ref="N270">MIN(IF(Consolidado!$A$6:$A$1000='TOTALES DIARIOS'!A270,IF(Consolidado!$C$6:$C$1000&lt;=M270,Consolidado!$C$6:$C$1000,1)))</f>
        <v>0</v>
      </c>
      <c r="O270" s="115">
        <f t="array" ref="O270">MAX(IF(Consolidado!$A$6:$A$1000='TOTALES DIARIOS'!A270,IF(Consolidado!$D$6:$D$1000&gt;=M270,Consolidado!$D$6:$D$1000,0)))</f>
        <v>0</v>
      </c>
      <c r="P270" s="118">
        <f t="array" ref="P270">MAX(IF(Consolidado!$A$6:$A$1000='TOTALES DIARIOS'!A270,IF(Consolidado!$D$6:$D$1000&lt;=M270,Consolidado!$D$6:$D$1000,0)))</f>
        <v>0</v>
      </c>
      <c r="Q270" s="117">
        <f t="shared" si="61"/>
        <v>0</v>
      </c>
      <c r="R270" s="117">
        <f t="shared" si="60"/>
        <v>0</v>
      </c>
      <c r="S270" s="104" t="str">
        <f t="shared" si="58"/>
        <v>NO</v>
      </c>
    </row>
    <row r="271" spans="1:19" x14ac:dyDescent="0.25">
      <c r="A271" s="221">
        <f t="shared" si="59"/>
        <v>45559</v>
      </c>
      <c r="B271" s="130" t="str">
        <f t="shared" si="50"/>
        <v/>
      </c>
      <c r="C271" s="217">
        <f t="shared" si="51"/>
        <v>0</v>
      </c>
      <c r="D271" s="217">
        <f t="shared" si="52"/>
        <v>0</v>
      </c>
      <c r="E271" s="218">
        <f>SUMIF(Consolidado!$A$6:$A$380,'TOTALES DIARIOS'!A271,Consolidado!$E$6:$E$380)</f>
        <v>0</v>
      </c>
      <c r="F271" s="218">
        <f>SUMIF(Consolidado!$A$6:$A$380,'TOTALES DIARIOS'!A271,Consolidado!$F$6:$F$380)</f>
        <v>0</v>
      </c>
      <c r="G271" s="218">
        <f>SUMIF(Consolidado!$A$6:$A$380,'TOTALES DIARIOS'!A271,Consolidado!$G$6:$G$380)</f>
        <v>0</v>
      </c>
      <c r="H271" s="219">
        <f t="shared" si="53"/>
        <v>0</v>
      </c>
      <c r="I271" s="99">
        <f t="shared" si="54"/>
        <v>0</v>
      </c>
      <c r="J271" s="99">
        <f t="shared" si="55"/>
        <v>0</v>
      </c>
      <c r="K271" s="113">
        <f t="shared" si="56"/>
        <v>2024</v>
      </c>
      <c r="L271" s="113">
        <f t="shared" si="57"/>
        <v>9</v>
      </c>
      <c r="M271" s="115">
        <f t="array" ref="M271">MIN(IF(Consolidado!$A$6:$A$1000='TOTALES DIARIOS'!A271,IF(Consolidado!$C$6:$C$1000&gt;TIMEVALUE("07:00"),Consolidado!$C$6:$C$1000,1)))</f>
        <v>0</v>
      </c>
      <c r="N271" s="115">
        <f t="array" ref="N271">MIN(IF(Consolidado!$A$6:$A$1000='TOTALES DIARIOS'!A271,IF(Consolidado!$C$6:$C$1000&lt;=M271,Consolidado!$C$6:$C$1000,1)))</f>
        <v>0</v>
      </c>
      <c r="O271" s="115">
        <f t="array" ref="O271">MAX(IF(Consolidado!$A$6:$A$1000='TOTALES DIARIOS'!A271,IF(Consolidado!$D$6:$D$1000&gt;=M271,Consolidado!$D$6:$D$1000,0)))</f>
        <v>0</v>
      </c>
      <c r="P271" s="118">
        <f t="array" ref="P271">MAX(IF(Consolidado!$A$6:$A$1000='TOTALES DIARIOS'!A271,IF(Consolidado!$D$6:$D$1000&lt;=M271,Consolidado!$D$6:$D$1000,0)))</f>
        <v>0</v>
      </c>
      <c r="Q271" s="117">
        <f t="shared" si="61"/>
        <v>0</v>
      </c>
      <c r="R271" s="117">
        <f t="shared" si="60"/>
        <v>0</v>
      </c>
      <c r="S271" s="104" t="str">
        <f t="shared" si="58"/>
        <v>NO</v>
      </c>
    </row>
    <row r="272" spans="1:19" x14ac:dyDescent="0.25">
      <c r="A272" s="221">
        <f t="shared" si="59"/>
        <v>45560</v>
      </c>
      <c r="B272" s="130" t="str">
        <f t="shared" si="50"/>
        <v/>
      </c>
      <c r="C272" s="217">
        <f t="shared" si="51"/>
        <v>0</v>
      </c>
      <c r="D272" s="217">
        <f t="shared" si="52"/>
        <v>0</v>
      </c>
      <c r="E272" s="218">
        <f>SUMIF(Consolidado!$A$6:$A$380,'TOTALES DIARIOS'!A272,Consolidado!$E$6:$E$380)</f>
        <v>0</v>
      </c>
      <c r="F272" s="218">
        <f>SUMIF(Consolidado!$A$6:$A$380,'TOTALES DIARIOS'!A272,Consolidado!$F$6:$F$380)</f>
        <v>0</v>
      </c>
      <c r="G272" s="218">
        <f>SUMIF(Consolidado!$A$6:$A$380,'TOTALES DIARIOS'!A272,Consolidado!$G$6:$G$380)</f>
        <v>0</v>
      </c>
      <c r="H272" s="219">
        <f t="shared" si="53"/>
        <v>0</v>
      </c>
      <c r="I272" s="99">
        <f t="shared" si="54"/>
        <v>0</v>
      </c>
      <c r="J272" s="99">
        <f t="shared" si="55"/>
        <v>0</v>
      </c>
      <c r="K272" s="113">
        <f t="shared" si="56"/>
        <v>2024</v>
      </c>
      <c r="L272" s="113">
        <f t="shared" si="57"/>
        <v>9</v>
      </c>
      <c r="M272" s="115">
        <f t="array" ref="M272">MIN(IF(Consolidado!$A$6:$A$1000='TOTALES DIARIOS'!A272,IF(Consolidado!$C$6:$C$1000&gt;TIMEVALUE("07:00"),Consolidado!$C$6:$C$1000,1)))</f>
        <v>0</v>
      </c>
      <c r="N272" s="115">
        <f t="array" ref="N272">MIN(IF(Consolidado!$A$6:$A$1000='TOTALES DIARIOS'!A272,IF(Consolidado!$C$6:$C$1000&lt;=M272,Consolidado!$C$6:$C$1000,1)))</f>
        <v>0</v>
      </c>
      <c r="O272" s="115">
        <f t="array" ref="O272">MAX(IF(Consolidado!$A$6:$A$1000='TOTALES DIARIOS'!A272,IF(Consolidado!$D$6:$D$1000&gt;=M272,Consolidado!$D$6:$D$1000,0)))</f>
        <v>0</v>
      </c>
      <c r="P272" s="118">
        <f t="array" ref="P272">MAX(IF(Consolidado!$A$6:$A$1000='TOTALES DIARIOS'!A272,IF(Consolidado!$D$6:$D$1000&lt;=M272,Consolidado!$D$6:$D$1000,0)))</f>
        <v>0</v>
      </c>
      <c r="Q272" s="117">
        <f t="shared" si="61"/>
        <v>0</v>
      </c>
      <c r="R272" s="117">
        <f t="shared" si="60"/>
        <v>0</v>
      </c>
      <c r="S272" s="104" t="str">
        <f t="shared" si="58"/>
        <v>NO</v>
      </c>
    </row>
    <row r="273" spans="1:19" x14ac:dyDescent="0.25">
      <c r="A273" s="221">
        <f t="shared" si="59"/>
        <v>45561</v>
      </c>
      <c r="B273" s="130" t="str">
        <f t="shared" si="50"/>
        <v/>
      </c>
      <c r="C273" s="217">
        <f t="shared" si="51"/>
        <v>0</v>
      </c>
      <c r="D273" s="217">
        <f t="shared" si="52"/>
        <v>0</v>
      </c>
      <c r="E273" s="218">
        <f>SUMIF(Consolidado!$A$6:$A$380,'TOTALES DIARIOS'!A273,Consolidado!$E$6:$E$380)</f>
        <v>0</v>
      </c>
      <c r="F273" s="218">
        <f>SUMIF(Consolidado!$A$6:$A$380,'TOTALES DIARIOS'!A273,Consolidado!$F$6:$F$380)</f>
        <v>0</v>
      </c>
      <c r="G273" s="218">
        <f>SUMIF(Consolidado!$A$6:$A$380,'TOTALES DIARIOS'!A273,Consolidado!$G$6:$G$380)</f>
        <v>0</v>
      </c>
      <c r="H273" s="219">
        <f t="shared" si="53"/>
        <v>0</v>
      </c>
      <c r="I273" s="99">
        <f t="shared" si="54"/>
        <v>0</v>
      </c>
      <c r="J273" s="99">
        <f t="shared" si="55"/>
        <v>0</v>
      </c>
      <c r="K273" s="113">
        <f t="shared" si="56"/>
        <v>2024</v>
      </c>
      <c r="L273" s="113">
        <f t="shared" si="57"/>
        <v>9</v>
      </c>
      <c r="M273" s="115">
        <f t="array" ref="M273">MIN(IF(Consolidado!$A$6:$A$1000='TOTALES DIARIOS'!A273,IF(Consolidado!$C$6:$C$1000&gt;TIMEVALUE("07:00"),Consolidado!$C$6:$C$1000,1)))</f>
        <v>0</v>
      </c>
      <c r="N273" s="115">
        <f t="array" ref="N273">MIN(IF(Consolidado!$A$6:$A$1000='TOTALES DIARIOS'!A273,IF(Consolidado!$C$6:$C$1000&lt;=M273,Consolidado!$C$6:$C$1000,1)))</f>
        <v>0</v>
      </c>
      <c r="O273" s="115">
        <f t="array" ref="O273">MAX(IF(Consolidado!$A$6:$A$1000='TOTALES DIARIOS'!A273,IF(Consolidado!$D$6:$D$1000&gt;=M273,Consolidado!$D$6:$D$1000,0)))</f>
        <v>0</v>
      </c>
      <c r="P273" s="118">
        <f t="array" ref="P273">MAX(IF(Consolidado!$A$6:$A$1000='TOTALES DIARIOS'!A273,IF(Consolidado!$D$6:$D$1000&lt;=M273,Consolidado!$D$6:$D$1000,0)))</f>
        <v>0</v>
      </c>
      <c r="Q273" s="117">
        <f t="shared" si="61"/>
        <v>0</v>
      </c>
      <c r="R273" s="117">
        <f t="shared" si="60"/>
        <v>0</v>
      </c>
      <c r="S273" s="104" t="str">
        <f t="shared" si="58"/>
        <v>NO</v>
      </c>
    </row>
    <row r="274" spans="1:19" x14ac:dyDescent="0.25">
      <c r="A274" s="221">
        <f t="shared" si="59"/>
        <v>45562</v>
      </c>
      <c r="B274" s="130" t="str">
        <f t="shared" si="50"/>
        <v/>
      </c>
      <c r="C274" s="217">
        <f t="shared" si="51"/>
        <v>0</v>
      </c>
      <c r="D274" s="217">
        <f t="shared" si="52"/>
        <v>0</v>
      </c>
      <c r="E274" s="218">
        <f>SUMIF(Consolidado!$A$6:$A$380,'TOTALES DIARIOS'!A274,Consolidado!$E$6:$E$380)</f>
        <v>0</v>
      </c>
      <c r="F274" s="218">
        <f>SUMIF(Consolidado!$A$6:$A$380,'TOTALES DIARIOS'!A274,Consolidado!$F$6:$F$380)</f>
        <v>0</v>
      </c>
      <c r="G274" s="218">
        <f>SUMIF(Consolidado!$A$6:$A$380,'TOTALES DIARIOS'!A274,Consolidado!$G$6:$G$380)</f>
        <v>0</v>
      </c>
      <c r="H274" s="219">
        <f t="shared" si="53"/>
        <v>0</v>
      </c>
      <c r="I274" s="99">
        <f t="shared" si="54"/>
        <v>0</v>
      </c>
      <c r="J274" s="99">
        <f t="shared" si="55"/>
        <v>0</v>
      </c>
      <c r="K274" s="113">
        <f t="shared" si="56"/>
        <v>2024</v>
      </c>
      <c r="L274" s="113">
        <f t="shared" si="57"/>
        <v>9</v>
      </c>
      <c r="M274" s="115">
        <f t="array" ref="M274">MIN(IF(Consolidado!$A$6:$A$1000='TOTALES DIARIOS'!A274,IF(Consolidado!$C$6:$C$1000&gt;TIMEVALUE("07:00"),Consolidado!$C$6:$C$1000,1)))</f>
        <v>0</v>
      </c>
      <c r="N274" s="115">
        <f t="array" ref="N274">MIN(IF(Consolidado!$A$6:$A$1000='TOTALES DIARIOS'!A274,IF(Consolidado!$C$6:$C$1000&lt;=M274,Consolidado!$C$6:$C$1000,1)))</f>
        <v>0</v>
      </c>
      <c r="O274" s="115">
        <f t="array" ref="O274">MAX(IF(Consolidado!$A$6:$A$1000='TOTALES DIARIOS'!A274,IF(Consolidado!$D$6:$D$1000&gt;=M274,Consolidado!$D$6:$D$1000,0)))</f>
        <v>0</v>
      </c>
      <c r="P274" s="118">
        <f t="array" ref="P274">MAX(IF(Consolidado!$A$6:$A$1000='TOTALES DIARIOS'!A274,IF(Consolidado!$D$6:$D$1000&lt;=M274,Consolidado!$D$6:$D$1000,0)))</f>
        <v>0</v>
      </c>
      <c r="Q274" s="117">
        <f t="shared" si="61"/>
        <v>0</v>
      </c>
      <c r="R274" s="117">
        <f t="shared" si="60"/>
        <v>0</v>
      </c>
      <c r="S274" s="104" t="str">
        <f t="shared" si="58"/>
        <v>NO</v>
      </c>
    </row>
    <row r="275" spans="1:19" x14ac:dyDescent="0.25">
      <c r="A275" s="221">
        <f t="shared" si="59"/>
        <v>45563</v>
      </c>
      <c r="B275" s="130" t="str">
        <f t="shared" si="50"/>
        <v/>
      </c>
      <c r="C275" s="217">
        <f t="shared" si="51"/>
        <v>0</v>
      </c>
      <c r="D275" s="217">
        <f t="shared" si="52"/>
        <v>0</v>
      </c>
      <c r="E275" s="218">
        <f>SUMIF(Consolidado!$A$6:$A$380,'TOTALES DIARIOS'!A275,Consolidado!$E$6:$E$380)</f>
        <v>0</v>
      </c>
      <c r="F275" s="218">
        <f>SUMIF(Consolidado!$A$6:$A$380,'TOTALES DIARIOS'!A275,Consolidado!$F$6:$F$380)</f>
        <v>0</v>
      </c>
      <c r="G275" s="218">
        <f>SUMIF(Consolidado!$A$6:$A$380,'TOTALES DIARIOS'!A275,Consolidado!$G$6:$G$380)</f>
        <v>0</v>
      </c>
      <c r="H275" s="219">
        <f t="shared" si="53"/>
        <v>0</v>
      </c>
      <c r="I275" s="99">
        <f t="shared" si="54"/>
        <v>0</v>
      </c>
      <c r="J275" s="99">
        <f t="shared" si="55"/>
        <v>0</v>
      </c>
      <c r="K275" s="113">
        <f t="shared" si="56"/>
        <v>2024</v>
      </c>
      <c r="L275" s="113">
        <f t="shared" si="57"/>
        <v>9</v>
      </c>
      <c r="M275" s="115">
        <f t="array" ref="M275">MIN(IF(Consolidado!$A$6:$A$1000='TOTALES DIARIOS'!A275,IF(Consolidado!$C$6:$C$1000&gt;TIMEVALUE("07:00"),Consolidado!$C$6:$C$1000,1)))</f>
        <v>0</v>
      </c>
      <c r="N275" s="115">
        <f t="array" ref="N275">MIN(IF(Consolidado!$A$6:$A$1000='TOTALES DIARIOS'!A275,IF(Consolidado!$C$6:$C$1000&lt;=M275,Consolidado!$C$6:$C$1000,1)))</f>
        <v>0</v>
      </c>
      <c r="O275" s="115">
        <f t="array" ref="O275">MAX(IF(Consolidado!$A$6:$A$1000='TOTALES DIARIOS'!A275,IF(Consolidado!$D$6:$D$1000&gt;=M275,Consolidado!$D$6:$D$1000,0)))</f>
        <v>0</v>
      </c>
      <c r="P275" s="118">
        <f t="array" ref="P275">MAX(IF(Consolidado!$A$6:$A$1000='TOTALES DIARIOS'!A275,IF(Consolidado!$D$6:$D$1000&lt;=M275,Consolidado!$D$6:$D$1000,0)))</f>
        <v>0</v>
      </c>
      <c r="Q275" s="117">
        <f t="shared" si="61"/>
        <v>0</v>
      </c>
      <c r="R275" s="117">
        <f t="shared" si="60"/>
        <v>0</v>
      </c>
      <c r="S275" s="104" t="str">
        <f t="shared" si="58"/>
        <v>NO</v>
      </c>
    </row>
    <row r="276" spans="1:19" x14ac:dyDescent="0.25">
      <c r="A276" s="221">
        <f t="shared" si="59"/>
        <v>45564</v>
      </c>
      <c r="B276" s="130" t="str">
        <f t="shared" si="50"/>
        <v/>
      </c>
      <c r="C276" s="217">
        <f t="shared" si="51"/>
        <v>0</v>
      </c>
      <c r="D276" s="217">
        <f t="shared" si="52"/>
        <v>0</v>
      </c>
      <c r="E276" s="218">
        <f>SUMIF(Consolidado!$A$6:$A$380,'TOTALES DIARIOS'!A276,Consolidado!$E$6:$E$380)</f>
        <v>0</v>
      </c>
      <c r="F276" s="218">
        <f>SUMIF(Consolidado!$A$6:$A$380,'TOTALES DIARIOS'!A276,Consolidado!$F$6:$F$380)</f>
        <v>0</v>
      </c>
      <c r="G276" s="218">
        <f>SUMIF(Consolidado!$A$6:$A$380,'TOTALES DIARIOS'!A276,Consolidado!$G$6:$G$380)</f>
        <v>0</v>
      </c>
      <c r="H276" s="219">
        <f t="shared" si="53"/>
        <v>0</v>
      </c>
      <c r="I276" s="99">
        <f t="shared" si="54"/>
        <v>0</v>
      </c>
      <c r="J276" s="99">
        <f t="shared" si="55"/>
        <v>0</v>
      </c>
      <c r="K276" s="113">
        <f t="shared" si="56"/>
        <v>2024</v>
      </c>
      <c r="L276" s="113">
        <f t="shared" si="57"/>
        <v>9</v>
      </c>
      <c r="M276" s="115">
        <f t="array" ref="M276">MIN(IF(Consolidado!$A$6:$A$1000='TOTALES DIARIOS'!A276,IF(Consolidado!$C$6:$C$1000&gt;TIMEVALUE("07:00"),Consolidado!$C$6:$C$1000,1)))</f>
        <v>0</v>
      </c>
      <c r="N276" s="115">
        <f t="array" ref="N276">MIN(IF(Consolidado!$A$6:$A$1000='TOTALES DIARIOS'!A276,IF(Consolidado!$C$6:$C$1000&lt;=M276,Consolidado!$C$6:$C$1000,1)))</f>
        <v>0</v>
      </c>
      <c r="O276" s="115">
        <f t="array" ref="O276">MAX(IF(Consolidado!$A$6:$A$1000='TOTALES DIARIOS'!A276,IF(Consolidado!$D$6:$D$1000&gt;=M276,Consolidado!$D$6:$D$1000,0)))</f>
        <v>0</v>
      </c>
      <c r="P276" s="118">
        <f t="array" ref="P276">MAX(IF(Consolidado!$A$6:$A$1000='TOTALES DIARIOS'!A276,IF(Consolidado!$D$6:$D$1000&lt;=M276,Consolidado!$D$6:$D$1000,0)))</f>
        <v>0</v>
      </c>
      <c r="Q276" s="117">
        <f t="shared" si="61"/>
        <v>0</v>
      </c>
      <c r="R276" s="117">
        <f t="shared" si="60"/>
        <v>0</v>
      </c>
      <c r="S276" s="104" t="str">
        <f t="shared" si="58"/>
        <v>NO</v>
      </c>
    </row>
    <row r="277" spans="1:19" x14ac:dyDescent="0.25">
      <c r="A277" s="221">
        <f t="shared" si="59"/>
        <v>45565</v>
      </c>
      <c r="B277" s="130" t="str">
        <f t="shared" si="50"/>
        <v/>
      </c>
      <c r="C277" s="217">
        <f t="shared" si="51"/>
        <v>0</v>
      </c>
      <c r="D277" s="217">
        <f t="shared" si="52"/>
        <v>0</v>
      </c>
      <c r="E277" s="218">
        <f>SUMIF(Consolidado!$A$6:$A$380,'TOTALES DIARIOS'!A277,Consolidado!$E$6:$E$380)</f>
        <v>0</v>
      </c>
      <c r="F277" s="218">
        <f>SUMIF(Consolidado!$A$6:$A$380,'TOTALES DIARIOS'!A277,Consolidado!$F$6:$F$380)</f>
        <v>0</v>
      </c>
      <c r="G277" s="218">
        <f>SUMIF(Consolidado!$A$6:$A$380,'TOTALES DIARIOS'!A277,Consolidado!$G$6:$G$380)</f>
        <v>0</v>
      </c>
      <c r="H277" s="219">
        <f t="shared" si="53"/>
        <v>0</v>
      </c>
      <c r="I277" s="99">
        <f t="shared" si="54"/>
        <v>0</v>
      </c>
      <c r="J277" s="99">
        <f t="shared" si="55"/>
        <v>0</v>
      </c>
      <c r="K277" s="113">
        <f t="shared" si="56"/>
        <v>2024</v>
      </c>
      <c r="L277" s="113">
        <f t="shared" si="57"/>
        <v>9</v>
      </c>
      <c r="M277" s="115">
        <f t="array" ref="M277">MIN(IF(Consolidado!$A$6:$A$1000='TOTALES DIARIOS'!A277,IF(Consolidado!$C$6:$C$1000&gt;TIMEVALUE("07:00"),Consolidado!$C$6:$C$1000,1)))</f>
        <v>0</v>
      </c>
      <c r="N277" s="115">
        <f t="array" ref="N277">MIN(IF(Consolidado!$A$6:$A$1000='TOTALES DIARIOS'!A277,IF(Consolidado!$C$6:$C$1000&lt;=M277,Consolidado!$C$6:$C$1000,1)))</f>
        <v>0</v>
      </c>
      <c r="O277" s="115">
        <f t="array" ref="O277">MAX(IF(Consolidado!$A$6:$A$1000='TOTALES DIARIOS'!A277,IF(Consolidado!$D$6:$D$1000&gt;=M277,Consolidado!$D$6:$D$1000,0)))</f>
        <v>0</v>
      </c>
      <c r="P277" s="118">
        <f t="array" ref="P277">MAX(IF(Consolidado!$A$6:$A$1000='TOTALES DIARIOS'!A277,IF(Consolidado!$D$6:$D$1000&lt;=M277,Consolidado!$D$6:$D$1000,0)))</f>
        <v>0</v>
      </c>
      <c r="Q277" s="117">
        <f t="shared" si="61"/>
        <v>0</v>
      </c>
      <c r="R277" s="117">
        <f t="shared" si="60"/>
        <v>0</v>
      </c>
      <c r="S277" s="104" t="str">
        <f t="shared" si="58"/>
        <v>NO</v>
      </c>
    </row>
    <row r="278" spans="1:19" x14ac:dyDescent="0.25">
      <c r="A278" s="221">
        <f t="shared" si="59"/>
        <v>45566</v>
      </c>
      <c r="B278" s="130" t="str">
        <f t="shared" si="50"/>
        <v/>
      </c>
      <c r="C278" s="217">
        <f t="shared" si="51"/>
        <v>0</v>
      </c>
      <c r="D278" s="217">
        <f t="shared" si="52"/>
        <v>0</v>
      </c>
      <c r="E278" s="218">
        <f>SUMIF(Consolidado!$A$6:$A$380,'TOTALES DIARIOS'!A278,Consolidado!$E$6:$E$380)</f>
        <v>0</v>
      </c>
      <c r="F278" s="218">
        <f>SUMIF(Consolidado!$A$6:$A$380,'TOTALES DIARIOS'!A278,Consolidado!$F$6:$F$380)</f>
        <v>0</v>
      </c>
      <c r="G278" s="218">
        <f>SUMIF(Consolidado!$A$6:$A$380,'TOTALES DIARIOS'!A278,Consolidado!$G$6:$G$380)</f>
        <v>0</v>
      </c>
      <c r="H278" s="219">
        <f t="shared" si="53"/>
        <v>0</v>
      </c>
      <c r="I278" s="99">
        <f t="shared" si="54"/>
        <v>0</v>
      </c>
      <c r="J278" s="99">
        <f t="shared" si="55"/>
        <v>0</v>
      </c>
      <c r="K278" s="113">
        <f t="shared" si="56"/>
        <v>2024</v>
      </c>
      <c r="L278" s="113">
        <f t="shared" si="57"/>
        <v>10</v>
      </c>
      <c r="M278" s="115">
        <f t="array" ref="M278">MIN(IF(Consolidado!$A$6:$A$1000='TOTALES DIARIOS'!A278,IF(Consolidado!$C$6:$C$1000&gt;TIMEVALUE("07:00"),Consolidado!$C$6:$C$1000,1)))</f>
        <v>0</v>
      </c>
      <c r="N278" s="115">
        <f t="array" ref="N278">MIN(IF(Consolidado!$A$6:$A$1000='TOTALES DIARIOS'!A278,IF(Consolidado!$C$6:$C$1000&lt;=M278,Consolidado!$C$6:$C$1000,1)))</f>
        <v>0</v>
      </c>
      <c r="O278" s="115">
        <f t="array" ref="O278">MAX(IF(Consolidado!$A$6:$A$1000='TOTALES DIARIOS'!A278,IF(Consolidado!$D$6:$D$1000&gt;=M278,Consolidado!$D$6:$D$1000,0)))</f>
        <v>0</v>
      </c>
      <c r="P278" s="118">
        <f t="array" ref="P278">MAX(IF(Consolidado!$A$6:$A$1000='TOTALES DIARIOS'!A278,IF(Consolidado!$D$6:$D$1000&lt;=M278,Consolidado!$D$6:$D$1000,0)))</f>
        <v>0</v>
      </c>
      <c r="Q278" s="117">
        <f t="shared" si="61"/>
        <v>0</v>
      </c>
      <c r="R278" s="117">
        <f t="shared" si="60"/>
        <v>0</v>
      </c>
      <c r="S278" s="104" t="str">
        <f t="shared" si="58"/>
        <v>NO</v>
      </c>
    </row>
    <row r="279" spans="1:19" x14ac:dyDescent="0.25">
      <c r="A279" s="221">
        <f t="shared" si="59"/>
        <v>45567</v>
      </c>
      <c r="B279" s="130" t="str">
        <f t="shared" si="50"/>
        <v/>
      </c>
      <c r="C279" s="217">
        <f t="shared" si="51"/>
        <v>0</v>
      </c>
      <c r="D279" s="217">
        <f t="shared" si="52"/>
        <v>0</v>
      </c>
      <c r="E279" s="218">
        <f>SUMIF(Consolidado!$A$6:$A$380,'TOTALES DIARIOS'!A279,Consolidado!$E$6:$E$380)</f>
        <v>0</v>
      </c>
      <c r="F279" s="218">
        <f>SUMIF(Consolidado!$A$6:$A$380,'TOTALES DIARIOS'!A279,Consolidado!$F$6:$F$380)</f>
        <v>0</v>
      </c>
      <c r="G279" s="218">
        <f>SUMIF(Consolidado!$A$6:$A$380,'TOTALES DIARIOS'!A279,Consolidado!$G$6:$G$380)</f>
        <v>0</v>
      </c>
      <c r="H279" s="219">
        <f t="shared" si="53"/>
        <v>0</v>
      </c>
      <c r="I279" s="99">
        <f t="shared" si="54"/>
        <v>0</v>
      </c>
      <c r="J279" s="99">
        <f t="shared" si="55"/>
        <v>0</v>
      </c>
      <c r="K279" s="113">
        <f t="shared" si="56"/>
        <v>2024</v>
      </c>
      <c r="L279" s="113">
        <f t="shared" si="57"/>
        <v>10</v>
      </c>
      <c r="M279" s="115">
        <f t="array" ref="M279">MIN(IF(Consolidado!$A$6:$A$1000='TOTALES DIARIOS'!A279,IF(Consolidado!$C$6:$C$1000&gt;TIMEVALUE("07:00"),Consolidado!$C$6:$C$1000,1)))</f>
        <v>0</v>
      </c>
      <c r="N279" s="115">
        <f t="array" ref="N279">MIN(IF(Consolidado!$A$6:$A$1000='TOTALES DIARIOS'!A279,IF(Consolidado!$C$6:$C$1000&lt;=M279,Consolidado!$C$6:$C$1000,1)))</f>
        <v>0</v>
      </c>
      <c r="O279" s="115">
        <f t="array" ref="O279">MAX(IF(Consolidado!$A$6:$A$1000='TOTALES DIARIOS'!A279,IF(Consolidado!$D$6:$D$1000&gt;=M279,Consolidado!$D$6:$D$1000,0)))</f>
        <v>0</v>
      </c>
      <c r="P279" s="118">
        <f t="array" ref="P279">MAX(IF(Consolidado!$A$6:$A$1000='TOTALES DIARIOS'!A279,IF(Consolidado!$D$6:$D$1000&lt;=M279,Consolidado!$D$6:$D$1000,0)))</f>
        <v>0</v>
      </c>
      <c r="Q279" s="117">
        <f t="shared" si="61"/>
        <v>0</v>
      </c>
      <c r="R279" s="117">
        <f t="shared" si="60"/>
        <v>0</v>
      </c>
      <c r="S279" s="104" t="str">
        <f t="shared" si="58"/>
        <v>NO</v>
      </c>
    </row>
    <row r="280" spans="1:19" x14ac:dyDescent="0.25">
      <c r="A280" s="221">
        <f t="shared" si="59"/>
        <v>45568</v>
      </c>
      <c r="B280" s="130" t="str">
        <f t="shared" si="50"/>
        <v/>
      </c>
      <c r="C280" s="217">
        <f t="shared" si="51"/>
        <v>0</v>
      </c>
      <c r="D280" s="217">
        <f t="shared" si="52"/>
        <v>0</v>
      </c>
      <c r="E280" s="218">
        <f>SUMIF(Consolidado!$A$6:$A$380,'TOTALES DIARIOS'!A280,Consolidado!$E$6:$E$380)</f>
        <v>0</v>
      </c>
      <c r="F280" s="218">
        <f>SUMIF(Consolidado!$A$6:$A$380,'TOTALES DIARIOS'!A280,Consolidado!$F$6:$F$380)</f>
        <v>0</v>
      </c>
      <c r="G280" s="218">
        <f>SUMIF(Consolidado!$A$6:$A$380,'TOTALES DIARIOS'!A280,Consolidado!$G$6:$G$380)</f>
        <v>0</v>
      </c>
      <c r="H280" s="219">
        <f t="shared" si="53"/>
        <v>0</v>
      </c>
      <c r="I280" s="99">
        <f t="shared" si="54"/>
        <v>0</v>
      </c>
      <c r="J280" s="99">
        <f t="shared" si="55"/>
        <v>0</v>
      </c>
      <c r="K280" s="113">
        <f t="shared" si="56"/>
        <v>2024</v>
      </c>
      <c r="L280" s="113">
        <f t="shared" si="57"/>
        <v>10</v>
      </c>
      <c r="M280" s="115">
        <f t="array" ref="M280">MIN(IF(Consolidado!$A$6:$A$1000='TOTALES DIARIOS'!A280,IF(Consolidado!$C$6:$C$1000&gt;TIMEVALUE("07:00"),Consolidado!$C$6:$C$1000,1)))</f>
        <v>0</v>
      </c>
      <c r="N280" s="115">
        <f t="array" ref="N280">MIN(IF(Consolidado!$A$6:$A$1000='TOTALES DIARIOS'!A280,IF(Consolidado!$C$6:$C$1000&lt;=M280,Consolidado!$C$6:$C$1000,1)))</f>
        <v>0</v>
      </c>
      <c r="O280" s="115">
        <f t="array" ref="O280">MAX(IF(Consolidado!$A$6:$A$1000='TOTALES DIARIOS'!A280,IF(Consolidado!$D$6:$D$1000&gt;=M280,Consolidado!$D$6:$D$1000,0)))</f>
        <v>0</v>
      </c>
      <c r="P280" s="118">
        <f t="array" ref="P280">MAX(IF(Consolidado!$A$6:$A$1000='TOTALES DIARIOS'!A280,IF(Consolidado!$D$6:$D$1000&lt;=M280,Consolidado!$D$6:$D$1000,0)))</f>
        <v>0</v>
      </c>
      <c r="Q280" s="117">
        <f t="shared" si="61"/>
        <v>0</v>
      </c>
      <c r="R280" s="117">
        <f t="shared" si="60"/>
        <v>0</v>
      </c>
      <c r="S280" s="104" t="str">
        <f t="shared" si="58"/>
        <v>NO</v>
      </c>
    </row>
    <row r="281" spans="1:19" x14ac:dyDescent="0.25">
      <c r="A281" s="221">
        <f t="shared" si="59"/>
        <v>45569</v>
      </c>
      <c r="B281" s="130" t="str">
        <f t="shared" si="50"/>
        <v/>
      </c>
      <c r="C281" s="217">
        <f t="shared" si="51"/>
        <v>0</v>
      </c>
      <c r="D281" s="217">
        <f t="shared" si="52"/>
        <v>0</v>
      </c>
      <c r="E281" s="218">
        <f>SUMIF(Consolidado!$A$6:$A$380,'TOTALES DIARIOS'!A281,Consolidado!$E$6:$E$380)</f>
        <v>0</v>
      </c>
      <c r="F281" s="218">
        <f>SUMIF(Consolidado!$A$6:$A$380,'TOTALES DIARIOS'!A281,Consolidado!$F$6:$F$380)</f>
        <v>0</v>
      </c>
      <c r="G281" s="218">
        <f>SUMIF(Consolidado!$A$6:$A$380,'TOTALES DIARIOS'!A281,Consolidado!$G$6:$G$380)</f>
        <v>0</v>
      </c>
      <c r="H281" s="219">
        <f t="shared" si="53"/>
        <v>0</v>
      </c>
      <c r="I281" s="99">
        <f t="shared" si="54"/>
        <v>0</v>
      </c>
      <c r="J281" s="99">
        <f t="shared" si="55"/>
        <v>0</v>
      </c>
      <c r="K281" s="113">
        <f t="shared" si="56"/>
        <v>2024</v>
      </c>
      <c r="L281" s="113">
        <f t="shared" si="57"/>
        <v>10</v>
      </c>
      <c r="M281" s="115">
        <f t="array" ref="M281">MIN(IF(Consolidado!$A$6:$A$1000='TOTALES DIARIOS'!A281,IF(Consolidado!$C$6:$C$1000&gt;TIMEVALUE("07:00"),Consolidado!$C$6:$C$1000,1)))</f>
        <v>0</v>
      </c>
      <c r="N281" s="115">
        <f t="array" ref="N281">MIN(IF(Consolidado!$A$6:$A$1000='TOTALES DIARIOS'!A281,IF(Consolidado!$C$6:$C$1000&lt;=M281,Consolidado!$C$6:$C$1000,1)))</f>
        <v>0</v>
      </c>
      <c r="O281" s="115">
        <f t="array" ref="O281">MAX(IF(Consolidado!$A$6:$A$1000='TOTALES DIARIOS'!A281,IF(Consolidado!$D$6:$D$1000&gt;=M281,Consolidado!$D$6:$D$1000,0)))</f>
        <v>0</v>
      </c>
      <c r="P281" s="118">
        <f t="array" ref="P281">MAX(IF(Consolidado!$A$6:$A$1000='TOTALES DIARIOS'!A281,IF(Consolidado!$D$6:$D$1000&lt;=M281,Consolidado!$D$6:$D$1000,0)))</f>
        <v>0</v>
      </c>
      <c r="Q281" s="117">
        <f t="shared" si="61"/>
        <v>0</v>
      </c>
      <c r="R281" s="117">
        <f t="shared" si="60"/>
        <v>0</v>
      </c>
      <c r="S281" s="104" t="str">
        <f t="shared" si="58"/>
        <v>NO</v>
      </c>
    </row>
    <row r="282" spans="1:19" x14ac:dyDescent="0.25">
      <c r="A282" s="221">
        <f t="shared" si="59"/>
        <v>45570</v>
      </c>
      <c r="B282" s="130" t="str">
        <f t="shared" si="50"/>
        <v/>
      </c>
      <c r="C282" s="217">
        <f t="shared" si="51"/>
        <v>0</v>
      </c>
      <c r="D282" s="217">
        <f t="shared" si="52"/>
        <v>0</v>
      </c>
      <c r="E282" s="218">
        <f>SUMIF(Consolidado!$A$6:$A$380,'TOTALES DIARIOS'!A282,Consolidado!$E$6:$E$380)</f>
        <v>0</v>
      </c>
      <c r="F282" s="218">
        <f>SUMIF(Consolidado!$A$6:$A$380,'TOTALES DIARIOS'!A282,Consolidado!$F$6:$F$380)</f>
        <v>0</v>
      </c>
      <c r="G282" s="218">
        <f>SUMIF(Consolidado!$A$6:$A$380,'TOTALES DIARIOS'!A282,Consolidado!$G$6:$G$380)</f>
        <v>0</v>
      </c>
      <c r="H282" s="219">
        <f t="shared" si="53"/>
        <v>0</v>
      </c>
      <c r="I282" s="99">
        <f t="shared" si="54"/>
        <v>0</v>
      </c>
      <c r="J282" s="99">
        <f t="shared" si="55"/>
        <v>0</v>
      </c>
      <c r="K282" s="113">
        <f t="shared" si="56"/>
        <v>2024</v>
      </c>
      <c r="L282" s="113">
        <f t="shared" si="57"/>
        <v>10</v>
      </c>
      <c r="M282" s="115">
        <f t="array" ref="M282">MIN(IF(Consolidado!$A$6:$A$1000='TOTALES DIARIOS'!A282,IF(Consolidado!$C$6:$C$1000&gt;TIMEVALUE("07:00"),Consolidado!$C$6:$C$1000,1)))</f>
        <v>0</v>
      </c>
      <c r="N282" s="115">
        <f t="array" ref="N282">MIN(IF(Consolidado!$A$6:$A$1000='TOTALES DIARIOS'!A282,IF(Consolidado!$C$6:$C$1000&lt;=M282,Consolidado!$C$6:$C$1000,1)))</f>
        <v>0</v>
      </c>
      <c r="O282" s="115">
        <f t="array" ref="O282">MAX(IF(Consolidado!$A$6:$A$1000='TOTALES DIARIOS'!A282,IF(Consolidado!$D$6:$D$1000&gt;=M282,Consolidado!$D$6:$D$1000,0)))</f>
        <v>0</v>
      </c>
      <c r="P282" s="118">
        <f t="array" ref="P282">MAX(IF(Consolidado!$A$6:$A$1000='TOTALES DIARIOS'!A282,IF(Consolidado!$D$6:$D$1000&lt;=M282,Consolidado!$D$6:$D$1000,0)))</f>
        <v>0</v>
      </c>
      <c r="Q282" s="117">
        <f t="shared" si="61"/>
        <v>0</v>
      </c>
      <c r="R282" s="117">
        <f t="shared" si="60"/>
        <v>0</v>
      </c>
      <c r="S282" s="104" t="str">
        <f t="shared" si="58"/>
        <v>NO</v>
      </c>
    </row>
    <row r="283" spans="1:19" x14ac:dyDescent="0.25">
      <c r="A283" s="221">
        <f t="shared" si="59"/>
        <v>45571</v>
      </c>
      <c r="B283" s="130" t="str">
        <f t="shared" si="50"/>
        <v/>
      </c>
      <c r="C283" s="217">
        <f t="shared" si="51"/>
        <v>0</v>
      </c>
      <c r="D283" s="217">
        <f t="shared" si="52"/>
        <v>0</v>
      </c>
      <c r="E283" s="218">
        <f>SUMIF(Consolidado!$A$6:$A$380,'TOTALES DIARIOS'!A283,Consolidado!$E$6:$E$380)</f>
        <v>0</v>
      </c>
      <c r="F283" s="218">
        <f>SUMIF(Consolidado!$A$6:$A$380,'TOTALES DIARIOS'!A283,Consolidado!$F$6:$F$380)</f>
        <v>0</v>
      </c>
      <c r="G283" s="218">
        <f>SUMIF(Consolidado!$A$6:$A$380,'TOTALES DIARIOS'!A283,Consolidado!$G$6:$G$380)</f>
        <v>0</v>
      </c>
      <c r="H283" s="219">
        <f t="shared" si="53"/>
        <v>0</v>
      </c>
      <c r="I283" s="99">
        <f t="shared" si="54"/>
        <v>0</v>
      </c>
      <c r="J283" s="99">
        <f t="shared" si="55"/>
        <v>0</v>
      </c>
      <c r="K283" s="113">
        <f t="shared" si="56"/>
        <v>2024</v>
      </c>
      <c r="L283" s="113">
        <f t="shared" si="57"/>
        <v>10</v>
      </c>
      <c r="M283" s="115">
        <f t="array" ref="M283">MIN(IF(Consolidado!$A$6:$A$1000='TOTALES DIARIOS'!A283,IF(Consolidado!$C$6:$C$1000&gt;TIMEVALUE("07:00"),Consolidado!$C$6:$C$1000,1)))</f>
        <v>0</v>
      </c>
      <c r="N283" s="115">
        <f t="array" ref="N283">MIN(IF(Consolidado!$A$6:$A$1000='TOTALES DIARIOS'!A283,IF(Consolidado!$C$6:$C$1000&lt;=M283,Consolidado!$C$6:$C$1000,1)))</f>
        <v>0</v>
      </c>
      <c r="O283" s="115">
        <f t="array" ref="O283">MAX(IF(Consolidado!$A$6:$A$1000='TOTALES DIARIOS'!A283,IF(Consolidado!$D$6:$D$1000&gt;=M283,Consolidado!$D$6:$D$1000,0)))</f>
        <v>0</v>
      </c>
      <c r="P283" s="118">
        <f t="array" ref="P283">MAX(IF(Consolidado!$A$6:$A$1000='TOTALES DIARIOS'!A283,IF(Consolidado!$D$6:$D$1000&lt;=M283,Consolidado!$D$6:$D$1000,0)))</f>
        <v>0</v>
      </c>
      <c r="Q283" s="117">
        <f t="shared" si="61"/>
        <v>0</v>
      </c>
      <c r="R283" s="117">
        <f t="shared" si="60"/>
        <v>0</v>
      </c>
      <c r="S283" s="104" t="str">
        <f t="shared" si="58"/>
        <v>NO</v>
      </c>
    </row>
    <row r="284" spans="1:19" x14ac:dyDescent="0.25">
      <c r="A284" s="221">
        <f t="shared" si="59"/>
        <v>45572</v>
      </c>
      <c r="B284" s="130" t="str">
        <f t="shared" si="50"/>
        <v/>
      </c>
      <c r="C284" s="217">
        <f t="shared" si="51"/>
        <v>0</v>
      </c>
      <c r="D284" s="217">
        <f t="shared" si="52"/>
        <v>0</v>
      </c>
      <c r="E284" s="218">
        <f>SUMIF(Consolidado!$A$6:$A$380,'TOTALES DIARIOS'!A284,Consolidado!$E$6:$E$380)</f>
        <v>0</v>
      </c>
      <c r="F284" s="218">
        <f>SUMIF(Consolidado!$A$6:$A$380,'TOTALES DIARIOS'!A284,Consolidado!$F$6:$F$380)</f>
        <v>0</v>
      </c>
      <c r="G284" s="218">
        <f>SUMIF(Consolidado!$A$6:$A$380,'TOTALES DIARIOS'!A284,Consolidado!$G$6:$G$380)</f>
        <v>0</v>
      </c>
      <c r="H284" s="219">
        <f t="shared" si="53"/>
        <v>0</v>
      </c>
      <c r="I284" s="99">
        <f t="shared" si="54"/>
        <v>0</v>
      </c>
      <c r="J284" s="99">
        <f t="shared" si="55"/>
        <v>0</v>
      </c>
      <c r="K284" s="113">
        <f t="shared" si="56"/>
        <v>2024</v>
      </c>
      <c r="L284" s="113">
        <f t="shared" si="57"/>
        <v>10</v>
      </c>
      <c r="M284" s="115">
        <f t="array" ref="M284">MIN(IF(Consolidado!$A$6:$A$1000='TOTALES DIARIOS'!A284,IF(Consolidado!$C$6:$C$1000&gt;TIMEVALUE("07:00"),Consolidado!$C$6:$C$1000,1)))</f>
        <v>0</v>
      </c>
      <c r="N284" s="115">
        <f t="array" ref="N284">MIN(IF(Consolidado!$A$6:$A$1000='TOTALES DIARIOS'!A284,IF(Consolidado!$C$6:$C$1000&lt;=M284,Consolidado!$C$6:$C$1000,1)))</f>
        <v>0</v>
      </c>
      <c r="O284" s="115">
        <f t="array" ref="O284">MAX(IF(Consolidado!$A$6:$A$1000='TOTALES DIARIOS'!A284,IF(Consolidado!$D$6:$D$1000&gt;=M284,Consolidado!$D$6:$D$1000,0)))</f>
        <v>0</v>
      </c>
      <c r="P284" s="118">
        <f t="array" ref="P284">MAX(IF(Consolidado!$A$6:$A$1000='TOTALES DIARIOS'!A284,IF(Consolidado!$D$6:$D$1000&lt;=M284,Consolidado!$D$6:$D$1000,0)))</f>
        <v>0</v>
      </c>
      <c r="Q284" s="117">
        <f t="shared" si="61"/>
        <v>0</v>
      </c>
      <c r="R284" s="117">
        <f t="shared" si="60"/>
        <v>0</v>
      </c>
      <c r="S284" s="104" t="str">
        <f t="shared" si="58"/>
        <v>NO</v>
      </c>
    </row>
    <row r="285" spans="1:19" x14ac:dyDescent="0.25">
      <c r="A285" s="221">
        <f t="shared" si="59"/>
        <v>45573</v>
      </c>
      <c r="B285" s="130" t="str">
        <f t="shared" si="50"/>
        <v/>
      </c>
      <c r="C285" s="217">
        <f t="shared" si="51"/>
        <v>0</v>
      </c>
      <c r="D285" s="217">
        <f t="shared" si="52"/>
        <v>0</v>
      </c>
      <c r="E285" s="218">
        <f>SUMIF(Consolidado!$A$6:$A$380,'TOTALES DIARIOS'!A285,Consolidado!$E$6:$E$380)</f>
        <v>0</v>
      </c>
      <c r="F285" s="218">
        <f>SUMIF(Consolidado!$A$6:$A$380,'TOTALES DIARIOS'!A285,Consolidado!$F$6:$F$380)</f>
        <v>0</v>
      </c>
      <c r="G285" s="218">
        <f>SUMIF(Consolidado!$A$6:$A$380,'TOTALES DIARIOS'!A285,Consolidado!$G$6:$G$380)</f>
        <v>0</v>
      </c>
      <c r="H285" s="219">
        <f t="shared" si="53"/>
        <v>0</v>
      </c>
      <c r="I285" s="99">
        <f t="shared" si="54"/>
        <v>0</v>
      </c>
      <c r="J285" s="99">
        <f t="shared" si="55"/>
        <v>0</v>
      </c>
      <c r="K285" s="113">
        <f t="shared" si="56"/>
        <v>2024</v>
      </c>
      <c r="L285" s="113">
        <f t="shared" si="57"/>
        <v>10</v>
      </c>
      <c r="M285" s="115">
        <f t="array" ref="M285">MIN(IF(Consolidado!$A$6:$A$1000='TOTALES DIARIOS'!A285,IF(Consolidado!$C$6:$C$1000&gt;TIMEVALUE("07:00"),Consolidado!$C$6:$C$1000,1)))</f>
        <v>0</v>
      </c>
      <c r="N285" s="115">
        <f t="array" ref="N285">MIN(IF(Consolidado!$A$6:$A$1000='TOTALES DIARIOS'!A285,IF(Consolidado!$C$6:$C$1000&lt;=M285,Consolidado!$C$6:$C$1000,1)))</f>
        <v>0</v>
      </c>
      <c r="O285" s="115">
        <f t="array" ref="O285">MAX(IF(Consolidado!$A$6:$A$1000='TOTALES DIARIOS'!A285,IF(Consolidado!$D$6:$D$1000&gt;=M285,Consolidado!$D$6:$D$1000,0)))</f>
        <v>0</v>
      </c>
      <c r="P285" s="118">
        <f t="array" ref="P285">MAX(IF(Consolidado!$A$6:$A$1000='TOTALES DIARIOS'!A285,IF(Consolidado!$D$6:$D$1000&lt;=M285,Consolidado!$D$6:$D$1000,0)))</f>
        <v>0</v>
      </c>
      <c r="Q285" s="117">
        <f t="shared" si="61"/>
        <v>0</v>
      </c>
      <c r="R285" s="117">
        <f t="shared" si="60"/>
        <v>0</v>
      </c>
      <c r="S285" s="104" t="str">
        <f t="shared" si="58"/>
        <v>NO</v>
      </c>
    </row>
    <row r="286" spans="1:19" x14ac:dyDescent="0.25">
      <c r="A286" s="221">
        <f t="shared" si="59"/>
        <v>45574</v>
      </c>
      <c r="B286" s="130" t="str">
        <f t="shared" si="50"/>
        <v/>
      </c>
      <c r="C286" s="217">
        <f t="shared" si="51"/>
        <v>0</v>
      </c>
      <c r="D286" s="217">
        <f t="shared" si="52"/>
        <v>0</v>
      </c>
      <c r="E286" s="218">
        <f>SUMIF(Consolidado!$A$6:$A$380,'TOTALES DIARIOS'!A286,Consolidado!$E$6:$E$380)</f>
        <v>0</v>
      </c>
      <c r="F286" s="218">
        <f>SUMIF(Consolidado!$A$6:$A$380,'TOTALES DIARIOS'!A286,Consolidado!$F$6:$F$380)</f>
        <v>0</v>
      </c>
      <c r="G286" s="218">
        <f>SUMIF(Consolidado!$A$6:$A$380,'TOTALES DIARIOS'!A286,Consolidado!$G$6:$G$380)</f>
        <v>0</v>
      </c>
      <c r="H286" s="219">
        <f t="shared" si="53"/>
        <v>0</v>
      </c>
      <c r="I286" s="99">
        <f t="shared" si="54"/>
        <v>0</v>
      </c>
      <c r="J286" s="99">
        <f t="shared" si="55"/>
        <v>0</v>
      </c>
      <c r="K286" s="113">
        <f t="shared" si="56"/>
        <v>2024</v>
      </c>
      <c r="L286" s="113">
        <f t="shared" si="57"/>
        <v>10</v>
      </c>
      <c r="M286" s="115">
        <f t="array" ref="M286">MIN(IF(Consolidado!$A$6:$A$1000='TOTALES DIARIOS'!A286,IF(Consolidado!$C$6:$C$1000&gt;TIMEVALUE("07:00"),Consolidado!$C$6:$C$1000,1)))</f>
        <v>0</v>
      </c>
      <c r="N286" s="115">
        <f t="array" ref="N286">MIN(IF(Consolidado!$A$6:$A$1000='TOTALES DIARIOS'!A286,IF(Consolidado!$C$6:$C$1000&lt;=M286,Consolidado!$C$6:$C$1000,1)))</f>
        <v>0</v>
      </c>
      <c r="O286" s="115">
        <f t="array" ref="O286">MAX(IF(Consolidado!$A$6:$A$1000='TOTALES DIARIOS'!A286,IF(Consolidado!$D$6:$D$1000&gt;=M286,Consolidado!$D$6:$D$1000,0)))</f>
        <v>0</v>
      </c>
      <c r="P286" s="118">
        <f t="array" ref="P286">MAX(IF(Consolidado!$A$6:$A$1000='TOTALES DIARIOS'!A286,IF(Consolidado!$D$6:$D$1000&lt;=M286,Consolidado!$D$6:$D$1000,0)))</f>
        <v>0</v>
      </c>
      <c r="Q286" s="117">
        <f t="shared" si="61"/>
        <v>0</v>
      </c>
      <c r="R286" s="117">
        <f t="shared" si="60"/>
        <v>0</v>
      </c>
      <c r="S286" s="104" t="str">
        <f t="shared" si="58"/>
        <v>NO</v>
      </c>
    </row>
    <row r="287" spans="1:19" x14ac:dyDescent="0.25">
      <c r="A287" s="221">
        <f t="shared" si="59"/>
        <v>45575</v>
      </c>
      <c r="B287" s="130" t="str">
        <f t="shared" si="50"/>
        <v/>
      </c>
      <c r="C287" s="217">
        <f t="shared" si="51"/>
        <v>0</v>
      </c>
      <c r="D287" s="217">
        <f t="shared" si="52"/>
        <v>0</v>
      </c>
      <c r="E287" s="218">
        <f>SUMIF(Consolidado!$A$6:$A$380,'TOTALES DIARIOS'!A287,Consolidado!$E$6:$E$380)</f>
        <v>0</v>
      </c>
      <c r="F287" s="218">
        <f>SUMIF(Consolidado!$A$6:$A$380,'TOTALES DIARIOS'!A287,Consolidado!$F$6:$F$380)</f>
        <v>0</v>
      </c>
      <c r="G287" s="218">
        <f>SUMIF(Consolidado!$A$6:$A$380,'TOTALES DIARIOS'!A287,Consolidado!$G$6:$G$380)</f>
        <v>0</v>
      </c>
      <c r="H287" s="219">
        <f t="shared" si="53"/>
        <v>0</v>
      </c>
      <c r="I287" s="99">
        <f t="shared" si="54"/>
        <v>0</v>
      </c>
      <c r="J287" s="99">
        <f t="shared" si="55"/>
        <v>0</v>
      </c>
      <c r="K287" s="113">
        <f t="shared" si="56"/>
        <v>2024</v>
      </c>
      <c r="L287" s="113">
        <f t="shared" si="57"/>
        <v>10</v>
      </c>
      <c r="M287" s="115">
        <f t="array" ref="M287">MIN(IF(Consolidado!$A$6:$A$1000='TOTALES DIARIOS'!A287,IF(Consolidado!$C$6:$C$1000&gt;TIMEVALUE("07:00"),Consolidado!$C$6:$C$1000,1)))</f>
        <v>0</v>
      </c>
      <c r="N287" s="115">
        <f t="array" ref="N287">MIN(IF(Consolidado!$A$6:$A$1000='TOTALES DIARIOS'!A287,IF(Consolidado!$C$6:$C$1000&lt;=M287,Consolidado!$C$6:$C$1000,1)))</f>
        <v>0</v>
      </c>
      <c r="O287" s="115">
        <f t="array" ref="O287">MAX(IF(Consolidado!$A$6:$A$1000='TOTALES DIARIOS'!A287,IF(Consolidado!$D$6:$D$1000&gt;=M287,Consolidado!$D$6:$D$1000,0)))</f>
        <v>0</v>
      </c>
      <c r="P287" s="118">
        <f t="array" ref="P287">MAX(IF(Consolidado!$A$6:$A$1000='TOTALES DIARIOS'!A287,IF(Consolidado!$D$6:$D$1000&lt;=M287,Consolidado!$D$6:$D$1000,0)))</f>
        <v>0</v>
      </c>
      <c r="Q287" s="117">
        <f t="shared" si="61"/>
        <v>0</v>
      </c>
      <c r="R287" s="117">
        <f t="shared" si="60"/>
        <v>0</v>
      </c>
      <c r="S287" s="104" t="str">
        <f t="shared" si="58"/>
        <v>NO</v>
      </c>
    </row>
    <row r="288" spans="1:19" x14ac:dyDescent="0.25">
      <c r="A288" s="221">
        <f t="shared" si="59"/>
        <v>45576</v>
      </c>
      <c r="B288" s="130" t="str">
        <f t="shared" si="50"/>
        <v/>
      </c>
      <c r="C288" s="217">
        <f t="shared" si="51"/>
        <v>0</v>
      </c>
      <c r="D288" s="217">
        <f t="shared" si="52"/>
        <v>0</v>
      </c>
      <c r="E288" s="218">
        <f>SUMIF(Consolidado!$A$6:$A$380,'TOTALES DIARIOS'!A288,Consolidado!$E$6:$E$380)</f>
        <v>0</v>
      </c>
      <c r="F288" s="218">
        <f>SUMIF(Consolidado!$A$6:$A$380,'TOTALES DIARIOS'!A288,Consolidado!$F$6:$F$380)</f>
        <v>0</v>
      </c>
      <c r="G288" s="218">
        <f>SUMIF(Consolidado!$A$6:$A$380,'TOTALES DIARIOS'!A288,Consolidado!$G$6:$G$380)</f>
        <v>0</v>
      </c>
      <c r="H288" s="219">
        <f t="shared" si="53"/>
        <v>0</v>
      </c>
      <c r="I288" s="99">
        <f t="shared" si="54"/>
        <v>0</v>
      </c>
      <c r="J288" s="99">
        <f t="shared" si="55"/>
        <v>0</v>
      </c>
      <c r="K288" s="113">
        <f t="shared" si="56"/>
        <v>2024</v>
      </c>
      <c r="L288" s="113">
        <f t="shared" si="57"/>
        <v>10</v>
      </c>
      <c r="M288" s="115">
        <f t="array" ref="M288">MIN(IF(Consolidado!$A$6:$A$1000='TOTALES DIARIOS'!A288,IF(Consolidado!$C$6:$C$1000&gt;TIMEVALUE("07:00"),Consolidado!$C$6:$C$1000,1)))</f>
        <v>0</v>
      </c>
      <c r="N288" s="115">
        <f t="array" ref="N288">MIN(IF(Consolidado!$A$6:$A$1000='TOTALES DIARIOS'!A288,IF(Consolidado!$C$6:$C$1000&lt;=M288,Consolidado!$C$6:$C$1000,1)))</f>
        <v>0</v>
      </c>
      <c r="O288" s="115">
        <f t="array" ref="O288">MAX(IF(Consolidado!$A$6:$A$1000='TOTALES DIARIOS'!A288,IF(Consolidado!$D$6:$D$1000&gt;=M288,Consolidado!$D$6:$D$1000,0)))</f>
        <v>0</v>
      </c>
      <c r="P288" s="118">
        <f t="array" ref="P288">MAX(IF(Consolidado!$A$6:$A$1000='TOTALES DIARIOS'!A288,IF(Consolidado!$D$6:$D$1000&lt;=M288,Consolidado!$D$6:$D$1000,0)))</f>
        <v>0</v>
      </c>
      <c r="Q288" s="117">
        <f t="shared" si="61"/>
        <v>0</v>
      </c>
      <c r="R288" s="117">
        <f t="shared" si="60"/>
        <v>0</v>
      </c>
      <c r="S288" s="104" t="str">
        <f t="shared" si="58"/>
        <v>NO</v>
      </c>
    </row>
    <row r="289" spans="1:19" x14ac:dyDescent="0.25">
      <c r="A289" s="221">
        <f t="shared" si="59"/>
        <v>45577</v>
      </c>
      <c r="B289" s="130" t="str">
        <f t="shared" si="50"/>
        <v/>
      </c>
      <c r="C289" s="217">
        <f t="shared" si="51"/>
        <v>0</v>
      </c>
      <c r="D289" s="217">
        <f t="shared" si="52"/>
        <v>0</v>
      </c>
      <c r="E289" s="218">
        <f>SUMIF(Consolidado!$A$6:$A$380,'TOTALES DIARIOS'!A289,Consolidado!$E$6:$E$380)</f>
        <v>0</v>
      </c>
      <c r="F289" s="218">
        <f>SUMIF(Consolidado!$A$6:$A$380,'TOTALES DIARIOS'!A289,Consolidado!$F$6:$F$380)</f>
        <v>0</v>
      </c>
      <c r="G289" s="218">
        <f>SUMIF(Consolidado!$A$6:$A$380,'TOTALES DIARIOS'!A289,Consolidado!$G$6:$G$380)</f>
        <v>0</v>
      </c>
      <c r="H289" s="219">
        <f t="shared" si="53"/>
        <v>0</v>
      </c>
      <c r="I289" s="99">
        <f t="shared" si="54"/>
        <v>0</v>
      </c>
      <c r="J289" s="99">
        <f t="shared" si="55"/>
        <v>0</v>
      </c>
      <c r="K289" s="113">
        <f t="shared" si="56"/>
        <v>2024</v>
      </c>
      <c r="L289" s="113">
        <f t="shared" si="57"/>
        <v>10</v>
      </c>
      <c r="M289" s="115">
        <f t="array" ref="M289">MIN(IF(Consolidado!$A$6:$A$1000='TOTALES DIARIOS'!A289,IF(Consolidado!$C$6:$C$1000&gt;TIMEVALUE("07:00"),Consolidado!$C$6:$C$1000,1)))</f>
        <v>0</v>
      </c>
      <c r="N289" s="115">
        <f t="array" ref="N289">MIN(IF(Consolidado!$A$6:$A$1000='TOTALES DIARIOS'!A289,IF(Consolidado!$C$6:$C$1000&lt;=M289,Consolidado!$C$6:$C$1000,1)))</f>
        <v>0</v>
      </c>
      <c r="O289" s="115">
        <f t="array" ref="O289">MAX(IF(Consolidado!$A$6:$A$1000='TOTALES DIARIOS'!A289,IF(Consolidado!$D$6:$D$1000&gt;=M289,Consolidado!$D$6:$D$1000,0)))</f>
        <v>0</v>
      </c>
      <c r="P289" s="118">
        <f t="array" ref="P289">MAX(IF(Consolidado!$A$6:$A$1000='TOTALES DIARIOS'!A289,IF(Consolidado!$D$6:$D$1000&lt;=M289,Consolidado!$D$6:$D$1000,0)))</f>
        <v>0</v>
      </c>
      <c r="Q289" s="117">
        <f t="shared" si="61"/>
        <v>0</v>
      </c>
      <c r="R289" s="117">
        <f t="shared" si="60"/>
        <v>0</v>
      </c>
      <c r="S289" s="104" t="str">
        <f t="shared" si="58"/>
        <v>NO</v>
      </c>
    </row>
    <row r="290" spans="1:19" x14ac:dyDescent="0.25">
      <c r="A290" s="221">
        <f t="shared" si="59"/>
        <v>45578</v>
      </c>
      <c r="B290" s="130" t="str">
        <f t="shared" si="50"/>
        <v/>
      </c>
      <c r="C290" s="217">
        <f t="shared" si="51"/>
        <v>0</v>
      </c>
      <c r="D290" s="217">
        <f t="shared" si="52"/>
        <v>0</v>
      </c>
      <c r="E290" s="218">
        <f>SUMIF(Consolidado!$A$6:$A$380,'TOTALES DIARIOS'!A290,Consolidado!$E$6:$E$380)</f>
        <v>0</v>
      </c>
      <c r="F290" s="218">
        <f>SUMIF(Consolidado!$A$6:$A$380,'TOTALES DIARIOS'!A290,Consolidado!$F$6:$F$380)</f>
        <v>0</v>
      </c>
      <c r="G290" s="218">
        <f>SUMIF(Consolidado!$A$6:$A$380,'TOTALES DIARIOS'!A290,Consolidado!$G$6:$G$380)</f>
        <v>0</v>
      </c>
      <c r="H290" s="219">
        <f t="shared" si="53"/>
        <v>0</v>
      </c>
      <c r="I290" s="99">
        <f t="shared" si="54"/>
        <v>0</v>
      </c>
      <c r="J290" s="99">
        <f t="shared" si="55"/>
        <v>0</v>
      </c>
      <c r="K290" s="113">
        <f t="shared" si="56"/>
        <v>2024</v>
      </c>
      <c r="L290" s="113">
        <f t="shared" si="57"/>
        <v>10</v>
      </c>
      <c r="M290" s="115">
        <f t="array" ref="M290">MIN(IF(Consolidado!$A$6:$A$1000='TOTALES DIARIOS'!A290,IF(Consolidado!$C$6:$C$1000&gt;TIMEVALUE("07:00"),Consolidado!$C$6:$C$1000,1)))</f>
        <v>0</v>
      </c>
      <c r="N290" s="115">
        <f t="array" ref="N290">MIN(IF(Consolidado!$A$6:$A$1000='TOTALES DIARIOS'!A290,IF(Consolidado!$C$6:$C$1000&lt;=M290,Consolidado!$C$6:$C$1000,1)))</f>
        <v>0</v>
      </c>
      <c r="O290" s="115">
        <f t="array" ref="O290">MAX(IF(Consolidado!$A$6:$A$1000='TOTALES DIARIOS'!A290,IF(Consolidado!$D$6:$D$1000&gt;=M290,Consolidado!$D$6:$D$1000,0)))</f>
        <v>0</v>
      </c>
      <c r="P290" s="118">
        <f t="array" ref="P290">MAX(IF(Consolidado!$A$6:$A$1000='TOTALES DIARIOS'!A290,IF(Consolidado!$D$6:$D$1000&lt;=M290,Consolidado!$D$6:$D$1000,0)))</f>
        <v>0</v>
      </c>
      <c r="Q290" s="117">
        <f t="shared" si="61"/>
        <v>0</v>
      </c>
      <c r="R290" s="117">
        <f t="shared" si="60"/>
        <v>0</v>
      </c>
      <c r="S290" s="104" t="str">
        <f t="shared" si="58"/>
        <v>NO</v>
      </c>
    </row>
    <row r="291" spans="1:19" x14ac:dyDescent="0.25">
      <c r="A291" s="221">
        <f t="shared" si="59"/>
        <v>45579</v>
      </c>
      <c r="B291" s="130" t="str">
        <f t="shared" si="50"/>
        <v/>
      </c>
      <c r="C291" s="217">
        <f t="shared" si="51"/>
        <v>0</v>
      </c>
      <c r="D291" s="217">
        <f t="shared" si="52"/>
        <v>0</v>
      </c>
      <c r="E291" s="218">
        <f>SUMIF(Consolidado!$A$6:$A$380,'TOTALES DIARIOS'!A291,Consolidado!$E$6:$E$380)</f>
        <v>0</v>
      </c>
      <c r="F291" s="218">
        <f>SUMIF(Consolidado!$A$6:$A$380,'TOTALES DIARIOS'!A291,Consolidado!$F$6:$F$380)</f>
        <v>0</v>
      </c>
      <c r="G291" s="218">
        <f>SUMIF(Consolidado!$A$6:$A$380,'TOTALES DIARIOS'!A291,Consolidado!$G$6:$G$380)</f>
        <v>0</v>
      </c>
      <c r="H291" s="219">
        <f t="shared" si="53"/>
        <v>0</v>
      </c>
      <c r="I291" s="99">
        <f t="shared" si="54"/>
        <v>0</v>
      </c>
      <c r="J291" s="99">
        <f t="shared" si="55"/>
        <v>0</v>
      </c>
      <c r="K291" s="113">
        <f t="shared" si="56"/>
        <v>2024</v>
      </c>
      <c r="L291" s="113">
        <f t="shared" si="57"/>
        <v>10</v>
      </c>
      <c r="M291" s="115">
        <f t="array" ref="M291">MIN(IF(Consolidado!$A$6:$A$1000='TOTALES DIARIOS'!A291,IF(Consolidado!$C$6:$C$1000&gt;TIMEVALUE("07:00"),Consolidado!$C$6:$C$1000,1)))</f>
        <v>0</v>
      </c>
      <c r="N291" s="115">
        <f t="array" ref="N291">MIN(IF(Consolidado!$A$6:$A$1000='TOTALES DIARIOS'!A291,IF(Consolidado!$C$6:$C$1000&lt;=M291,Consolidado!$C$6:$C$1000,1)))</f>
        <v>0</v>
      </c>
      <c r="O291" s="115">
        <f t="array" ref="O291">MAX(IF(Consolidado!$A$6:$A$1000='TOTALES DIARIOS'!A291,IF(Consolidado!$D$6:$D$1000&gt;=M291,Consolidado!$D$6:$D$1000,0)))</f>
        <v>0</v>
      </c>
      <c r="P291" s="118">
        <f t="array" ref="P291">MAX(IF(Consolidado!$A$6:$A$1000='TOTALES DIARIOS'!A291,IF(Consolidado!$D$6:$D$1000&lt;=M291,Consolidado!$D$6:$D$1000,0)))</f>
        <v>0</v>
      </c>
      <c r="Q291" s="117">
        <f t="shared" si="61"/>
        <v>0</v>
      </c>
      <c r="R291" s="117">
        <f t="shared" si="60"/>
        <v>0</v>
      </c>
      <c r="S291" s="104" t="str">
        <f t="shared" si="58"/>
        <v>NO</v>
      </c>
    </row>
    <row r="292" spans="1:19" x14ac:dyDescent="0.25">
      <c r="A292" s="221">
        <f t="shared" si="59"/>
        <v>45580</v>
      </c>
      <c r="B292" s="130" t="str">
        <f t="shared" si="50"/>
        <v/>
      </c>
      <c r="C292" s="217">
        <f t="shared" si="51"/>
        <v>0</v>
      </c>
      <c r="D292" s="217">
        <f t="shared" si="52"/>
        <v>0</v>
      </c>
      <c r="E292" s="218">
        <f>SUMIF(Consolidado!$A$6:$A$380,'TOTALES DIARIOS'!A292,Consolidado!$E$6:$E$380)</f>
        <v>0</v>
      </c>
      <c r="F292" s="218">
        <f>SUMIF(Consolidado!$A$6:$A$380,'TOTALES DIARIOS'!A292,Consolidado!$F$6:$F$380)</f>
        <v>0</v>
      </c>
      <c r="G292" s="218">
        <f>SUMIF(Consolidado!$A$6:$A$380,'TOTALES DIARIOS'!A292,Consolidado!$G$6:$G$380)</f>
        <v>0</v>
      </c>
      <c r="H292" s="219">
        <f t="shared" si="53"/>
        <v>0</v>
      </c>
      <c r="I292" s="99">
        <f t="shared" si="54"/>
        <v>0</v>
      </c>
      <c r="J292" s="99">
        <f t="shared" si="55"/>
        <v>0</v>
      </c>
      <c r="K292" s="113">
        <f t="shared" si="56"/>
        <v>2024</v>
      </c>
      <c r="L292" s="113">
        <f t="shared" si="57"/>
        <v>10</v>
      </c>
      <c r="M292" s="115">
        <f t="array" ref="M292">MIN(IF(Consolidado!$A$6:$A$1000='TOTALES DIARIOS'!A292,IF(Consolidado!$C$6:$C$1000&gt;TIMEVALUE("07:00"),Consolidado!$C$6:$C$1000,1)))</f>
        <v>0</v>
      </c>
      <c r="N292" s="115">
        <f t="array" ref="N292">MIN(IF(Consolidado!$A$6:$A$1000='TOTALES DIARIOS'!A292,IF(Consolidado!$C$6:$C$1000&lt;=M292,Consolidado!$C$6:$C$1000,1)))</f>
        <v>0</v>
      </c>
      <c r="O292" s="115">
        <f t="array" ref="O292">MAX(IF(Consolidado!$A$6:$A$1000='TOTALES DIARIOS'!A292,IF(Consolidado!$D$6:$D$1000&gt;=M292,Consolidado!$D$6:$D$1000,0)))</f>
        <v>0</v>
      </c>
      <c r="P292" s="118">
        <f t="array" ref="P292">MAX(IF(Consolidado!$A$6:$A$1000='TOTALES DIARIOS'!A292,IF(Consolidado!$D$6:$D$1000&lt;=M292,Consolidado!$D$6:$D$1000,0)))</f>
        <v>0</v>
      </c>
      <c r="Q292" s="117">
        <f t="shared" si="61"/>
        <v>0</v>
      </c>
      <c r="R292" s="117">
        <f t="shared" si="60"/>
        <v>0</v>
      </c>
      <c r="S292" s="104" t="str">
        <f t="shared" si="58"/>
        <v>NO</v>
      </c>
    </row>
    <row r="293" spans="1:19" x14ac:dyDescent="0.25">
      <c r="A293" s="221">
        <f t="shared" si="59"/>
        <v>45581</v>
      </c>
      <c r="B293" s="130" t="str">
        <f t="shared" si="50"/>
        <v/>
      </c>
      <c r="C293" s="217">
        <f t="shared" si="51"/>
        <v>0</v>
      </c>
      <c r="D293" s="217">
        <f t="shared" si="52"/>
        <v>0</v>
      </c>
      <c r="E293" s="218">
        <f>SUMIF(Consolidado!$A$6:$A$380,'TOTALES DIARIOS'!A293,Consolidado!$E$6:$E$380)</f>
        <v>0</v>
      </c>
      <c r="F293" s="218">
        <f>SUMIF(Consolidado!$A$6:$A$380,'TOTALES DIARIOS'!A293,Consolidado!$F$6:$F$380)</f>
        <v>0</v>
      </c>
      <c r="G293" s="218">
        <f>SUMIF(Consolidado!$A$6:$A$380,'TOTALES DIARIOS'!A293,Consolidado!$G$6:$G$380)</f>
        <v>0</v>
      </c>
      <c r="H293" s="219">
        <f t="shared" si="53"/>
        <v>0</v>
      </c>
      <c r="I293" s="99">
        <f t="shared" si="54"/>
        <v>0</v>
      </c>
      <c r="J293" s="99">
        <f t="shared" si="55"/>
        <v>0</v>
      </c>
      <c r="K293" s="113">
        <f t="shared" si="56"/>
        <v>2024</v>
      </c>
      <c r="L293" s="113">
        <f t="shared" si="57"/>
        <v>10</v>
      </c>
      <c r="M293" s="115">
        <f t="array" ref="M293">MIN(IF(Consolidado!$A$6:$A$1000='TOTALES DIARIOS'!A293,IF(Consolidado!$C$6:$C$1000&gt;TIMEVALUE("07:00"),Consolidado!$C$6:$C$1000,1)))</f>
        <v>0</v>
      </c>
      <c r="N293" s="115">
        <f t="array" ref="N293">MIN(IF(Consolidado!$A$6:$A$1000='TOTALES DIARIOS'!A293,IF(Consolidado!$C$6:$C$1000&lt;=M293,Consolidado!$C$6:$C$1000,1)))</f>
        <v>0</v>
      </c>
      <c r="O293" s="115">
        <f t="array" ref="O293">MAX(IF(Consolidado!$A$6:$A$1000='TOTALES DIARIOS'!A293,IF(Consolidado!$D$6:$D$1000&gt;=M293,Consolidado!$D$6:$D$1000,0)))</f>
        <v>0</v>
      </c>
      <c r="P293" s="118">
        <f t="array" ref="P293">MAX(IF(Consolidado!$A$6:$A$1000='TOTALES DIARIOS'!A293,IF(Consolidado!$D$6:$D$1000&lt;=M293,Consolidado!$D$6:$D$1000,0)))</f>
        <v>0</v>
      </c>
      <c r="Q293" s="117">
        <f t="shared" si="61"/>
        <v>0</v>
      </c>
      <c r="R293" s="117">
        <f t="shared" si="60"/>
        <v>0</v>
      </c>
      <c r="S293" s="104" t="str">
        <f t="shared" si="58"/>
        <v>NO</v>
      </c>
    </row>
    <row r="294" spans="1:19" x14ac:dyDescent="0.25">
      <c r="A294" s="221">
        <f t="shared" si="59"/>
        <v>45582</v>
      </c>
      <c r="B294" s="130" t="str">
        <f t="shared" si="50"/>
        <v/>
      </c>
      <c r="C294" s="217">
        <f t="shared" si="51"/>
        <v>0</v>
      </c>
      <c r="D294" s="217">
        <f t="shared" si="52"/>
        <v>0</v>
      </c>
      <c r="E294" s="218">
        <f>SUMIF(Consolidado!$A$6:$A$380,'TOTALES DIARIOS'!A294,Consolidado!$E$6:$E$380)</f>
        <v>0</v>
      </c>
      <c r="F294" s="218">
        <f>SUMIF(Consolidado!$A$6:$A$380,'TOTALES DIARIOS'!A294,Consolidado!$F$6:$F$380)</f>
        <v>0</v>
      </c>
      <c r="G294" s="218">
        <f>SUMIF(Consolidado!$A$6:$A$380,'TOTALES DIARIOS'!A294,Consolidado!$G$6:$G$380)</f>
        <v>0</v>
      </c>
      <c r="H294" s="219">
        <f t="shared" si="53"/>
        <v>0</v>
      </c>
      <c r="I294" s="99">
        <f t="shared" si="54"/>
        <v>0</v>
      </c>
      <c r="J294" s="99">
        <f t="shared" si="55"/>
        <v>0</v>
      </c>
      <c r="K294" s="113">
        <f t="shared" si="56"/>
        <v>2024</v>
      </c>
      <c r="L294" s="113">
        <f t="shared" si="57"/>
        <v>10</v>
      </c>
      <c r="M294" s="115">
        <f t="array" ref="M294">MIN(IF(Consolidado!$A$6:$A$1000='TOTALES DIARIOS'!A294,IF(Consolidado!$C$6:$C$1000&gt;TIMEVALUE("07:00"),Consolidado!$C$6:$C$1000,1)))</f>
        <v>0</v>
      </c>
      <c r="N294" s="115">
        <f t="array" ref="N294">MIN(IF(Consolidado!$A$6:$A$1000='TOTALES DIARIOS'!A294,IF(Consolidado!$C$6:$C$1000&lt;=M294,Consolidado!$C$6:$C$1000,1)))</f>
        <v>0</v>
      </c>
      <c r="O294" s="115">
        <f t="array" ref="O294">MAX(IF(Consolidado!$A$6:$A$1000='TOTALES DIARIOS'!A294,IF(Consolidado!$D$6:$D$1000&gt;=M294,Consolidado!$D$6:$D$1000,0)))</f>
        <v>0</v>
      </c>
      <c r="P294" s="118">
        <f t="array" ref="P294">MAX(IF(Consolidado!$A$6:$A$1000='TOTALES DIARIOS'!A294,IF(Consolidado!$D$6:$D$1000&lt;=M294,Consolidado!$D$6:$D$1000,0)))</f>
        <v>0</v>
      </c>
      <c r="Q294" s="117">
        <f t="shared" si="61"/>
        <v>0</v>
      </c>
      <c r="R294" s="117">
        <f t="shared" si="60"/>
        <v>0</v>
      </c>
      <c r="S294" s="104" t="str">
        <f t="shared" si="58"/>
        <v>NO</v>
      </c>
    </row>
    <row r="295" spans="1:19" x14ac:dyDescent="0.25">
      <c r="A295" s="221">
        <f t="shared" si="59"/>
        <v>45583</v>
      </c>
      <c r="B295" s="130" t="str">
        <f t="shared" si="50"/>
        <v/>
      </c>
      <c r="C295" s="217">
        <f t="shared" si="51"/>
        <v>0</v>
      </c>
      <c r="D295" s="217">
        <f t="shared" si="52"/>
        <v>0</v>
      </c>
      <c r="E295" s="218">
        <f>SUMIF(Consolidado!$A$6:$A$380,'TOTALES DIARIOS'!A295,Consolidado!$E$6:$E$380)</f>
        <v>0</v>
      </c>
      <c r="F295" s="218">
        <f>SUMIF(Consolidado!$A$6:$A$380,'TOTALES DIARIOS'!A295,Consolidado!$F$6:$F$380)</f>
        <v>0</v>
      </c>
      <c r="G295" s="218">
        <f>SUMIF(Consolidado!$A$6:$A$380,'TOTALES DIARIOS'!A295,Consolidado!$G$6:$G$380)</f>
        <v>0</v>
      </c>
      <c r="H295" s="219">
        <f t="shared" si="53"/>
        <v>0</v>
      </c>
      <c r="I295" s="99">
        <f t="shared" si="54"/>
        <v>0</v>
      </c>
      <c r="J295" s="99">
        <f t="shared" si="55"/>
        <v>0</v>
      </c>
      <c r="K295" s="113">
        <f t="shared" si="56"/>
        <v>2024</v>
      </c>
      <c r="L295" s="113">
        <f t="shared" si="57"/>
        <v>10</v>
      </c>
      <c r="M295" s="115">
        <f t="array" ref="M295">MIN(IF(Consolidado!$A$6:$A$1000='TOTALES DIARIOS'!A295,IF(Consolidado!$C$6:$C$1000&gt;TIMEVALUE("07:00"),Consolidado!$C$6:$C$1000,1)))</f>
        <v>0</v>
      </c>
      <c r="N295" s="115">
        <f t="array" ref="N295">MIN(IF(Consolidado!$A$6:$A$1000='TOTALES DIARIOS'!A295,IF(Consolidado!$C$6:$C$1000&lt;=M295,Consolidado!$C$6:$C$1000,1)))</f>
        <v>0</v>
      </c>
      <c r="O295" s="115">
        <f t="array" ref="O295">MAX(IF(Consolidado!$A$6:$A$1000='TOTALES DIARIOS'!A295,IF(Consolidado!$D$6:$D$1000&gt;=M295,Consolidado!$D$6:$D$1000,0)))</f>
        <v>0</v>
      </c>
      <c r="P295" s="118">
        <f t="array" ref="P295">MAX(IF(Consolidado!$A$6:$A$1000='TOTALES DIARIOS'!A295,IF(Consolidado!$D$6:$D$1000&lt;=M295,Consolidado!$D$6:$D$1000,0)))</f>
        <v>0</v>
      </c>
      <c r="Q295" s="117">
        <f t="shared" si="61"/>
        <v>0</v>
      </c>
      <c r="R295" s="117">
        <f t="shared" si="60"/>
        <v>0</v>
      </c>
      <c r="S295" s="104" t="str">
        <f t="shared" si="58"/>
        <v>NO</v>
      </c>
    </row>
    <row r="296" spans="1:19" x14ac:dyDescent="0.25">
      <c r="A296" s="221">
        <f t="shared" si="59"/>
        <v>45584</v>
      </c>
      <c r="B296" s="130" t="str">
        <f t="shared" si="50"/>
        <v/>
      </c>
      <c r="C296" s="217">
        <f t="shared" si="51"/>
        <v>0</v>
      </c>
      <c r="D296" s="217">
        <f t="shared" si="52"/>
        <v>0</v>
      </c>
      <c r="E296" s="218">
        <f>SUMIF(Consolidado!$A$6:$A$380,'TOTALES DIARIOS'!A296,Consolidado!$E$6:$E$380)</f>
        <v>0</v>
      </c>
      <c r="F296" s="218">
        <f>SUMIF(Consolidado!$A$6:$A$380,'TOTALES DIARIOS'!A296,Consolidado!$F$6:$F$380)</f>
        <v>0</v>
      </c>
      <c r="G296" s="218">
        <f>SUMIF(Consolidado!$A$6:$A$380,'TOTALES DIARIOS'!A296,Consolidado!$G$6:$G$380)</f>
        <v>0</v>
      </c>
      <c r="H296" s="219">
        <f t="shared" si="53"/>
        <v>0</v>
      </c>
      <c r="I296" s="99">
        <f t="shared" si="54"/>
        <v>0</v>
      </c>
      <c r="J296" s="99">
        <f t="shared" si="55"/>
        <v>0</v>
      </c>
      <c r="K296" s="113">
        <f t="shared" si="56"/>
        <v>2024</v>
      </c>
      <c r="L296" s="113">
        <f t="shared" si="57"/>
        <v>10</v>
      </c>
      <c r="M296" s="115">
        <f t="array" ref="M296">MIN(IF(Consolidado!$A$6:$A$1000='TOTALES DIARIOS'!A296,IF(Consolidado!$C$6:$C$1000&gt;TIMEVALUE("07:00"),Consolidado!$C$6:$C$1000,1)))</f>
        <v>0</v>
      </c>
      <c r="N296" s="115">
        <f t="array" ref="N296">MIN(IF(Consolidado!$A$6:$A$1000='TOTALES DIARIOS'!A296,IF(Consolidado!$C$6:$C$1000&lt;=M296,Consolidado!$C$6:$C$1000,1)))</f>
        <v>0</v>
      </c>
      <c r="O296" s="115">
        <f t="array" ref="O296">MAX(IF(Consolidado!$A$6:$A$1000='TOTALES DIARIOS'!A296,IF(Consolidado!$D$6:$D$1000&gt;=M296,Consolidado!$D$6:$D$1000,0)))</f>
        <v>0</v>
      </c>
      <c r="P296" s="118">
        <f t="array" ref="P296">MAX(IF(Consolidado!$A$6:$A$1000='TOTALES DIARIOS'!A296,IF(Consolidado!$D$6:$D$1000&lt;=M296,Consolidado!$D$6:$D$1000,0)))</f>
        <v>0</v>
      </c>
      <c r="Q296" s="117">
        <f t="shared" si="61"/>
        <v>0</v>
      </c>
      <c r="R296" s="117">
        <f t="shared" si="60"/>
        <v>0</v>
      </c>
      <c r="S296" s="104" t="str">
        <f t="shared" si="58"/>
        <v>NO</v>
      </c>
    </row>
    <row r="297" spans="1:19" x14ac:dyDescent="0.25">
      <c r="A297" s="221">
        <f t="shared" si="59"/>
        <v>45585</v>
      </c>
      <c r="B297" s="130" t="str">
        <f t="shared" si="50"/>
        <v/>
      </c>
      <c r="C297" s="217">
        <f t="shared" si="51"/>
        <v>0</v>
      </c>
      <c r="D297" s="217">
        <f t="shared" si="52"/>
        <v>0</v>
      </c>
      <c r="E297" s="218">
        <f>SUMIF(Consolidado!$A$6:$A$380,'TOTALES DIARIOS'!A297,Consolidado!$E$6:$E$380)</f>
        <v>0</v>
      </c>
      <c r="F297" s="218">
        <f>SUMIF(Consolidado!$A$6:$A$380,'TOTALES DIARIOS'!A297,Consolidado!$F$6:$F$380)</f>
        <v>0</v>
      </c>
      <c r="G297" s="218">
        <f>SUMIF(Consolidado!$A$6:$A$380,'TOTALES DIARIOS'!A297,Consolidado!$G$6:$G$380)</f>
        <v>0</v>
      </c>
      <c r="H297" s="219">
        <f t="shared" si="53"/>
        <v>0</v>
      </c>
      <c r="I297" s="99">
        <f t="shared" si="54"/>
        <v>0</v>
      </c>
      <c r="J297" s="99">
        <f t="shared" si="55"/>
        <v>0</v>
      </c>
      <c r="K297" s="113">
        <f t="shared" si="56"/>
        <v>2024</v>
      </c>
      <c r="L297" s="113">
        <f t="shared" si="57"/>
        <v>10</v>
      </c>
      <c r="M297" s="115">
        <f t="array" ref="M297">MIN(IF(Consolidado!$A$6:$A$1000='TOTALES DIARIOS'!A297,IF(Consolidado!$C$6:$C$1000&gt;TIMEVALUE("07:00"),Consolidado!$C$6:$C$1000,1)))</f>
        <v>0</v>
      </c>
      <c r="N297" s="115">
        <f t="array" ref="N297">MIN(IF(Consolidado!$A$6:$A$1000='TOTALES DIARIOS'!A297,IF(Consolidado!$C$6:$C$1000&lt;=M297,Consolidado!$C$6:$C$1000,1)))</f>
        <v>0</v>
      </c>
      <c r="O297" s="115">
        <f t="array" ref="O297">MAX(IF(Consolidado!$A$6:$A$1000='TOTALES DIARIOS'!A297,IF(Consolidado!$D$6:$D$1000&gt;=M297,Consolidado!$D$6:$D$1000,0)))</f>
        <v>0</v>
      </c>
      <c r="P297" s="118">
        <f t="array" ref="P297">MAX(IF(Consolidado!$A$6:$A$1000='TOTALES DIARIOS'!A297,IF(Consolidado!$D$6:$D$1000&lt;=M297,Consolidado!$D$6:$D$1000,0)))</f>
        <v>0</v>
      </c>
      <c r="Q297" s="117">
        <f t="shared" si="61"/>
        <v>0</v>
      </c>
      <c r="R297" s="117">
        <f t="shared" si="60"/>
        <v>0</v>
      </c>
      <c r="S297" s="104" t="str">
        <f t="shared" si="58"/>
        <v>NO</v>
      </c>
    </row>
    <row r="298" spans="1:19" x14ac:dyDescent="0.25">
      <c r="A298" s="221">
        <f t="shared" si="59"/>
        <v>45586</v>
      </c>
      <c r="B298" s="130" t="str">
        <f t="shared" si="50"/>
        <v/>
      </c>
      <c r="C298" s="217">
        <f t="shared" si="51"/>
        <v>0</v>
      </c>
      <c r="D298" s="217">
        <f t="shared" si="52"/>
        <v>0</v>
      </c>
      <c r="E298" s="218">
        <f>SUMIF(Consolidado!$A$6:$A$380,'TOTALES DIARIOS'!A298,Consolidado!$E$6:$E$380)</f>
        <v>0</v>
      </c>
      <c r="F298" s="218">
        <f>SUMIF(Consolidado!$A$6:$A$380,'TOTALES DIARIOS'!A298,Consolidado!$F$6:$F$380)</f>
        <v>0</v>
      </c>
      <c r="G298" s="218">
        <f>SUMIF(Consolidado!$A$6:$A$380,'TOTALES DIARIOS'!A298,Consolidado!$G$6:$G$380)</f>
        <v>0</v>
      </c>
      <c r="H298" s="219">
        <f t="shared" si="53"/>
        <v>0</v>
      </c>
      <c r="I298" s="99">
        <f t="shared" si="54"/>
        <v>0</v>
      </c>
      <c r="J298" s="99">
        <f t="shared" si="55"/>
        <v>0</v>
      </c>
      <c r="K298" s="113">
        <f t="shared" si="56"/>
        <v>2024</v>
      </c>
      <c r="L298" s="113">
        <f t="shared" si="57"/>
        <v>10</v>
      </c>
      <c r="M298" s="115">
        <f t="array" ref="M298">MIN(IF(Consolidado!$A$6:$A$1000='TOTALES DIARIOS'!A298,IF(Consolidado!$C$6:$C$1000&gt;TIMEVALUE("07:00"),Consolidado!$C$6:$C$1000,1)))</f>
        <v>0</v>
      </c>
      <c r="N298" s="115">
        <f t="array" ref="N298">MIN(IF(Consolidado!$A$6:$A$1000='TOTALES DIARIOS'!A298,IF(Consolidado!$C$6:$C$1000&lt;=M298,Consolidado!$C$6:$C$1000,1)))</f>
        <v>0</v>
      </c>
      <c r="O298" s="115">
        <f t="array" ref="O298">MAX(IF(Consolidado!$A$6:$A$1000='TOTALES DIARIOS'!A298,IF(Consolidado!$D$6:$D$1000&gt;=M298,Consolidado!$D$6:$D$1000,0)))</f>
        <v>0</v>
      </c>
      <c r="P298" s="118">
        <f t="array" ref="P298">MAX(IF(Consolidado!$A$6:$A$1000='TOTALES DIARIOS'!A298,IF(Consolidado!$D$6:$D$1000&lt;=M298,Consolidado!$D$6:$D$1000,0)))</f>
        <v>0</v>
      </c>
      <c r="Q298" s="117">
        <f t="shared" si="61"/>
        <v>0</v>
      </c>
      <c r="R298" s="117">
        <f t="shared" si="60"/>
        <v>0</v>
      </c>
      <c r="S298" s="104" t="str">
        <f t="shared" si="58"/>
        <v>NO</v>
      </c>
    </row>
    <row r="299" spans="1:19" x14ac:dyDescent="0.25">
      <c r="A299" s="221">
        <f t="shared" si="59"/>
        <v>45587</v>
      </c>
      <c r="B299" s="130" t="str">
        <f t="shared" si="50"/>
        <v/>
      </c>
      <c r="C299" s="217">
        <f t="shared" si="51"/>
        <v>0</v>
      </c>
      <c r="D299" s="217">
        <f t="shared" si="52"/>
        <v>0</v>
      </c>
      <c r="E299" s="218">
        <f>SUMIF(Consolidado!$A$6:$A$380,'TOTALES DIARIOS'!A299,Consolidado!$E$6:$E$380)</f>
        <v>0</v>
      </c>
      <c r="F299" s="218">
        <f>SUMIF(Consolidado!$A$6:$A$380,'TOTALES DIARIOS'!A299,Consolidado!$F$6:$F$380)</f>
        <v>0</v>
      </c>
      <c r="G299" s="218">
        <f>SUMIF(Consolidado!$A$6:$A$380,'TOTALES DIARIOS'!A299,Consolidado!$G$6:$G$380)</f>
        <v>0</v>
      </c>
      <c r="H299" s="219">
        <f t="shared" si="53"/>
        <v>0</v>
      </c>
      <c r="I299" s="99">
        <f t="shared" si="54"/>
        <v>0</v>
      </c>
      <c r="J299" s="99">
        <f t="shared" si="55"/>
        <v>0</v>
      </c>
      <c r="K299" s="113">
        <f t="shared" si="56"/>
        <v>2024</v>
      </c>
      <c r="L299" s="113">
        <f t="shared" si="57"/>
        <v>10</v>
      </c>
      <c r="M299" s="115">
        <f t="array" ref="M299">MIN(IF(Consolidado!$A$6:$A$1000='TOTALES DIARIOS'!A299,IF(Consolidado!$C$6:$C$1000&gt;TIMEVALUE("07:00"),Consolidado!$C$6:$C$1000,1)))</f>
        <v>0</v>
      </c>
      <c r="N299" s="115">
        <f t="array" ref="N299">MIN(IF(Consolidado!$A$6:$A$1000='TOTALES DIARIOS'!A299,IF(Consolidado!$C$6:$C$1000&lt;=M299,Consolidado!$C$6:$C$1000,1)))</f>
        <v>0</v>
      </c>
      <c r="O299" s="115">
        <f t="array" ref="O299">MAX(IF(Consolidado!$A$6:$A$1000='TOTALES DIARIOS'!A299,IF(Consolidado!$D$6:$D$1000&gt;=M299,Consolidado!$D$6:$D$1000,0)))</f>
        <v>0</v>
      </c>
      <c r="P299" s="118">
        <f t="array" ref="P299">MAX(IF(Consolidado!$A$6:$A$1000='TOTALES DIARIOS'!A299,IF(Consolidado!$D$6:$D$1000&lt;=M299,Consolidado!$D$6:$D$1000,0)))</f>
        <v>0</v>
      </c>
      <c r="Q299" s="117">
        <f t="shared" si="61"/>
        <v>0</v>
      </c>
      <c r="R299" s="117">
        <f t="shared" si="60"/>
        <v>0</v>
      </c>
      <c r="S299" s="104" t="str">
        <f t="shared" si="58"/>
        <v>NO</v>
      </c>
    </row>
    <row r="300" spans="1:19" x14ac:dyDescent="0.25">
      <c r="A300" s="221">
        <f t="shared" si="59"/>
        <v>45588</v>
      </c>
      <c r="B300" s="130" t="str">
        <f t="shared" si="50"/>
        <v/>
      </c>
      <c r="C300" s="217">
        <f t="shared" si="51"/>
        <v>0</v>
      </c>
      <c r="D300" s="217">
        <f t="shared" si="52"/>
        <v>0</v>
      </c>
      <c r="E300" s="218">
        <f>SUMIF(Consolidado!$A$6:$A$380,'TOTALES DIARIOS'!A300,Consolidado!$E$6:$E$380)</f>
        <v>0</v>
      </c>
      <c r="F300" s="218">
        <f>SUMIF(Consolidado!$A$6:$A$380,'TOTALES DIARIOS'!A300,Consolidado!$F$6:$F$380)</f>
        <v>0</v>
      </c>
      <c r="G300" s="218">
        <f>SUMIF(Consolidado!$A$6:$A$380,'TOTALES DIARIOS'!A300,Consolidado!$G$6:$G$380)</f>
        <v>0</v>
      </c>
      <c r="H300" s="219">
        <f t="shared" si="53"/>
        <v>0</v>
      </c>
      <c r="I300" s="99">
        <f t="shared" si="54"/>
        <v>0</v>
      </c>
      <c r="J300" s="99">
        <f t="shared" si="55"/>
        <v>0</v>
      </c>
      <c r="K300" s="113">
        <f t="shared" si="56"/>
        <v>2024</v>
      </c>
      <c r="L300" s="113">
        <f t="shared" si="57"/>
        <v>10</v>
      </c>
      <c r="M300" s="115">
        <f t="array" ref="M300">MIN(IF(Consolidado!$A$6:$A$1000='TOTALES DIARIOS'!A300,IF(Consolidado!$C$6:$C$1000&gt;TIMEVALUE("07:00"),Consolidado!$C$6:$C$1000,1)))</f>
        <v>0</v>
      </c>
      <c r="N300" s="115">
        <f t="array" ref="N300">MIN(IF(Consolidado!$A$6:$A$1000='TOTALES DIARIOS'!A300,IF(Consolidado!$C$6:$C$1000&lt;=M300,Consolidado!$C$6:$C$1000,1)))</f>
        <v>0</v>
      </c>
      <c r="O300" s="115">
        <f t="array" ref="O300">MAX(IF(Consolidado!$A$6:$A$1000='TOTALES DIARIOS'!A300,IF(Consolidado!$D$6:$D$1000&gt;=M300,Consolidado!$D$6:$D$1000,0)))</f>
        <v>0</v>
      </c>
      <c r="P300" s="118">
        <f t="array" ref="P300">MAX(IF(Consolidado!$A$6:$A$1000='TOTALES DIARIOS'!A300,IF(Consolidado!$D$6:$D$1000&lt;=M300,Consolidado!$D$6:$D$1000,0)))</f>
        <v>0</v>
      </c>
      <c r="Q300" s="117">
        <f t="shared" si="61"/>
        <v>0</v>
      </c>
      <c r="R300" s="117">
        <f t="shared" si="60"/>
        <v>0</v>
      </c>
      <c r="S300" s="104" t="str">
        <f t="shared" si="58"/>
        <v>NO</v>
      </c>
    </row>
    <row r="301" spans="1:19" x14ac:dyDescent="0.25">
      <c r="A301" s="221">
        <f t="shared" si="59"/>
        <v>45589</v>
      </c>
      <c r="B301" s="130" t="str">
        <f t="shared" si="50"/>
        <v/>
      </c>
      <c r="C301" s="217">
        <f t="shared" si="51"/>
        <v>0</v>
      </c>
      <c r="D301" s="217">
        <f t="shared" si="52"/>
        <v>0</v>
      </c>
      <c r="E301" s="218">
        <f>SUMIF(Consolidado!$A$6:$A$380,'TOTALES DIARIOS'!A301,Consolidado!$E$6:$E$380)</f>
        <v>0</v>
      </c>
      <c r="F301" s="218">
        <f>SUMIF(Consolidado!$A$6:$A$380,'TOTALES DIARIOS'!A301,Consolidado!$F$6:$F$380)</f>
        <v>0</v>
      </c>
      <c r="G301" s="218">
        <f>SUMIF(Consolidado!$A$6:$A$380,'TOTALES DIARIOS'!A301,Consolidado!$G$6:$G$380)</f>
        <v>0</v>
      </c>
      <c r="H301" s="219">
        <f t="shared" si="53"/>
        <v>0</v>
      </c>
      <c r="I301" s="99">
        <f t="shared" si="54"/>
        <v>0</v>
      </c>
      <c r="J301" s="99">
        <f t="shared" si="55"/>
        <v>0</v>
      </c>
      <c r="K301" s="113">
        <f t="shared" si="56"/>
        <v>2024</v>
      </c>
      <c r="L301" s="113">
        <f t="shared" si="57"/>
        <v>10</v>
      </c>
      <c r="M301" s="115">
        <f t="array" ref="M301">MIN(IF(Consolidado!$A$6:$A$1000='TOTALES DIARIOS'!A301,IF(Consolidado!$C$6:$C$1000&gt;TIMEVALUE("07:00"),Consolidado!$C$6:$C$1000,1)))</f>
        <v>0</v>
      </c>
      <c r="N301" s="115">
        <f t="array" ref="N301">MIN(IF(Consolidado!$A$6:$A$1000='TOTALES DIARIOS'!A301,IF(Consolidado!$C$6:$C$1000&lt;=M301,Consolidado!$C$6:$C$1000,1)))</f>
        <v>0</v>
      </c>
      <c r="O301" s="115">
        <f t="array" ref="O301">MAX(IF(Consolidado!$A$6:$A$1000='TOTALES DIARIOS'!A301,IF(Consolidado!$D$6:$D$1000&gt;=M301,Consolidado!$D$6:$D$1000,0)))</f>
        <v>0</v>
      </c>
      <c r="P301" s="118">
        <f t="array" ref="P301">MAX(IF(Consolidado!$A$6:$A$1000='TOTALES DIARIOS'!A301,IF(Consolidado!$D$6:$D$1000&lt;=M301,Consolidado!$D$6:$D$1000,0)))</f>
        <v>0</v>
      </c>
      <c r="Q301" s="117">
        <f t="shared" si="61"/>
        <v>0</v>
      </c>
      <c r="R301" s="117">
        <f t="shared" si="60"/>
        <v>0</v>
      </c>
      <c r="S301" s="104" t="str">
        <f t="shared" si="58"/>
        <v>NO</v>
      </c>
    </row>
    <row r="302" spans="1:19" x14ac:dyDescent="0.25">
      <c r="A302" s="221">
        <f t="shared" si="59"/>
        <v>45590</v>
      </c>
      <c r="B302" s="130" t="str">
        <f t="shared" si="50"/>
        <v/>
      </c>
      <c r="C302" s="217">
        <f t="shared" si="51"/>
        <v>0</v>
      </c>
      <c r="D302" s="217">
        <f t="shared" si="52"/>
        <v>0</v>
      </c>
      <c r="E302" s="218">
        <f>SUMIF(Consolidado!$A$6:$A$380,'TOTALES DIARIOS'!A302,Consolidado!$E$6:$E$380)</f>
        <v>0</v>
      </c>
      <c r="F302" s="218">
        <f>SUMIF(Consolidado!$A$6:$A$380,'TOTALES DIARIOS'!A302,Consolidado!$F$6:$F$380)</f>
        <v>0</v>
      </c>
      <c r="G302" s="218">
        <f>SUMIF(Consolidado!$A$6:$A$380,'TOTALES DIARIOS'!A302,Consolidado!$G$6:$G$380)</f>
        <v>0</v>
      </c>
      <c r="H302" s="219">
        <f t="shared" si="53"/>
        <v>0</v>
      </c>
      <c r="I302" s="99">
        <f t="shared" si="54"/>
        <v>0</v>
      </c>
      <c r="J302" s="99">
        <f t="shared" si="55"/>
        <v>0</v>
      </c>
      <c r="K302" s="113">
        <f t="shared" si="56"/>
        <v>2024</v>
      </c>
      <c r="L302" s="113">
        <f t="shared" si="57"/>
        <v>10</v>
      </c>
      <c r="M302" s="115">
        <f t="array" ref="M302">MIN(IF(Consolidado!$A$6:$A$1000='TOTALES DIARIOS'!A302,IF(Consolidado!$C$6:$C$1000&gt;TIMEVALUE("07:00"),Consolidado!$C$6:$C$1000,1)))</f>
        <v>0</v>
      </c>
      <c r="N302" s="115">
        <f t="array" ref="N302">MIN(IF(Consolidado!$A$6:$A$1000='TOTALES DIARIOS'!A302,IF(Consolidado!$C$6:$C$1000&lt;=M302,Consolidado!$C$6:$C$1000,1)))</f>
        <v>0</v>
      </c>
      <c r="O302" s="115">
        <f t="array" ref="O302">MAX(IF(Consolidado!$A$6:$A$1000='TOTALES DIARIOS'!A302,IF(Consolidado!$D$6:$D$1000&gt;=M302,Consolidado!$D$6:$D$1000,0)))</f>
        <v>0</v>
      </c>
      <c r="P302" s="118">
        <f t="array" ref="P302">MAX(IF(Consolidado!$A$6:$A$1000='TOTALES DIARIOS'!A302,IF(Consolidado!$D$6:$D$1000&lt;=M302,Consolidado!$D$6:$D$1000,0)))</f>
        <v>0</v>
      </c>
      <c r="Q302" s="117">
        <f t="shared" si="61"/>
        <v>0</v>
      </c>
      <c r="R302" s="117">
        <f t="shared" si="60"/>
        <v>0</v>
      </c>
      <c r="S302" s="104" t="str">
        <f t="shared" si="58"/>
        <v>NO</v>
      </c>
    </row>
    <row r="303" spans="1:19" x14ac:dyDescent="0.25">
      <c r="A303" s="221">
        <f t="shared" si="59"/>
        <v>45591</v>
      </c>
      <c r="B303" s="130" t="str">
        <f t="shared" si="50"/>
        <v/>
      </c>
      <c r="C303" s="217">
        <f t="shared" si="51"/>
        <v>0</v>
      </c>
      <c r="D303" s="217">
        <f t="shared" si="52"/>
        <v>0</v>
      </c>
      <c r="E303" s="218">
        <f>SUMIF(Consolidado!$A$6:$A$380,'TOTALES DIARIOS'!A303,Consolidado!$E$6:$E$380)</f>
        <v>0</v>
      </c>
      <c r="F303" s="218">
        <f>SUMIF(Consolidado!$A$6:$A$380,'TOTALES DIARIOS'!A303,Consolidado!$F$6:$F$380)</f>
        <v>0</v>
      </c>
      <c r="G303" s="218">
        <f>SUMIF(Consolidado!$A$6:$A$380,'TOTALES DIARIOS'!A303,Consolidado!$G$6:$G$380)</f>
        <v>0</v>
      </c>
      <c r="H303" s="219">
        <f t="shared" si="53"/>
        <v>0</v>
      </c>
      <c r="I303" s="99">
        <f t="shared" si="54"/>
        <v>0</v>
      </c>
      <c r="J303" s="99">
        <f t="shared" si="55"/>
        <v>0</v>
      </c>
      <c r="K303" s="113">
        <f t="shared" si="56"/>
        <v>2024</v>
      </c>
      <c r="L303" s="113">
        <f t="shared" si="57"/>
        <v>10</v>
      </c>
      <c r="M303" s="115">
        <f t="array" ref="M303">MIN(IF(Consolidado!$A$6:$A$1000='TOTALES DIARIOS'!A303,IF(Consolidado!$C$6:$C$1000&gt;TIMEVALUE("07:00"),Consolidado!$C$6:$C$1000,1)))</f>
        <v>0</v>
      </c>
      <c r="N303" s="115">
        <f t="array" ref="N303">MIN(IF(Consolidado!$A$6:$A$1000='TOTALES DIARIOS'!A303,IF(Consolidado!$C$6:$C$1000&lt;=M303,Consolidado!$C$6:$C$1000,1)))</f>
        <v>0</v>
      </c>
      <c r="O303" s="115">
        <f t="array" ref="O303">MAX(IF(Consolidado!$A$6:$A$1000='TOTALES DIARIOS'!A303,IF(Consolidado!$D$6:$D$1000&gt;=M303,Consolidado!$D$6:$D$1000,0)))</f>
        <v>0</v>
      </c>
      <c r="P303" s="118">
        <f t="array" ref="P303">MAX(IF(Consolidado!$A$6:$A$1000='TOTALES DIARIOS'!A303,IF(Consolidado!$D$6:$D$1000&lt;=M303,Consolidado!$D$6:$D$1000,0)))</f>
        <v>0</v>
      </c>
      <c r="Q303" s="117">
        <f t="shared" si="61"/>
        <v>0</v>
      </c>
      <c r="R303" s="117">
        <f t="shared" si="60"/>
        <v>0</v>
      </c>
      <c r="S303" s="104" t="str">
        <f t="shared" si="58"/>
        <v>NO</v>
      </c>
    </row>
    <row r="304" spans="1:19" x14ac:dyDescent="0.25">
      <c r="A304" s="221">
        <f t="shared" si="59"/>
        <v>45592</v>
      </c>
      <c r="B304" s="130" t="str">
        <f t="shared" si="50"/>
        <v/>
      </c>
      <c r="C304" s="217">
        <f t="shared" si="51"/>
        <v>0</v>
      </c>
      <c r="D304" s="217">
        <f t="shared" si="52"/>
        <v>0</v>
      </c>
      <c r="E304" s="218">
        <f>SUMIF(Consolidado!$A$6:$A$380,'TOTALES DIARIOS'!A304,Consolidado!$E$6:$E$380)</f>
        <v>0</v>
      </c>
      <c r="F304" s="218">
        <f>SUMIF(Consolidado!$A$6:$A$380,'TOTALES DIARIOS'!A304,Consolidado!$F$6:$F$380)</f>
        <v>0</v>
      </c>
      <c r="G304" s="218">
        <f>SUMIF(Consolidado!$A$6:$A$380,'TOTALES DIARIOS'!A304,Consolidado!$G$6:$G$380)</f>
        <v>0</v>
      </c>
      <c r="H304" s="219">
        <f t="shared" si="53"/>
        <v>0</v>
      </c>
      <c r="I304" s="99">
        <f t="shared" si="54"/>
        <v>0</v>
      </c>
      <c r="J304" s="99">
        <f t="shared" si="55"/>
        <v>0</v>
      </c>
      <c r="K304" s="113">
        <f t="shared" si="56"/>
        <v>2024</v>
      </c>
      <c r="L304" s="113">
        <f t="shared" si="57"/>
        <v>10</v>
      </c>
      <c r="M304" s="115">
        <f t="array" ref="M304">MIN(IF(Consolidado!$A$6:$A$1000='TOTALES DIARIOS'!A304,IF(Consolidado!$C$6:$C$1000&gt;TIMEVALUE("07:00"),Consolidado!$C$6:$C$1000,1)))</f>
        <v>0</v>
      </c>
      <c r="N304" s="115">
        <f t="array" ref="N304">MIN(IF(Consolidado!$A$6:$A$1000='TOTALES DIARIOS'!A304,IF(Consolidado!$C$6:$C$1000&lt;=M304,Consolidado!$C$6:$C$1000,1)))</f>
        <v>0</v>
      </c>
      <c r="O304" s="115">
        <f t="array" ref="O304">MAX(IF(Consolidado!$A$6:$A$1000='TOTALES DIARIOS'!A304,IF(Consolidado!$D$6:$D$1000&gt;=M304,Consolidado!$D$6:$D$1000,0)))</f>
        <v>0</v>
      </c>
      <c r="P304" s="118">
        <f t="array" ref="P304">MAX(IF(Consolidado!$A$6:$A$1000='TOTALES DIARIOS'!A304,IF(Consolidado!$D$6:$D$1000&lt;=M304,Consolidado!$D$6:$D$1000,0)))</f>
        <v>0</v>
      </c>
      <c r="Q304" s="117">
        <f t="shared" si="61"/>
        <v>0</v>
      </c>
      <c r="R304" s="117">
        <f t="shared" si="60"/>
        <v>0</v>
      </c>
      <c r="S304" s="104" t="str">
        <f t="shared" si="58"/>
        <v>NO</v>
      </c>
    </row>
    <row r="305" spans="1:19" x14ac:dyDescent="0.25">
      <c r="A305" s="221">
        <f t="shared" si="59"/>
        <v>45593</v>
      </c>
      <c r="B305" s="130" t="str">
        <f t="shared" si="50"/>
        <v/>
      </c>
      <c r="C305" s="217">
        <f t="shared" si="51"/>
        <v>0</v>
      </c>
      <c r="D305" s="217">
        <f t="shared" si="52"/>
        <v>0</v>
      </c>
      <c r="E305" s="218">
        <f>SUMIF(Consolidado!$A$6:$A$380,'TOTALES DIARIOS'!A305,Consolidado!$E$6:$E$380)</f>
        <v>0</v>
      </c>
      <c r="F305" s="218">
        <f>SUMIF(Consolidado!$A$6:$A$380,'TOTALES DIARIOS'!A305,Consolidado!$F$6:$F$380)</f>
        <v>0</v>
      </c>
      <c r="G305" s="218">
        <f>SUMIF(Consolidado!$A$6:$A$380,'TOTALES DIARIOS'!A305,Consolidado!$G$6:$G$380)</f>
        <v>0</v>
      </c>
      <c r="H305" s="219">
        <f t="shared" si="53"/>
        <v>0</v>
      </c>
      <c r="I305" s="99">
        <f t="shared" si="54"/>
        <v>0</v>
      </c>
      <c r="J305" s="99">
        <f t="shared" si="55"/>
        <v>0</v>
      </c>
      <c r="K305" s="113">
        <f t="shared" si="56"/>
        <v>2024</v>
      </c>
      <c r="L305" s="113">
        <f t="shared" si="57"/>
        <v>10</v>
      </c>
      <c r="M305" s="115">
        <f t="array" ref="M305">MIN(IF(Consolidado!$A$6:$A$1000='TOTALES DIARIOS'!A305,IF(Consolidado!$C$6:$C$1000&gt;TIMEVALUE("07:00"),Consolidado!$C$6:$C$1000,1)))</f>
        <v>0</v>
      </c>
      <c r="N305" s="115">
        <f t="array" ref="N305">MIN(IF(Consolidado!$A$6:$A$1000='TOTALES DIARIOS'!A305,IF(Consolidado!$C$6:$C$1000&lt;=M305,Consolidado!$C$6:$C$1000,1)))</f>
        <v>0</v>
      </c>
      <c r="O305" s="115">
        <f t="array" ref="O305">MAX(IF(Consolidado!$A$6:$A$1000='TOTALES DIARIOS'!A305,IF(Consolidado!$D$6:$D$1000&gt;=M305,Consolidado!$D$6:$D$1000,0)))</f>
        <v>0</v>
      </c>
      <c r="P305" s="118">
        <f t="array" ref="P305">MAX(IF(Consolidado!$A$6:$A$1000='TOTALES DIARIOS'!A305,IF(Consolidado!$D$6:$D$1000&lt;=M305,Consolidado!$D$6:$D$1000,0)))</f>
        <v>0</v>
      </c>
      <c r="Q305" s="117">
        <f t="shared" si="61"/>
        <v>0</v>
      </c>
      <c r="R305" s="117">
        <f t="shared" si="60"/>
        <v>0</v>
      </c>
      <c r="S305" s="104" t="str">
        <f t="shared" si="58"/>
        <v>NO</v>
      </c>
    </row>
    <row r="306" spans="1:19" x14ac:dyDescent="0.25">
      <c r="A306" s="221">
        <f t="shared" si="59"/>
        <v>45594</v>
      </c>
      <c r="B306" s="130" t="str">
        <f t="shared" si="50"/>
        <v/>
      </c>
      <c r="C306" s="217">
        <f t="shared" si="51"/>
        <v>0</v>
      </c>
      <c r="D306" s="217">
        <f t="shared" si="52"/>
        <v>0</v>
      </c>
      <c r="E306" s="218">
        <f>SUMIF(Consolidado!$A$6:$A$380,'TOTALES DIARIOS'!A306,Consolidado!$E$6:$E$380)</f>
        <v>0</v>
      </c>
      <c r="F306" s="218">
        <f>SUMIF(Consolidado!$A$6:$A$380,'TOTALES DIARIOS'!A306,Consolidado!$F$6:$F$380)</f>
        <v>0</v>
      </c>
      <c r="G306" s="218">
        <f>SUMIF(Consolidado!$A$6:$A$380,'TOTALES DIARIOS'!A306,Consolidado!$G$6:$G$380)</f>
        <v>0</v>
      </c>
      <c r="H306" s="219">
        <f t="shared" si="53"/>
        <v>0</v>
      </c>
      <c r="I306" s="99">
        <f t="shared" si="54"/>
        <v>0</v>
      </c>
      <c r="J306" s="99">
        <f t="shared" si="55"/>
        <v>0</v>
      </c>
      <c r="K306" s="113">
        <f t="shared" si="56"/>
        <v>2024</v>
      </c>
      <c r="L306" s="113">
        <f t="shared" si="57"/>
        <v>10</v>
      </c>
      <c r="M306" s="115">
        <f t="array" ref="M306">MIN(IF(Consolidado!$A$6:$A$1000='TOTALES DIARIOS'!A306,IF(Consolidado!$C$6:$C$1000&gt;TIMEVALUE("07:00"),Consolidado!$C$6:$C$1000,1)))</f>
        <v>0</v>
      </c>
      <c r="N306" s="115">
        <f t="array" ref="N306">MIN(IF(Consolidado!$A$6:$A$1000='TOTALES DIARIOS'!A306,IF(Consolidado!$C$6:$C$1000&lt;=M306,Consolidado!$C$6:$C$1000,1)))</f>
        <v>0</v>
      </c>
      <c r="O306" s="115">
        <f t="array" ref="O306">MAX(IF(Consolidado!$A$6:$A$1000='TOTALES DIARIOS'!A306,IF(Consolidado!$D$6:$D$1000&gt;=M306,Consolidado!$D$6:$D$1000,0)))</f>
        <v>0</v>
      </c>
      <c r="P306" s="118">
        <f t="array" ref="P306">MAX(IF(Consolidado!$A$6:$A$1000='TOTALES DIARIOS'!A306,IF(Consolidado!$D$6:$D$1000&lt;=M306,Consolidado!$D$6:$D$1000,0)))</f>
        <v>0</v>
      </c>
      <c r="Q306" s="117">
        <f t="shared" si="61"/>
        <v>0</v>
      </c>
      <c r="R306" s="117">
        <f t="shared" si="60"/>
        <v>0</v>
      </c>
      <c r="S306" s="104" t="str">
        <f t="shared" si="58"/>
        <v>NO</v>
      </c>
    </row>
    <row r="307" spans="1:19" x14ac:dyDescent="0.25">
      <c r="A307" s="221">
        <f t="shared" si="59"/>
        <v>45595</v>
      </c>
      <c r="B307" s="130" t="str">
        <f t="shared" si="50"/>
        <v/>
      </c>
      <c r="C307" s="217">
        <f t="shared" si="51"/>
        <v>0</v>
      </c>
      <c r="D307" s="217">
        <f t="shared" si="52"/>
        <v>0</v>
      </c>
      <c r="E307" s="218">
        <f>SUMIF(Consolidado!$A$6:$A$380,'TOTALES DIARIOS'!A307,Consolidado!$E$6:$E$380)</f>
        <v>0</v>
      </c>
      <c r="F307" s="218">
        <f>SUMIF(Consolidado!$A$6:$A$380,'TOTALES DIARIOS'!A307,Consolidado!$F$6:$F$380)</f>
        <v>0</v>
      </c>
      <c r="G307" s="218">
        <f>SUMIF(Consolidado!$A$6:$A$380,'TOTALES DIARIOS'!A307,Consolidado!$G$6:$G$380)</f>
        <v>0</v>
      </c>
      <c r="H307" s="219">
        <f t="shared" si="53"/>
        <v>0</v>
      </c>
      <c r="I307" s="99">
        <f t="shared" si="54"/>
        <v>0</v>
      </c>
      <c r="J307" s="99">
        <f t="shared" si="55"/>
        <v>0</v>
      </c>
      <c r="K307" s="113">
        <f t="shared" si="56"/>
        <v>2024</v>
      </c>
      <c r="L307" s="113">
        <f t="shared" si="57"/>
        <v>10</v>
      </c>
      <c r="M307" s="115">
        <f t="array" ref="M307">MIN(IF(Consolidado!$A$6:$A$1000='TOTALES DIARIOS'!A307,IF(Consolidado!$C$6:$C$1000&gt;TIMEVALUE("07:00"),Consolidado!$C$6:$C$1000,1)))</f>
        <v>0</v>
      </c>
      <c r="N307" s="115">
        <f t="array" ref="N307">MIN(IF(Consolidado!$A$6:$A$1000='TOTALES DIARIOS'!A307,IF(Consolidado!$C$6:$C$1000&lt;=M307,Consolidado!$C$6:$C$1000,1)))</f>
        <v>0</v>
      </c>
      <c r="O307" s="115">
        <f t="array" ref="O307">MAX(IF(Consolidado!$A$6:$A$1000='TOTALES DIARIOS'!A307,IF(Consolidado!$D$6:$D$1000&gt;=M307,Consolidado!$D$6:$D$1000,0)))</f>
        <v>0</v>
      </c>
      <c r="P307" s="118">
        <f t="array" ref="P307">MAX(IF(Consolidado!$A$6:$A$1000='TOTALES DIARIOS'!A307,IF(Consolidado!$D$6:$D$1000&lt;=M307,Consolidado!$D$6:$D$1000,0)))</f>
        <v>0</v>
      </c>
      <c r="Q307" s="117">
        <f t="shared" si="61"/>
        <v>0</v>
      </c>
      <c r="R307" s="117">
        <f t="shared" si="60"/>
        <v>0</v>
      </c>
      <c r="S307" s="104" t="str">
        <f t="shared" si="58"/>
        <v>NO</v>
      </c>
    </row>
    <row r="308" spans="1:19" x14ac:dyDescent="0.25">
      <c r="A308" s="221">
        <f t="shared" si="59"/>
        <v>45596</v>
      </c>
      <c r="B308" s="130" t="str">
        <f t="shared" si="50"/>
        <v/>
      </c>
      <c r="C308" s="217">
        <f t="shared" si="51"/>
        <v>0</v>
      </c>
      <c r="D308" s="217">
        <f t="shared" si="52"/>
        <v>0</v>
      </c>
      <c r="E308" s="218">
        <f>SUMIF(Consolidado!$A$6:$A$380,'TOTALES DIARIOS'!A308,Consolidado!$E$6:$E$380)</f>
        <v>0</v>
      </c>
      <c r="F308" s="218">
        <f>SUMIF(Consolidado!$A$6:$A$380,'TOTALES DIARIOS'!A308,Consolidado!$F$6:$F$380)</f>
        <v>0</v>
      </c>
      <c r="G308" s="218">
        <f>SUMIF(Consolidado!$A$6:$A$380,'TOTALES DIARIOS'!A308,Consolidado!$G$6:$G$380)</f>
        <v>0</v>
      </c>
      <c r="H308" s="219">
        <f t="shared" si="53"/>
        <v>0</v>
      </c>
      <c r="I308" s="99">
        <f t="shared" si="54"/>
        <v>0</v>
      </c>
      <c r="J308" s="99">
        <f t="shared" si="55"/>
        <v>0</v>
      </c>
      <c r="K308" s="113">
        <f t="shared" si="56"/>
        <v>2024</v>
      </c>
      <c r="L308" s="113">
        <f t="shared" si="57"/>
        <v>10</v>
      </c>
      <c r="M308" s="115">
        <f t="array" ref="M308">MIN(IF(Consolidado!$A$6:$A$1000='TOTALES DIARIOS'!A308,IF(Consolidado!$C$6:$C$1000&gt;TIMEVALUE("07:00"),Consolidado!$C$6:$C$1000,1)))</f>
        <v>0</v>
      </c>
      <c r="N308" s="115">
        <f t="array" ref="N308">MIN(IF(Consolidado!$A$6:$A$1000='TOTALES DIARIOS'!A308,IF(Consolidado!$C$6:$C$1000&lt;=M308,Consolidado!$C$6:$C$1000,1)))</f>
        <v>0</v>
      </c>
      <c r="O308" s="115">
        <f t="array" ref="O308">MAX(IF(Consolidado!$A$6:$A$1000='TOTALES DIARIOS'!A308,IF(Consolidado!$D$6:$D$1000&gt;=M308,Consolidado!$D$6:$D$1000,0)))</f>
        <v>0</v>
      </c>
      <c r="P308" s="118">
        <f t="array" ref="P308">MAX(IF(Consolidado!$A$6:$A$1000='TOTALES DIARIOS'!A308,IF(Consolidado!$D$6:$D$1000&lt;=M308,Consolidado!$D$6:$D$1000,0)))</f>
        <v>0</v>
      </c>
      <c r="Q308" s="117">
        <f t="shared" si="61"/>
        <v>0</v>
      </c>
      <c r="R308" s="117">
        <f t="shared" si="60"/>
        <v>0</v>
      </c>
      <c r="S308" s="104" t="str">
        <f t="shared" si="58"/>
        <v>NO</v>
      </c>
    </row>
    <row r="309" spans="1:19" x14ac:dyDescent="0.25">
      <c r="A309" s="221">
        <f t="shared" si="59"/>
        <v>45597</v>
      </c>
      <c r="B309" s="130" t="str">
        <f t="shared" si="50"/>
        <v/>
      </c>
      <c r="C309" s="217">
        <f t="shared" si="51"/>
        <v>0</v>
      </c>
      <c r="D309" s="217">
        <f t="shared" si="52"/>
        <v>0</v>
      </c>
      <c r="E309" s="218">
        <f>SUMIF(Consolidado!$A$6:$A$380,'TOTALES DIARIOS'!A309,Consolidado!$E$6:$E$380)</f>
        <v>0</v>
      </c>
      <c r="F309" s="218">
        <f>SUMIF(Consolidado!$A$6:$A$380,'TOTALES DIARIOS'!A309,Consolidado!$F$6:$F$380)</f>
        <v>0</v>
      </c>
      <c r="G309" s="218">
        <f>SUMIF(Consolidado!$A$6:$A$380,'TOTALES DIARIOS'!A309,Consolidado!$G$6:$G$380)</f>
        <v>0</v>
      </c>
      <c r="H309" s="219">
        <f t="shared" si="53"/>
        <v>0</v>
      </c>
      <c r="I309" s="99">
        <f t="shared" si="54"/>
        <v>0</v>
      </c>
      <c r="J309" s="99">
        <f t="shared" si="55"/>
        <v>0</v>
      </c>
      <c r="K309" s="113">
        <f t="shared" si="56"/>
        <v>2024</v>
      </c>
      <c r="L309" s="113">
        <f t="shared" si="57"/>
        <v>11</v>
      </c>
      <c r="M309" s="115">
        <f t="array" ref="M309">MIN(IF(Consolidado!$A$6:$A$1000='TOTALES DIARIOS'!A309,IF(Consolidado!$C$6:$C$1000&gt;TIMEVALUE("07:00"),Consolidado!$C$6:$C$1000,1)))</f>
        <v>0</v>
      </c>
      <c r="N309" s="115">
        <f t="array" ref="N309">MIN(IF(Consolidado!$A$6:$A$1000='TOTALES DIARIOS'!A309,IF(Consolidado!$C$6:$C$1000&lt;=M309,Consolidado!$C$6:$C$1000,1)))</f>
        <v>0</v>
      </c>
      <c r="O309" s="115">
        <f t="array" ref="O309">MAX(IF(Consolidado!$A$6:$A$1000='TOTALES DIARIOS'!A309,IF(Consolidado!$D$6:$D$1000&gt;=M309,Consolidado!$D$6:$D$1000,0)))</f>
        <v>0</v>
      </c>
      <c r="P309" s="118">
        <f t="array" ref="P309">MAX(IF(Consolidado!$A$6:$A$1000='TOTALES DIARIOS'!A309,IF(Consolidado!$D$6:$D$1000&lt;=M309,Consolidado!$D$6:$D$1000,0)))</f>
        <v>0</v>
      </c>
      <c r="Q309" s="117">
        <f t="shared" si="61"/>
        <v>0</v>
      </c>
      <c r="R309" s="117">
        <f t="shared" si="60"/>
        <v>0</v>
      </c>
      <c r="S309" s="104" t="str">
        <f t="shared" si="58"/>
        <v>NO</v>
      </c>
    </row>
    <row r="310" spans="1:19" x14ac:dyDescent="0.25">
      <c r="A310" s="221">
        <f t="shared" si="59"/>
        <v>45598</v>
      </c>
      <c r="B310" s="130" t="str">
        <f t="shared" si="50"/>
        <v/>
      </c>
      <c r="C310" s="217">
        <f t="shared" si="51"/>
        <v>0</v>
      </c>
      <c r="D310" s="217">
        <f t="shared" si="52"/>
        <v>0</v>
      </c>
      <c r="E310" s="218">
        <f>SUMIF(Consolidado!$A$6:$A$380,'TOTALES DIARIOS'!A310,Consolidado!$E$6:$E$380)</f>
        <v>0</v>
      </c>
      <c r="F310" s="218">
        <f>SUMIF(Consolidado!$A$6:$A$380,'TOTALES DIARIOS'!A310,Consolidado!$F$6:$F$380)</f>
        <v>0</v>
      </c>
      <c r="G310" s="218">
        <f>SUMIF(Consolidado!$A$6:$A$380,'TOTALES DIARIOS'!A310,Consolidado!$G$6:$G$380)</f>
        <v>0</v>
      </c>
      <c r="H310" s="219">
        <f t="shared" si="53"/>
        <v>0</v>
      </c>
      <c r="I310" s="99">
        <f t="shared" si="54"/>
        <v>0</v>
      </c>
      <c r="J310" s="99">
        <f t="shared" si="55"/>
        <v>0</v>
      </c>
      <c r="K310" s="113">
        <f t="shared" si="56"/>
        <v>2024</v>
      </c>
      <c r="L310" s="113">
        <f t="shared" si="57"/>
        <v>11</v>
      </c>
      <c r="M310" s="115">
        <f t="array" ref="M310">MIN(IF(Consolidado!$A$6:$A$1000='TOTALES DIARIOS'!A310,IF(Consolidado!$C$6:$C$1000&gt;TIMEVALUE("07:00"),Consolidado!$C$6:$C$1000,1)))</f>
        <v>0</v>
      </c>
      <c r="N310" s="115">
        <f t="array" ref="N310">MIN(IF(Consolidado!$A$6:$A$1000='TOTALES DIARIOS'!A310,IF(Consolidado!$C$6:$C$1000&lt;=M310,Consolidado!$C$6:$C$1000,1)))</f>
        <v>0</v>
      </c>
      <c r="O310" s="115">
        <f t="array" ref="O310">MAX(IF(Consolidado!$A$6:$A$1000='TOTALES DIARIOS'!A310,IF(Consolidado!$D$6:$D$1000&gt;=M310,Consolidado!$D$6:$D$1000,0)))</f>
        <v>0</v>
      </c>
      <c r="P310" s="118">
        <f t="array" ref="P310">MAX(IF(Consolidado!$A$6:$A$1000='TOTALES DIARIOS'!A310,IF(Consolidado!$D$6:$D$1000&lt;=M310,Consolidado!$D$6:$D$1000,0)))</f>
        <v>0</v>
      </c>
      <c r="Q310" s="117">
        <f t="shared" si="61"/>
        <v>0</v>
      </c>
      <c r="R310" s="117">
        <f t="shared" si="60"/>
        <v>0</v>
      </c>
      <c r="S310" s="104" t="str">
        <f t="shared" si="58"/>
        <v>NO</v>
      </c>
    </row>
    <row r="311" spans="1:19" x14ac:dyDescent="0.25">
      <c r="A311" s="221">
        <f t="shared" si="59"/>
        <v>45599</v>
      </c>
      <c r="B311" s="130" t="str">
        <f t="shared" si="50"/>
        <v/>
      </c>
      <c r="C311" s="217">
        <f t="shared" si="51"/>
        <v>0</v>
      </c>
      <c r="D311" s="217">
        <f t="shared" si="52"/>
        <v>0</v>
      </c>
      <c r="E311" s="218">
        <f>SUMIF(Consolidado!$A$6:$A$380,'TOTALES DIARIOS'!A311,Consolidado!$E$6:$E$380)</f>
        <v>0</v>
      </c>
      <c r="F311" s="218">
        <f>SUMIF(Consolidado!$A$6:$A$380,'TOTALES DIARIOS'!A311,Consolidado!$F$6:$F$380)</f>
        <v>0</v>
      </c>
      <c r="G311" s="218">
        <f>SUMIF(Consolidado!$A$6:$A$380,'TOTALES DIARIOS'!A311,Consolidado!$G$6:$G$380)</f>
        <v>0</v>
      </c>
      <c r="H311" s="219">
        <f t="shared" si="53"/>
        <v>0</v>
      </c>
      <c r="I311" s="99">
        <f t="shared" si="54"/>
        <v>0</v>
      </c>
      <c r="J311" s="99">
        <f t="shared" si="55"/>
        <v>0</v>
      </c>
      <c r="K311" s="113">
        <f t="shared" si="56"/>
        <v>2024</v>
      </c>
      <c r="L311" s="113">
        <f t="shared" si="57"/>
        <v>11</v>
      </c>
      <c r="M311" s="115">
        <f t="array" ref="M311">MIN(IF(Consolidado!$A$6:$A$1000='TOTALES DIARIOS'!A311,IF(Consolidado!$C$6:$C$1000&gt;TIMEVALUE("07:00"),Consolidado!$C$6:$C$1000,1)))</f>
        <v>0</v>
      </c>
      <c r="N311" s="115">
        <f t="array" ref="N311">MIN(IF(Consolidado!$A$6:$A$1000='TOTALES DIARIOS'!A311,IF(Consolidado!$C$6:$C$1000&lt;=M311,Consolidado!$C$6:$C$1000,1)))</f>
        <v>0</v>
      </c>
      <c r="O311" s="115">
        <f t="array" ref="O311">MAX(IF(Consolidado!$A$6:$A$1000='TOTALES DIARIOS'!A311,IF(Consolidado!$D$6:$D$1000&gt;=M311,Consolidado!$D$6:$D$1000,0)))</f>
        <v>0</v>
      </c>
      <c r="P311" s="118">
        <f t="array" ref="P311">MAX(IF(Consolidado!$A$6:$A$1000='TOTALES DIARIOS'!A311,IF(Consolidado!$D$6:$D$1000&lt;=M311,Consolidado!$D$6:$D$1000,0)))</f>
        <v>0</v>
      </c>
      <c r="Q311" s="117">
        <f t="shared" si="61"/>
        <v>0</v>
      </c>
      <c r="R311" s="117">
        <f t="shared" si="60"/>
        <v>0</v>
      </c>
      <c r="S311" s="104" t="str">
        <f t="shared" si="58"/>
        <v>NO</v>
      </c>
    </row>
    <row r="312" spans="1:19" x14ac:dyDescent="0.25">
      <c r="A312" s="221">
        <f t="shared" si="59"/>
        <v>45600</v>
      </c>
      <c r="B312" s="130" t="str">
        <f t="shared" si="50"/>
        <v/>
      </c>
      <c r="C312" s="217">
        <f t="shared" si="51"/>
        <v>0</v>
      </c>
      <c r="D312" s="217">
        <f t="shared" si="52"/>
        <v>0</v>
      </c>
      <c r="E312" s="218">
        <f>SUMIF(Consolidado!$A$6:$A$380,'TOTALES DIARIOS'!A312,Consolidado!$E$6:$E$380)</f>
        <v>0</v>
      </c>
      <c r="F312" s="218">
        <f>SUMIF(Consolidado!$A$6:$A$380,'TOTALES DIARIOS'!A312,Consolidado!$F$6:$F$380)</f>
        <v>0</v>
      </c>
      <c r="G312" s="218">
        <f>SUMIF(Consolidado!$A$6:$A$380,'TOTALES DIARIOS'!A312,Consolidado!$G$6:$G$380)</f>
        <v>0</v>
      </c>
      <c r="H312" s="219">
        <f t="shared" si="53"/>
        <v>0</v>
      </c>
      <c r="I312" s="99">
        <f t="shared" si="54"/>
        <v>0</v>
      </c>
      <c r="J312" s="99">
        <f t="shared" si="55"/>
        <v>0</v>
      </c>
      <c r="K312" s="113">
        <f t="shared" si="56"/>
        <v>2024</v>
      </c>
      <c r="L312" s="113">
        <f t="shared" si="57"/>
        <v>11</v>
      </c>
      <c r="M312" s="115">
        <f t="array" ref="M312">MIN(IF(Consolidado!$A$6:$A$1000='TOTALES DIARIOS'!A312,IF(Consolidado!$C$6:$C$1000&gt;TIMEVALUE("07:00"),Consolidado!$C$6:$C$1000,1)))</f>
        <v>0</v>
      </c>
      <c r="N312" s="115">
        <f t="array" ref="N312">MIN(IF(Consolidado!$A$6:$A$1000='TOTALES DIARIOS'!A312,IF(Consolidado!$C$6:$C$1000&lt;=M312,Consolidado!$C$6:$C$1000,1)))</f>
        <v>0</v>
      </c>
      <c r="O312" s="115">
        <f t="array" ref="O312">MAX(IF(Consolidado!$A$6:$A$1000='TOTALES DIARIOS'!A312,IF(Consolidado!$D$6:$D$1000&gt;=M312,Consolidado!$D$6:$D$1000,0)))</f>
        <v>0</v>
      </c>
      <c r="P312" s="118">
        <f t="array" ref="P312">MAX(IF(Consolidado!$A$6:$A$1000='TOTALES DIARIOS'!A312,IF(Consolidado!$D$6:$D$1000&lt;=M312,Consolidado!$D$6:$D$1000,0)))</f>
        <v>0</v>
      </c>
      <c r="Q312" s="117">
        <f t="shared" si="61"/>
        <v>0</v>
      </c>
      <c r="R312" s="117">
        <f t="shared" si="60"/>
        <v>0</v>
      </c>
      <c r="S312" s="104" t="str">
        <f t="shared" si="58"/>
        <v>NO</v>
      </c>
    </row>
    <row r="313" spans="1:19" x14ac:dyDescent="0.25">
      <c r="A313" s="221">
        <f t="shared" si="59"/>
        <v>45601</v>
      </c>
      <c r="B313" s="130" t="str">
        <f t="shared" si="50"/>
        <v/>
      </c>
      <c r="C313" s="217">
        <f t="shared" si="51"/>
        <v>0</v>
      </c>
      <c r="D313" s="217">
        <f t="shared" si="52"/>
        <v>0</v>
      </c>
      <c r="E313" s="218">
        <f>SUMIF(Consolidado!$A$6:$A$380,'TOTALES DIARIOS'!A313,Consolidado!$E$6:$E$380)</f>
        <v>0</v>
      </c>
      <c r="F313" s="218">
        <f>SUMIF(Consolidado!$A$6:$A$380,'TOTALES DIARIOS'!A313,Consolidado!$F$6:$F$380)</f>
        <v>0</v>
      </c>
      <c r="G313" s="218">
        <f>SUMIF(Consolidado!$A$6:$A$380,'TOTALES DIARIOS'!A313,Consolidado!$G$6:$G$380)</f>
        <v>0</v>
      </c>
      <c r="H313" s="219">
        <f t="shared" si="53"/>
        <v>0</v>
      </c>
      <c r="I313" s="99">
        <f t="shared" si="54"/>
        <v>0</v>
      </c>
      <c r="J313" s="99">
        <f t="shared" si="55"/>
        <v>0</v>
      </c>
      <c r="K313" s="113">
        <f t="shared" si="56"/>
        <v>2024</v>
      </c>
      <c r="L313" s="113">
        <f t="shared" si="57"/>
        <v>11</v>
      </c>
      <c r="M313" s="115">
        <f t="array" ref="M313">MIN(IF(Consolidado!$A$6:$A$1000='TOTALES DIARIOS'!A313,IF(Consolidado!$C$6:$C$1000&gt;TIMEVALUE("07:00"),Consolidado!$C$6:$C$1000,1)))</f>
        <v>0</v>
      </c>
      <c r="N313" s="115">
        <f t="array" ref="N313">MIN(IF(Consolidado!$A$6:$A$1000='TOTALES DIARIOS'!A313,IF(Consolidado!$C$6:$C$1000&lt;=M313,Consolidado!$C$6:$C$1000,1)))</f>
        <v>0</v>
      </c>
      <c r="O313" s="115">
        <f t="array" ref="O313">MAX(IF(Consolidado!$A$6:$A$1000='TOTALES DIARIOS'!A313,IF(Consolidado!$D$6:$D$1000&gt;=M313,Consolidado!$D$6:$D$1000,0)))</f>
        <v>0</v>
      </c>
      <c r="P313" s="118">
        <f t="array" ref="P313">MAX(IF(Consolidado!$A$6:$A$1000='TOTALES DIARIOS'!A313,IF(Consolidado!$D$6:$D$1000&lt;=M313,Consolidado!$D$6:$D$1000,0)))</f>
        <v>0</v>
      </c>
      <c r="Q313" s="117">
        <f t="shared" si="61"/>
        <v>0</v>
      </c>
      <c r="R313" s="117">
        <f t="shared" si="60"/>
        <v>0</v>
      </c>
      <c r="S313" s="104" t="str">
        <f t="shared" si="58"/>
        <v>NO</v>
      </c>
    </row>
    <row r="314" spans="1:19" x14ac:dyDescent="0.25">
      <c r="A314" s="221">
        <f t="shared" si="59"/>
        <v>45602</v>
      </c>
      <c r="B314" s="130" t="str">
        <f t="shared" si="50"/>
        <v/>
      </c>
      <c r="C314" s="217">
        <f t="shared" si="51"/>
        <v>0</v>
      </c>
      <c r="D314" s="217">
        <f t="shared" si="52"/>
        <v>0</v>
      </c>
      <c r="E314" s="218">
        <f>SUMIF(Consolidado!$A$6:$A$380,'TOTALES DIARIOS'!A314,Consolidado!$E$6:$E$380)</f>
        <v>0</v>
      </c>
      <c r="F314" s="218">
        <f>SUMIF(Consolidado!$A$6:$A$380,'TOTALES DIARIOS'!A314,Consolidado!$F$6:$F$380)</f>
        <v>0</v>
      </c>
      <c r="G314" s="218">
        <f>SUMIF(Consolidado!$A$6:$A$380,'TOTALES DIARIOS'!A314,Consolidado!$G$6:$G$380)</f>
        <v>0</v>
      </c>
      <c r="H314" s="219">
        <f t="shared" si="53"/>
        <v>0</v>
      </c>
      <c r="I314" s="99">
        <f t="shared" si="54"/>
        <v>0</v>
      </c>
      <c r="J314" s="99">
        <f t="shared" si="55"/>
        <v>0</v>
      </c>
      <c r="K314" s="113">
        <f t="shared" si="56"/>
        <v>2024</v>
      </c>
      <c r="L314" s="113">
        <f t="shared" si="57"/>
        <v>11</v>
      </c>
      <c r="M314" s="115">
        <f t="array" ref="M314">MIN(IF(Consolidado!$A$6:$A$1000='TOTALES DIARIOS'!A314,IF(Consolidado!$C$6:$C$1000&gt;TIMEVALUE("07:00"),Consolidado!$C$6:$C$1000,1)))</f>
        <v>0</v>
      </c>
      <c r="N314" s="115">
        <f t="array" ref="N314">MIN(IF(Consolidado!$A$6:$A$1000='TOTALES DIARIOS'!A314,IF(Consolidado!$C$6:$C$1000&lt;=M314,Consolidado!$C$6:$C$1000,1)))</f>
        <v>0</v>
      </c>
      <c r="O314" s="115">
        <f t="array" ref="O314">MAX(IF(Consolidado!$A$6:$A$1000='TOTALES DIARIOS'!A314,IF(Consolidado!$D$6:$D$1000&gt;=M314,Consolidado!$D$6:$D$1000,0)))</f>
        <v>0</v>
      </c>
      <c r="P314" s="118">
        <f t="array" ref="P314">MAX(IF(Consolidado!$A$6:$A$1000='TOTALES DIARIOS'!A314,IF(Consolidado!$D$6:$D$1000&lt;=M314,Consolidado!$D$6:$D$1000,0)))</f>
        <v>0</v>
      </c>
      <c r="Q314" s="117">
        <f t="shared" si="61"/>
        <v>0</v>
      </c>
      <c r="R314" s="117">
        <f t="shared" si="60"/>
        <v>0</v>
      </c>
      <c r="S314" s="104" t="str">
        <f t="shared" si="58"/>
        <v>NO</v>
      </c>
    </row>
    <row r="315" spans="1:19" x14ac:dyDescent="0.25">
      <c r="A315" s="221">
        <f t="shared" si="59"/>
        <v>45603</v>
      </c>
      <c r="B315" s="130" t="str">
        <f t="shared" si="50"/>
        <v/>
      </c>
      <c r="C315" s="217">
        <f t="shared" si="51"/>
        <v>0</v>
      </c>
      <c r="D315" s="217">
        <f t="shared" si="52"/>
        <v>0</v>
      </c>
      <c r="E315" s="218">
        <f>SUMIF(Consolidado!$A$6:$A$380,'TOTALES DIARIOS'!A315,Consolidado!$E$6:$E$380)</f>
        <v>0</v>
      </c>
      <c r="F315" s="218">
        <f>SUMIF(Consolidado!$A$6:$A$380,'TOTALES DIARIOS'!A315,Consolidado!$F$6:$F$380)</f>
        <v>0</v>
      </c>
      <c r="G315" s="218">
        <f>SUMIF(Consolidado!$A$6:$A$380,'TOTALES DIARIOS'!A315,Consolidado!$G$6:$G$380)</f>
        <v>0</v>
      </c>
      <c r="H315" s="219">
        <f t="shared" si="53"/>
        <v>0</v>
      </c>
      <c r="I315" s="99">
        <f t="shared" si="54"/>
        <v>0</v>
      </c>
      <c r="J315" s="99">
        <f t="shared" si="55"/>
        <v>0</v>
      </c>
      <c r="K315" s="113">
        <f t="shared" si="56"/>
        <v>2024</v>
      </c>
      <c r="L315" s="113">
        <f t="shared" si="57"/>
        <v>11</v>
      </c>
      <c r="M315" s="115">
        <f t="array" ref="M315">MIN(IF(Consolidado!$A$6:$A$1000='TOTALES DIARIOS'!A315,IF(Consolidado!$C$6:$C$1000&gt;TIMEVALUE("07:00"),Consolidado!$C$6:$C$1000,1)))</f>
        <v>0</v>
      </c>
      <c r="N315" s="115">
        <f t="array" ref="N315">MIN(IF(Consolidado!$A$6:$A$1000='TOTALES DIARIOS'!A315,IF(Consolidado!$C$6:$C$1000&lt;=M315,Consolidado!$C$6:$C$1000,1)))</f>
        <v>0</v>
      </c>
      <c r="O315" s="115">
        <f t="array" ref="O315">MAX(IF(Consolidado!$A$6:$A$1000='TOTALES DIARIOS'!A315,IF(Consolidado!$D$6:$D$1000&gt;=M315,Consolidado!$D$6:$D$1000,0)))</f>
        <v>0</v>
      </c>
      <c r="P315" s="118">
        <f t="array" ref="P315">MAX(IF(Consolidado!$A$6:$A$1000='TOTALES DIARIOS'!A315,IF(Consolidado!$D$6:$D$1000&lt;=M315,Consolidado!$D$6:$D$1000,0)))</f>
        <v>0</v>
      </c>
      <c r="Q315" s="117">
        <f t="shared" si="61"/>
        <v>0</v>
      </c>
      <c r="R315" s="117">
        <f t="shared" si="60"/>
        <v>0</v>
      </c>
      <c r="S315" s="104" t="str">
        <f t="shared" si="58"/>
        <v>NO</v>
      </c>
    </row>
    <row r="316" spans="1:19" x14ac:dyDescent="0.25">
      <c r="A316" s="221">
        <f t="shared" si="59"/>
        <v>45604</v>
      </c>
      <c r="B316" s="130" t="str">
        <f t="shared" si="50"/>
        <v/>
      </c>
      <c r="C316" s="217">
        <f t="shared" si="51"/>
        <v>0</v>
      </c>
      <c r="D316" s="217">
        <f t="shared" si="52"/>
        <v>0</v>
      </c>
      <c r="E316" s="218">
        <f>SUMIF(Consolidado!$A$6:$A$380,'TOTALES DIARIOS'!A316,Consolidado!$E$6:$E$380)</f>
        <v>0</v>
      </c>
      <c r="F316" s="218">
        <f>SUMIF(Consolidado!$A$6:$A$380,'TOTALES DIARIOS'!A316,Consolidado!$F$6:$F$380)</f>
        <v>0</v>
      </c>
      <c r="G316" s="218">
        <f>SUMIF(Consolidado!$A$6:$A$380,'TOTALES DIARIOS'!A316,Consolidado!$G$6:$G$380)</f>
        <v>0</v>
      </c>
      <c r="H316" s="219">
        <f t="shared" si="53"/>
        <v>0</v>
      </c>
      <c r="I316" s="99">
        <f t="shared" si="54"/>
        <v>0</v>
      </c>
      <c r="J316" s="99">
        <f t="shared" si="55"/>
        <v>0</v>
      </c>
      <c r="K316" s="113">
        <f t="shared" si="56"/>
        <v>2024</v>
      </c>
      <c r="L316" s="113">
        <f t="shared" si="57"/>
        <v>11</v>
      </c>
      <c r="M316" s="115">
        <f t="array" ref="M316">MIN(IF(Consolidado!$A$6:$A$1000='TOTALES DIARIOS'!A316,IF(Consolidado!$C$6:$C$1000&gt;TIMEVALUE("07:00"),Consolidado!$C$6:$C$1000,1)))</f>
        <v>0</v>
      </c>
      <c r="N316" s="115">
        <f t="array" ref="N316">MIN(IF(Consolidado!$A$6:$A$1000='TOTALES DIARIOS'!A316,IF(Consolidado!$C$6:$C$1000&lt;=M316,Consolidado!$C$6:$C$1000,1)))</f>
        <v>0</v>
      </c>
      <c r="O316" s="115">
        <f t="array" ref="O316">MAX(IF(Consolidado!$A$6:$A$1000='TOTALES DIARIOS'!A316,IF(Consolidado!$D$6:$D$1000&gt;=M316,Consolidado!$D$6:$D$1000,0)))</f>
        <v>0</v>
      </c>
      <c r="P316" s="118">
        <f t="array" ref="P316">MAX(IF(Consolidado!$A$6:$A$1000='TOTALES DIARIOS'!A316,IF(Consolidado!$D$6:$D$1000&lt;=M316,Consolidado!$D$6:$D$1000,0)))</f>
        <v>0</v>
      </c>
      <c r="Q316" s="117">
        <f t="shared" si="61"/>
        <v>0</v>
      </c>
      <c r="R316" s="117">
        <f t="shared" si="60"/>
        <v>0</v>
      </c>
      <c r="S316" s="104" t="str">
        <f t="shared" si="58"/>
        <v>NO</v>
      </c>
    </row>
    <row r="317" spans="1:19" x14ac:dyDescent="0.25">
      <c r="A317" s="221">
        <f t="shared" si="59"/>
        <v>45605</v>
      </c>
      <c r="B317" s="130" t="str">
        <f t="shared" si="50"/>
        <v/>
      </c>
      <c r="C317" s="217">
        <f t="shared" si="51"/>
        <v>0</v>
      </c>
      <c r="D317" s="217">
        <f t="shared" si="52"/>
        <v>0</v>
      </c>
      <c r="E317" s="218">
        <f>SUMIF(Consolidado!$A$6:$A$380,'TOTALES DIARIOS'!A317,Consolidado!$E$6:$E$380)</f>
        <v>0</v>
      </c>
      <c r="F317" s="218">
        <f>SUMIF(Consolidado!$A$6:$A$380,'TOTALES DIARIOS'!A317,Consolidado!$F$6:$F$380)</f>
        <v>0</v>
      </c>
      <c r="G317" s="218">
        <f>SUMIF(Consolidado!$A$6:$A$380,'TOTALES DIARIOS'!A317,Consolidado!$G$6:$G$380)</f>
        <v>0</v>
      </c>
      <c r="H317" s="219">
        <f t="shared" si="53"/>
        <v>0</v>
      </c>
      <c r="I317" s="99">
        <f t="shared" si="54"/>
        <v>0</v>
      </c>
      <c r="J317" s="99">
        <f t="shared" si="55"/>
        <v>0</v>
      </c>
      <c r="K317" s="113">
        <f t="shared" si="56"/>
        <v>2024</v>
      </c>
      <c r="L317" s="113">
        <f t="shared" si="57"/>
        <v>11</v>
      </c>
      <c r="M317" s="115">
        <f t="array" ref="M317">MIN(IF(Consolidado!$A$6:$A$1000='TOTALES DIARIOS'!A317,IF(Consolidado!$C$6:$C$1000&gt;TIMEVALUE("07:00"),Consolidado!$C$6:$C$1000,1)))</f>
        <v>0</v>
      </c>
      <c r="N317" s="115">
        <f t="array" ref="N317">MIN(IF(Consolidado!$A$6:$A$1000='TOTALES DIARIOS'!A317,IF(Consolidado!$C$6:$C$1000&lt;=M317,Consolidado!$C$6:$C$1000,1)))</f>
        <v>0</v>
      </c>
      <c r="O317" s="115">
        <f t="array" ref="O317">MAX(IF(Consolidado!$A$6:$A$1000='TOTALES DIARIOS'!A317,IF(Consolidado!$D$6:$D$1000&gt;=M317,Consolidado!$D$6:$D$1000,0)))</f>
        <v>0</v>
      </c>
      <c r="P317" s="118">
        <f t="array" ref="P317">MAX(IF(Consolidado!$A$6:$A$1000='TOTALES DIARIOS'!A317,IF(Consolidado!$D$6:$D$1000&lt;=M317,Consolidado!$D$6:$D$1000,0)))</f>
        <v>0</v>
      </c>
      <c r="Q317" s="117">
        <f t="shared" si="61"/>
        <v>0</v>
      </c>
      <c r="R317" s="117">
        <f t="shared" si="60"/>
        <v>0</v>
      </c>
      <c r="S317" s="104" t="str">
        <f t="shared" si="58"/>
        <v>NO</v>
      </c>
    </row>
    <row r="318" spans="1:19" x14ac:dyDescent="0.25">
      <c r="A318" s="221">
        <f t="shared" si="59"/>
        <v>45606</v>
      </c>
      <c r="B318" s="130" t="str">
        <f t="shared" si="50"/>
        <v/>
      </c>
      <c r="C318" s="217">
        <f t="shared" si="51"/>
        <v>0</v>
      </c>
      <c r="D318" s="217">
        <f t="shared" si="52"/>
        <v>0</v>
      </c>
      <c r="E318" s="218">
        <f>SUMIF(Consolidado!$A$6:$A$380,'TOTALES DIARIOS'!A318,Consolidado!$E$6:$E$380)</f>
        <v>0</v>
      </c>
      <c r="F318" s="218">
        <f>SUMIF(Consolidado!$A$6:$A$380,'TOTALES DIARIOS'!A318,Consolidado!$F$6:$F$380)</f>
        <v>0</v>
      </c>
      <c r="G318" s="218">
        <f>SUMIF(Consolidado!$A$6:$A$380,'TOTALES DIARIOS'!A318,Consolidado!$G$6:$G$380)</f>
        <v>0</v>
      </c>
      <c r="H318" s="219">
        <f t="shared" si="53"/>
        <v>0</v>
      </c>
      <c r="I318" s="99">
        <f t="shared" si="54"/>
        <v>0</v>
      </c>
      <c r="J318" s="99">
        <f t="shared" si="55"/>
        <v>0</v>
      </c>
      <c r="K318" s="113">
        <f t="shared" si="56"/>
        <v>2024</v>
      </c>
      <c r="L318" s="113">
        <f t="shared" si="57"/>
        <v>11</v>
      </c>
      <c r="M318" s="115">
        <f t="array" ref="M318">MIN(IF(Consolidado!$A$6:$A$1000='TOTALES DIARIOS'!A318,IF(Consolidado!$C$6:$C$1000&gt;TIMEVALUE("07:00"),Consolidado!$C$6:$C$1000,1)))</f>
        <v>0</v>
      </c>
      <c r="N318" s="115">
        <f t="array" ref="N318">MIN(IF(Consolidado!$A$6:$A$1000='TOTALES DIARIOS'!A318,IF(Consolidado!$C$6:$C$1000&lt;=M318,Consolidado!$C$6:$C$1000,1)))</f>
        <v>0</v>
      </c>
      <c r="O318" s="115">
        <f t="array" ref="O318">MAX(IF(Consolidado!$A$6:$A$1000='TOTALES DIARIOS'!A318,IF(Consolidado!$D$6:$D$1000&gt;=M318,Consolidado!$D$6:$D$1000,0)))</f>
        <v>0</v>
      </c>
      <c r="P318" s="118">
        <f t="array" ref="P318">MAX(IF(Consolidado!$A$6:$A$1000='TOTALES DIARIOS'!A318,IF(Consolidado!$D$6:$D$1000&lt;=M318,Consolidado!$D$6:$D$1000,0)))</f>
        <v>0</v>
      </c>
      <c r="Q318" s="117">
        <f t="shared" si="61"/>
        <v>0</v>
      </c>
      <c r="R318" s="117">
        <f t="shared" si="60"/>
        <v>0</v>
      </c>
      <c r="S318" s="104" t="str">
        <f t="shared" si="58"/>
        <v>NO</v>
      </c>
    </row>
    <row r="319" spans="1:19" x14ac:dyDescent="0.25">
      <c r="A319" s="221">
        <f t="shared" si="59"/>
        <v>45607</v>
      </c>
      <c r="B319" s="130" t="str">
        <f t="shared" si="50"/>
        <v/>
      </c>
      <c r="C319" s="217">
        <f t="shared" si="51"/>
        <v>0</v>
      </c>
      <c r="D319" s="217">
        <f t="shared" si="52"/>
        <v>0</v>
      </c>
      <c r="E319" s="218">
        <f>SUMIF(Consolidado!$A$6:$A$380,'TOTALES DIARIOS'!A319,Consolidado!$E$6:$E$380)</f>
        <v>0</v>
      </c>
      <c r="F319" s="218">
        <f>SUMIF(Consolidado!$A$6:$A$380,'TOTALES DIARIOS'!A319,Consolidado!$F$6:$F$380)</f>
        <v>0</v>
      </c>
      <c r="G319" s="218">
        <f>SUMIF(Consolidado!$A$6:$A$380,'TOTALES DIARIOS'!A319,Consolidado!$G$6:$G$380)</f>
        <v>0</v>
      </c>
      <c r="H319" s="219">
        <f t="shared" si="53"/>
        <v>0</v>
      </c>
      <c r="I319" s="99">
        <f t="shared" si="54"/>
        <v>0</v>
      </c>
      <c r="J319" s="99">
        <f t="shared" si="55"/>
        <v>0</v>
      </c>
      <c r="K319" s="113">
        <f t="shared" si="56"/>
        <v>2024</v>
      </c>
      <c r="L319" s="113">
        <f t="shared" si="57"/>
        <v>11</v>
      </c>
      <c r="M319" s="115">
        <f t="array" ref="M319">MIN(IF(Consolidado!$A$6:$A$1000='TOTALES DIARIOS'!A319,IF(Consolidado!$C$6:$C$1000&gt;TIMEVALUE("07:00"),Consolidado!$C$6:$C$1000,1)))</f>
        <v>0</v>
      </c>
      <c r="N319" s="115">
        <f t="array" ref="N319">MIN(IF(Consolidado!$A$6:$A$1000='TOTALES DIARIOS'!A319,IF(Consolidado!$C$6:$C$1000&lt;=M319,Consolidado!$C$6:$C$1000,1)))</f>
        <v>0</v>
      </c>
      <c r="O319" s="115">
        <f t="array" ref="O319">MAX(IF(Consolidado!$A$6:$A$1000='TOTALES DIARIOS'!A319,IF(Consolidado!$D$6:$D$1000&gt;=M319,Consolidado!$D$6:$D$1000,0)))</f>
        <v>0</v>
      </c>
      <c r="P319" s="118">
        <f t="array" ref="P319">MAX(IF(Consolidado!$A$6:$A$1000='TOTALES DIARIOS'!A319,IF(Consolidado!$D$6:$D$1000&lt;=M319,Consolidado!$D$6:$D$1000,0)))</f>
        <v>0</v>
      </c>
      <c r="Q319" s="117">
        <f t="shared" si="61"/>
        <v>0</v>
      </c>
      <c r="R319" s="117">
        <f t="shared" si="60"/>
        <v>0</v>
      </c>
      <c r="S319" s="104" t="str">
        <f t="shared" si="58"/>
        <v>NO</v>
      </c>
    </row>
    <row r="320" spans="1:19" x14ac:dyDescent="0.25">
      <c r="A320" s="221">
        <f t="shared" si="59"/>
        <v>45608</v>
      </c>
      <c r="B320" s="130" t="str">
        <f t="shared" si="50"/>
        <v/>
      </c>
      <c r="C320" s="217">
        <f t="shared" si="51"/>
        <v>0</v>
      </c>
      <c r="D320" s="217">
        <f t="shared" si="52"/>
        <v>0</v>
      </c>
      <c r="E320" s="218">
        <f>SUMIF(Consolidado!$A$6:$A$380,'TOTALES DIARIOS'!A320,Consolidado!$E$6:$E$380)</f>
        <v>0</v>
      </c>
      <c r="F320" s="218">
        <f>SUMIF(Consolidado!$A$6:$A$380,'TOTALES DIARIOS'!A320,Consolidado!$F$6:$F$380)</f>
        <v>0</v>
      </c>
      <c r="G320" s="218">
        <f>SUMIF(Consolidado!$A$6:$A$380,'TOTALES DIARIOS'!A320,Consolidado!$G$6:$G$380)</f>
        <v>0</v>
      </c>
      <c r="H320" s="219">
        <f t="shared" si="53"/>
        <v>0</v>
      </c>
      <c r="I320" s="99">
        <f t="shared" si="54"/>
        <v>0</v>
      </c>
      <c r="J320" s="99">
        <f t="shared" si="55"/>
        <v>0</v>
      </c>
      <c r="K320" s="113">
        <f t="shared" si="56"/>
        <v>2024</v>
      </c>
      <c r="L320" s="113">
        <f t="shared" si="57"/>
        <v>11</v>
      </c>
      <c r="M320" s="115">
        <f t="array" ref="M320">MIN(IF(Consolidado!$A$6:$A$1000='TOTALES DIARIOS'!A320,IF(Consolidado!$C$6:$C$1000&gt;TIMEVALUE("07:00"),Consolidado!$C$6:$C$1000,1)))</f>
        <v>0</v>
      </c>
      <c r="N320" s="115">
        <f t="array" ref="N320">MIN(IF(Consolidado!$A$6:$A$1000='TOTALES DIARIOS'!A320,IF(Consolidado!$C$6:$C$1000&lt;=M320,Consolidado!$C$6:$C$1000,1)))</f>
        <v>0</v>
      </c>
      <c r="O320" s="115">
        <f t="array" ref="O320">MAX(IF(Consolidado!$A$6:$A$1000='TOTALES DIARIOS'!A320,IF(Consolidado!$D$6:$D$1000&gt;=M320,Consolidado!$D$6:$D$1000,0)))</f>
        <v>0</v>
      </c>
      <c r="P320" s="118">
        <f t="array" ref="P320">MAX(IF(Consolidado!$A$6:$A$1000='TOTALES DIARIOS'!A320,IF(Consolidado!$D$6:$D$1000&lt;=M320,Consolidado!$D$6:$D$1000,0)))</f>
        <v>0</v>
      </c>
      <c r="Q320" s="117">
        <f t="shared" si="61"/>
        <v>0</v>
      </c>
      <c r="R320" s="117">
        <f t="shared" si="60"/>
        <v>0</v>
      </c>
      <c r="S320" s="104" t="str">
        <f t="shared" si="58"/>
        <v>NO</v>
      </c>
    </row>
    <row r="321" spans="1:19" x14ac:dyDescent="0.25">
      <c r="A321" s="221">
        <f t="shared" si="59"/>
        <v>45609</v>
      </c>
      <c r="B321" s="130" t="str">
        <f t="shared" si="50"/>
        <v/>
      </c>
      <c r="C321" s="217">
        <f t="shared" si="51"/>
        <v>0</v>
      </c>
      <c r="D321" s="217">
        <f t="shared" si="52"/>
        <v>0</v>
      </c>
      <c r="E321" s="218">
        <f>SUMIF(Consolidado!$A$6:$A$380,'TOTALES DIARIOS'!A321,Consolidado!$E$6:$E$380)</f>
        <v>0</v>
      </c>
      <c r="F321" s="218">
        <f>SUMIF(Consolidado!$A$6:$A$380,'TOTALES DIARIOS'!A321,Consolidado!$F$6:$F$380)</f>
        <v>0</v>
      </c>
      <c r="G321" s="218">
        <f>SUMIF(Consolidado!$A$6:$A$380,'TOTALES DIARIOS'!A321,Consolidado!$G$6:$G$380)</f>
        <v>0</v>
      </c>
      <c r="H321" s="219">
        <f t="shared" si="53"/>
        <v>0</v>
      </c>
      <c r="I321" s="99">
        <f t="shared" si="54"/>
        <v>0</v>
      </c>
      <c r="J321" s="99">
        <f t="shared" si="55"/>
        <v>0</v>
      </c>
      <c r="K321" s="113">
        <f t="shared" si="56"/>
        <v>2024</v>
      </c>
      <c r="L321" s="113">
        <f t="shared" si="57"/>
        <v>11</v>
      </c>
      <c r="M321" s="115">
        <f t="array" ref="M321">MIN(IF(Consolidado!$A$6:$A$1000='TOTALES DIARIOS'!A321,IF(Consolidado!$C$6:$C$1000&gt;TIMEVALUE("07:00"),Consolidado!$C$6:$C$1000,1)))</f>
        <v>0</v>
      </c>
      <c r="N321" s="115">
        <f t="array" ref="N321">MIN(IF(Consolidado!$A$6:$A$1000='TOTALES DIARIOS'!A321,IF(Consolidado!$C$6:$C$1000&lt;=M321,Consolidado!$C$6:$C$1000,1)))</f>
        <v>0</v>
      </c>
      <c r="O321" s="115">
        <f t="array" ref="O321">MAX(IF(Consolidado!$A$6:$A$1000='TOTALES DIARIOS'!A321,IF(Consolidado!$D$6:$D$1000&gt;=M321,Consolidado!$D$6:$D$1000,0)))</f>
        <v>0</v>
      </c>
      <c r="P321" s="118">
        <f t="array" ref="P321">MAX(IF(Consolidado!$A$6:$A$1000='TOTALES DIARIOS'!A321,IF(Consolidado!$D$6:$D$1000&lt;=M321,Consolidado!$D$6:$D$1000,0)))</f>
        <v>0</v>
      </c>
      <c r="Q321" s="117">
        <f t="shared" si="61"/>
        <v>0</v>
      </c>
      <c r="R321" s="117">
        <f t="shared" si="60"/>
        <v>0</v>
      </c>
      <c r="S321" s="104" t="str">
        <f t="shared" si="58"/>
        <v>NO</v>
      </c>
    </row>
    <row r="322" spans="1:19" x14ac:dyDescent="0.25">
      <c r="A322" s="221">
        <f t="shared" si="59"/>
        <v>45610</v>
      </c>
      <c r="B322" s="130" t="str">
        <f t="shared" si="50"/>
        <v/>
      </c>
      <c r="C322" s="217">
        <f t="shared" si="51"/>
        <v>0</v>
      </c>
      <c r="D322" s="217">
        <f t="shared" si="52"/>
        <v>0</v>
      </c>
      <c r="E322" s="218">
        <f>SUMIF(Consolidado!$A$6:$A$380,'TOTALES DIARIOS'!A322,Consolidado!$E$6:$E$380)</f>
        <v>0</v>
      </c>
      <c r="F322" s="218">
        <f>SUMIF(Consolidado!$A$6:$A$380,'TOTALES DIARIOS'!A322,Consolidado!$F$6:$F$380)</f>
        <v>0</v>
      </c>
      <c r="G322" s="218">
        <f>SUMIF(Consolidado!$A$6:$A$380,'TOTALES DIARIOS'!A322,Consolidado!$G$6:$G$380)</f>
        <v>0</v>
      </c>
      <c r="H322" s="219">
        <f t="shared" si="53"/>
        <v>0</v>
      </c>
      <c r="I322" s="99">
        <f t="shared" si="54"/>
        <v>0</v>
      </c>
      <c r="J322" s="99">
        <f t="shared" si="55"/>
        <v>0</v>
      </c>
      <c r="K322" s="113">
        <f t="shared" si="56"/>
        <v>2024</v>
      </c>
      <c r="L322" s="113">
        <f t="shared" si="57"/>
        <v>11</v>
      </c>
      <c r="M322" s="115">
        <f t="array" ref="M322">MIN(IF(Consolidado!$A$6:$A$1000='TOTALES DIARIOS'!A322,IF(Consolidado!$C$6:$C$1000&gt;TIMEVALUE("07:00"),Consolidado!$C$6:$C$1000,1)))</f>
        <v>0</v>
      </c>
      <c r="N322" s="115">
        <f t="array" ref="N322">MIN(IF(Consolidado!$A$6:$A$1000='TOTALES DIARIOS'!A322,IF(Consolidado!$C$6:$C$1000&lt;=M322,Consolidado!$C$6:$C$1000,1)))</f>
        <v>0</v>
      </c>
      <c r="O322" s="115">
        <f t="array" ref="O322">MAX(IF(Consolidado!$A$6:$A$1000='TOTALES DIARIOS'!A322,IF(Consolidado!$D$6:$D$1000&gt;=M322,Consolidado!$D$6:$D$1000,0)))</f>
        <v>0</v>
      </c>
      <c r="P322" s="118">
        <f t="array" ref="P322">MAX(IF(Consolidado!$A$6:$A$1000='TOTALES DIARIOS'!A322,IF(Consolidado!$D$6:$D$1000&lt;=M322,Consolidado!$D$6:$D$1000,0)))</f>
        <v>0</v>
      </c>
      <c r="Q322" s="117">
        <f t="shared" si="61"/>
        <v>0</v>
      </c>
      <c r="R322" s="117">
        <f t="shared" si="60"/>
        <v>0</v>
      </c>
      <c r="S322" s="104" t="str">
        <f t="shared" si="58"/>
        <v>NO</v>
      </c>
    </row>
    <row r="323" spans="1:19" x14ac:dyDescent="0.25">
      <c r="A323" s="221">
        <f t="shared" si="59"/>
        <v>45611</v>
      </c>
      <c r="B323" s="130" t="str">
        <f t="shared" si="50"/>
        <v/>
      </c>
      <c r="C323" s="217">
        <f t="shared" si="51"/>
        <v>0</v>
      </c>
      <c r="D323" s="217">
        <f t="shared" si="52"/>
        <v>0</v>
      </c>
      <c r="E323" s="218">
        <f>SUMIF(Consolidado!$A$6:$A$380,'TOTALES DIARIOS'!A323,Consolidado!$E$6:$E$380)</f>
        <v>0</v>
      </c>
      <c r="F323" s="218">
        <f>SUMIF(Consolidado!$A$6:$A$380,'TOTALES DIARIOS'!A323,Consolidado!$F$6:$F$380)</f>
        <v>0</v>
      </c>
      <c r="G323" s="218">
        <f>SUMIF(Consolidado!$A$6:$A$380,'TOTALES DIARIOS'!A323,Consolidado!$G$6:$G$380)</f>
        <v>0</v>
      </c>
      <c r="H323" s="219">
        <f t="shared" si="53"/>
        <v>0</v>
      </c>
      <c r="I323" s="99">
        <f t="shared" si="54"/>
        <v>0</v>
      </c>
      <c r="J323" s="99">
        <f t="shared" si="55"/>
        <v>0</v>
      </c>
      <c r="K323" s="113">
        <f t="shared" si="56"/>
        <v>2024</v>
      </c>
      <c r="L323" s="113">
        <f t="shared" si="57"/>
        <v>11</v>
      </c>
      <c r="M323" s="115">
        <f t="array" ref="M323">MIN(IF(Consolidado!$A$6:$A$1000='TOTALES DIARIOS'!A323,IF(Consolidado!$C$6:$C$1000&gt;TIMEVALUE("07:00"),Consolidado!$C$6:$C$1000,1)))</f>
        <v>0</v>
      </c>
      <c r="N323" s="115">
        <f t="array" ref="N323">MIN(IF(Consolidado!$A$6:$A$1000='TOTALES DIARIOS'!A323,IF(Consolidado!$C$6:$C$1000&lt;=M323,Consolidado!$C$6:$C$1000,1)))</f>
        <v>0</v>
      </c>
      <c r="O323" s="115">
        <f t="array" ref="O323">MAX(IF(Consolidado!$A$6:$A$1000='TOTALES DIARIOS'!A323,IF(Consolidado!$D$6:$D$1000&gt;=M323,Consolidado!$D$6:$D$1000,0)))</f>
        <v>0</v>
      </c>
      <c r="P323" s="118">
        <f t="array" ref="P323">MAX(IF(Consolidado!$A$6:$A$1000='TOTALES DIARIOS'!A323,IF(Consolidado!$D$6:$D$1000&lt;=M323,Consolidado!$D$6:$D$1000,0)))</f>
        <v>0</v>
      </c>
      <c r="Q323" s="117">
        <f t="shared" si="61"/>
        <v>0</v>
      </c>
      <c r="R323" s="117">
        <f t="shared" si="60"/>
        <v>0</v>
      </c>
      <c r="S323" s="104" t="str">
        <f t="shared" si="58"/>
        <v>NO</v>
      </c>
    </row>
    <row r="324" spans="1:19" x14ac:dyDescent="0.25">
      <c r="A324" s="221">
        <f t="shared" si="59"/>
        <v>45612</v>
      </c>
      <c r="B324" s="130" t="str">
        <f t="shared" ref="B324:B387" si="62">IF(G324=0,"",C324-"1:00")</f>
        <v/>
      </c>
      <c r="C324" s="217">
        <f t="shared" ref="C324:C387" si="63">Q324</f>
        <v>0</v>
      </c>
      <c r="D324" s="217">
        <f t="shared" ref="D324:D387" si="64">R324</f>
        <v>0</v>
      </c>
      <c r="E324" s="218">
        <f>SUMIF(Consolidado!$A$6:$A$380,'TOTALES DIARIOS'!A324,Consolidado!$E$6:$E$380)</f>
        <v>0</v>
      </c>
      <c r="F324" s="218">
        <f>SUMIF(Consolidado!$A$6:$A$380,'TOTALES DIARIOS'!A324,Consolidado!$F$6:$F$380)</f>
        <v>0</v>
      </c>
      <c r="G324" s="218">
        <f>SUMIF(Consolidado!$A$6:$A$380,'TOTALES DIARIOS'!A324,Consolidado!$G$6:$G$380)</f>
        <v>0</v>
      </c>
      <c r="H324" s="219">
        <f t="shared" ref="H324:H387" si="65">IF(B324="",0,IF(B324&lt;D324,D324-B324+"0:30","24:00"-B324+D324+"0:30"))*24</f>
        <v>0</v>
      </c>
      <c r="I324" s="99">
        <f t="shared" ref="I324:I387" si="66">IF(G324&lt;&gt;0,1,0)</f>
        <v>0</v>
      </c>
      <c r="J324" s="99">
        <f t="shared" ref="J324:J387" si="67">IF(H324=0,0,IF((D324-"3:30")&gt;(C324-"3:30"),1,2))</f>
        <v>0</v>
      </c>
      <c r="K324" s="113">
        <f t="shared" ref="K324:K387" si="68">YEAR(A324)</f>
        <v>2024</v>
      </c>
      <c r="L324" s="113">
        <f t="shared" ref="L324:L387" si="69">MONTH(A324)</f>
        <v>11</v>
      </c>
      <c r="M324" s="115">
        <f t="array" ref="M324">MIN(IF(Consolidado!$A$6:$A$1000='TOTALES DIARIOS'!A324,IF(Consolidado!$C$6:$C$1000&gt;TIMEVALUE("07:00"),Consolidado!$C$6:$C$1000,1)))</f>
        <v>0</v>
      </c>
      <c r="N324" s="115">
        <f t="array" ref="N324">MIN(IF(Consolidado!$A$6:$A$1000='TOTALES DIARIOS'!A324,IF(Consolidado!$C$6:$C$1000&lt;=M324,Consolidado!$C$6:$C$1000,1)))</f>
        <v>0</v>
      </c>
      <c r="O324" s="115">
        <f t="array" ref="O324">MAX(IF(Consolidado!$A$6:$A$1000='TOTALES DIARIOS'!A324,IF(Consolidado!$D$6:$D$1000&gt;=M324,Consolidado!$D$6:$D$1000,0)))</f>
        <v>0</v>
      </c>
      <c r="P324" s="118">
        <f t="array" ref="P324">MAX(IF(Consolidado!$A$6:$A$1000='TOTALES DIARIOS'!A324,IF(Consolidado!$D$6:$D$1000&lt;=M324,Consolidado!$D$6:$D$1000,0)))</f>
        <v>0</v>
      </c>
      <c r="Q324" s="117">
        <f t="shared" si="61"/>
        <v>0</v>
      </c>
      <c r="R324" s="117">
        <f t="shared" si="60"/>
        <v>0</v>
      </c>
      <c r="S324" s="104" t="str">
        <f t="shared" ref="S324:S387" si="70">IF(D324&gt;AB324,"SI","NO")</f>
        <v>NO</v>
      </c>
    </row>
    <row r="325" spans="1:19" x14ac:dyDescent="0.25">
      <c r="A325" s="221">
        <f t="shared" si="59"/>
        <v>45613</v>
      </c>
      <c r="B325" s="130" t="str">
        <f t="shared" si="62"/>
        <v/>
      </c>
      <c r="C325" s="217">
        <f t="shared" si="63"/>
        <v>0</v>
      </c>
      <c r="D325" s="217">
        <f t="shared" si="64"/>
        <v>0</v>
      </c>
      <c r="E325" s="218">
        <f>SUMIF(Consolidado!$A$6:$A$380,'TOTALES DIARIOS'!A325,Consolidado!$E$6:$E$380)</f>
        <v>0</v>
      </c>
      <c r="F325" s="218">
        <f>SUMIF(Consolidado!$A$6:$A$380,'TOTALES DIARIOS'!A325,Consolidado!$F$6:$F$380)</f>
        <v>0</v>
      </c>
      <c r="G325" s="218">
        <f>SUMIF(Consolidado!$A$6:$A$380,'TOTALES DIARIOS'!A325,Consolidado!$G$6:$G$380)</f>
        <v>0</v>
      </c>
      <c r="H325" s="219">
        <f t="shared" si="65"/>
        <v>0</v>
      </c>
      <c r="I325" s="99">
        <f t="shared" si="66"/>
        <v>0</v>
      </c>
      <c r="J325" s="99">
        <f t="shared" si="67"/>
        <v>0</v>
      </c>
      <c r="K325" s="113">
        <f t="shared" si="68"/>
        <v>2024</v>
      </c>
      <c r="L325" s="113">
        <f t="shared" si="69"/>
        <v>11</v>
      </c>
      <c r="M325" s="115">
        <f t="array" ref="M325">MIN(IF(Consolidado!$A$6:$A$1000='TOTALES DIARIOS'!A325,IF(Consolidado!$C$6:$C$1000&gt;TIMEVALUE("07:00"),Consolidado!$C$6:$C$1000,1)))</f>
        <v>0</v>
      </c>
      <c r="N325" s="115">
        <f t="array" ref="N325">MIN(IF(Consolidado!$A$6:$A$1000='TOTALES DIARIOS'!A325,IF(Consolidado!$C$6:$C$1000&lt;=M325,Consolidado!$C$6:$C$1000,1)))</f>
        <v>0</v>
      </c>
      <c r="O325" s="115">
        <f t="array" ref="O325">MAX(IF(Consolidado!$A$6:$A$1000='TOTALES DIARIOS'!A325,IF(Consolidado!$D$6:$D$1000&gt;=M325,Consolidado!$D$6:$D$1000,0)))</f>
        <v>0</v>
      </c>
      <c r="P325" s="118">
        <f t="array" ref="P325">MAX(IF(Consolidado!$A$6:$A$1000='TOTALES DIARIOS'!A325,IF(Consolidado!$D$6:$D$1000&lt;=M325,Consolidado!$D$6:$D$1000,0)))</f>
        <v>0</v>
      </c>
      <c r="Q325" s="117">
        <f t="shared" si="61"/>
        <v>0</v>
      </c>
      <c r="R325" s="117">
        <f t="shared" si="60"/>
        <v>0</v>
      </c>
      <c r="S325" s="104" t="str">
        <f t="shared" si="70"/>
        <v>NO</v>
      </c>
    </row>
    <row r="326" spans="1:19" x14ac:dyDescent="0.25">
      <c r="A326" s="221">
        <f t="shared" ref="A326:A389" si="71">IFERROR(A325+1,"")</f>
        <v>45614</v>
      </c>
      <c r="B326" s="130" t="str">
        <f t="shared" si="62"/>
        <v/>
      </c>
      <c r="C326" s="217">
        <f t="shared" si="63"/>
        <v>0</v>
      </c>
      <c r="D326" s="217">
        <f t="shared" si="64"/>
        <v>0</v>
      </c>
      <c r="E326" s="218">
        <f>SUMIF(Consolidado!$A$6:$A$380,'TOTALES DIARIOS'!A326,Consolidado!$E$6:$E$380)</f>
        <v>0</v>
      </c>
      <c r="F326" s="218">
        <f>SUMIF(Consolidado!$A$6:$A$380,'TOTALES DIARIOS'!A326,Consolidado!$F$6:$F$380)</f>
        <v>0</v>
      </c>
      <c r="G326" s="218">
        <f>SUMIF(Consolidado!$A$6:$A$380,'TOTALES DIARIOS'!A326,Consolidado!$G$6:$G$380)</f>
        <v>0</v>
      </c>
      <c r="H326" s="219">
        <f t="shared" si="65"/>
        <v>0</v>
      </c>
      <c r="I326" s="99">
        <f t="shared" si="66"/>
        <v>0</v>
      </c>
      <c r="J326" s="99">
        <f t="shared" si="67"/>
        <v>0</v>
      </c>
      <c r="K326" s="113">
        <f t="shared" si="68"/>
        <v>2024</v>
      </c>
      <c r="L326" s="113">
        <f t="shared" si="69"/>
        <v>11</v>
      </c>
      <c r="M326" s="115">
        <f t="array" ref="M326">MIN(IF(Consolidado!$A$6:$A$1000='TOTALES DIARIOS'!A326,IF(Consolidado!$C$6:$C$1000&gt;TIMEVALUE("07:00"),Consolidado!$C$6:$C$1000,1)))</f>
        <v>0</v>
      </c>
      <c r="N326" s="115">
        <f t="array" ref="N326">MIN(IF(Consolidado!$A$6:$A$1000='TOTALES DIARIOS'!A326,IF(Consolidado!$C$6:$C$1000&lt;=M326,Consolidado!$C$6:$C$1000,1)))</f>
        <v>0</v>
      </c>
      <c r="O326" s="115">
        <f t="array" ref="O326">MAX(IF(Consolidado!$A$6:$A$1000='TOTALES DIARIOS'!A326,IF(Consolidado!$D$6:$D$1000&gt;=M326,Consolidado!$D$6:$D$1000,0)))</f>
        <v>0</v>
      </c>
      <c r="P326" s="118">
        <f t="array" ref="P326">MAX(IF(Consolidado!$A$6:$A$1000='TOTALES DIARIOS'!A326,IF(Consolidado!$D$6:$D$1000&lt;=M326,Consolidado!$D$6:$D$1000,0)))</f>
        <v>0</v>
      </c>
      <c r="Q326" s="117">
        <f t="shared" si="61"/>
        <v>0</v>
      </c>
      <c r="R326" s="117">
        <f t="shared" si="60"/>
        <v>0</v>
      </c>
      <c r="S326" s="104" t="str">
        <f t="shared" si="70"/>
        <v>NO</v>
      </c>
    </row>
    <row r="327" spans="1:19" x14ac:dyDescent="0.25">
      <c r="A327" s="221">
        <f t="shared" si="71"/>
        <v>45615</v>
      </c>
      <c r="B327" s="130" t="str">
        <f t="shared" si="62"/>
        <v/>
      </c>
      <c r="C327" s="217">
        <f t="shared" si="63"/>
        <v>0</v>
      </c>
      <c r="D327" s="217">
        <f t="shared" si="64"/>
        <v>0</v>
      </c>
      <c r="E327" s="218">
        <f>SUMIF(Consolidado!$A$6:$A$380,'TOTALES DIARIOS'!A327,Consolidado!$E$6:$E$380)</f>
        <v>0</v>
      </c>
      <c r="F327" s="218">
        <f>SUMIF(Consolidado!$A$6:$A$380,'TOTALES DIARIOS'!A327,Consolidado!$F$6:$F$380)</f>
        <v>0</v>
      </c>
      <c r="G327" s="218">
        <f>SUMIF(Consolidado!$A$6:$A$380,'TOTALES DIARIOS'!A327,Consolidado!$G$6:$G$380)</f>
        <v>0</v>
      </c>
      <c r="H327" s="219">
        <f t="shared" si="65"/>
        <v>0</v>
      </c>
      <c r="I327" s="99">
        <f t="shared" si="66"/>
        <v>0</v>
      </c>
      <c r="J327" s="99">
        <f t="shared" si="67"/>
        <v>0</v>
      </c>
      <c r="K327" s="113">
        <f t="shared" si="68"/>
        <v>2024</v>
      </c>
      <c r="L327" s="113">
        <f t="shared" si="69"/>
        <v>11</v>
      </c>
      <c r="M327" s="115">
        <f t="array" ref="M327">MIN(IF(Consolidado!$A$6:$A$1000='TOTALES DIARIOS'!A327,IF(Consolidado!$C$6:$C$1000&gt;TIMEVALUE("07:00"),Consolidado!$C$6:$C$1000,1)))</f>
        <v>0</v>
      </c>
      <c r="N327" s="115">
        <f t="array" ref="N327">MIN(IF(Consolidado!$A$6:$A$1000='TOTALES DIARIOS'!A327,IF(Consolidado!$C$6:$C$1000&lt;=M327,Consolidado!$C$6:$C$1000,1)))</f>
        <v>0</v>
      </c>
      <c r="O327" s="115">
        <f t="array" ref="O327">MAX(IF(Consolidado!$A$6:$A$1000='TOTALES DIARIOS'!A327,IF(Consolidado!$D$6:$D$1000&gt;=M327,Consolidado!$D$6:$D$1000,0)))</f>
        <v>0</v>
      </c>
      <c r="P327" s="118">
        <f t="array" ref="P327">MAX(IF(Consolidado!$A$6:$A$1000='TOTALES DIARIOS'!A327,IF(Consolidado!$D$6:$D$1000&lt;=M327,Consolidado!$D$6:$D$1000,0)))</f>
        <v>0</v>
      </c>
      <c r="Q327" s="117">
        <f t="shared" si="61"/>
        <v>0</v>
      </c>
      <c r="R327" s="117">
        <f t="shared" ref="R327:R390" si="72">IF(O327=0,P327,IF(P327=0,O327,MIN(P327,O327)))</f>
        <v>0</v>
      </c>
      <c r="S327" s="104" t="str">
        <f t="shared" si="70"/>
        <v>NO</v>
      </c>
    </row>
    <row r="328" spans="1:19" x14ac:dyDescent="0.25">
      <c r="A328" s="221">
        <f t="shared" si="71"/>
        <v>45616</v>
      </c>
      <c r="B328" s="130" t="str">
        <f t="shared" si="62"/>
        <v/>
      </c>
      <c r="C328" s="217">
        <f t="shared" si="63"/>
        <v>0</v>
      </c>
      <c r="D328" s="217">
        <f t="shared" si="64"/>
        <v>0</v>
      </c>
      <c r="E328" s="218">
        <f>SUMIF(Consolidado!$A$6:$A$380,'TOTALES DIARIOS'!A328,Consolidado!$E$6:$E$380)</f>
        <v>0</v>
      </c>
      <c r="F328" s="218">
        <f>SUMIF(Consolidado!$A$6:$A$380,'TOTALES DIARIOS'!A328,Consolidado!$F$6:$F$380)</f>
        <v>0</v>
      </c>
      <c r="G328" s="218">
        <f>SUMIF(Consolidado!$A$6:$A$380,'TOTALES DIARIOS'!A328,Consolidado!$G$6:$G$380)</f>
        <v>0</v>
      </c>
      <c r="H328" s="219">
        <f t="shared" si="65"/>
        <v>0</v>
      </c>
      <c r="I328" s="99">
        <f t="shared" si="66"/>
        <v>0</v>
      </c>
      <c r="J328" s="99">
        <f t="shared" si="67"/>
        <v>0</v>
      </c>
      <c r="K328" s="113">
        <f t="shared" si="68"/>
        <v>2024</v>
      </c>
      <c r="L328" s="113">
        <f t="shared" si="69"/>
        <v>11</v>
      </c>
      <c r="M328" s="115">
        <f t="array" ref="M328">MIN(IF(Consolidado!$A$6:$A$1000='TOTALES DIARIOS'!A328,IF(Consolidado!$C$6:$C$1000&gt;TIMEVALUE("07:00"),Consolidado!$C$6:$C$1000,1)))</f>
        <v>0</v>
      </c>
      <c r="N328" s="115">
        <f t="array" ref="N328">MIN(IF(Consolidado!$A$6:$A$1000='TOTALES DIARIOS'!A328,IF(Consolidado!$C$6:$C$1000&lt;=M328,Consolidado!$C$6:$C$1000,1)))</f>
        <v>0</v>
      </c>
      <c r="O328" s="115">
        <f t="array" ref="O328">MAX(IF(Consolidado!$A$6:$A$1000='TOTALES DIARIOS'!A328,IF(Consolidado!$D$6:$D$1000&gt;=M328,Consolidado!$D$6:$D$1000,0)))</f>
        <v>0</v>
      </c>
      <c r="P328" s="118">
        <f t="array" ref="P328">MAX(IF(Consolidado!$A$6:$A$1000='TOTALES DIARIOS'!A328,IF(Consolidado!$D$6:$D$1000&lt;=M328,Consolidado!$D$6:$D$1000,0)))</f>
        <v>0</v>
      </c>
      <c r="Q328" s="117">
        <f t="shared" si="61"/>
        <v>0</v>
      </c>
      <c r="R328" s="117">
        <f t="shared" si="72"/>
        <v>0</v>
      </c>
      <c r="S328" s="104" t="str">
        <f t="shared" si="70"/>
        <v>NO</v>
      </c>
    </row>
    <row r="329" spans="1:19" x14ac:dyDescent="0.25">
      <c r="A329" s="221">
        <f t="shared" si="71"/>
        <v>45617</v>
      </c>
      <c r="B329" s="130" t="str">
        <f t="shared" si="62"/>
        <v/>
      </c>
      <c r="C329" s="217">
        <f t="shared" si="63"/>
        <v>0</v>
      </c>
      <c r="D329" s="217">
        <f t="shared" si="64"/>
        <v>0</v>
      </c>
      <c r="E329" s="218">
        <f>SUMIF(Consolidado!$A$6:$A$380,'TOTALES DIARIOS'!A329,Consolidado!$E$6:$E$380)</f>
        <v>0</v>
      </c>
      <c r="F329" s="218">
        <f>SUMIF(Consolidado!$A$6:$A$380,'TOTALES DIARIOS'!A329,Consolidado!$F$6:$F$380)</f>
        <v>0</v>
      </c>
      <c r="G329" s="218">
        <f>SUMIF(Consolidado!$A$6:$A$380,'TOTALES DIARIOS'!A329,Consolidado!$G$6:$G$380)</f>
        <v>0</v>
      </c>
      <c r="H329" s="219">
        <f t="shared" si="65"/>
        <v>0</v>
      </c>
      <c r="I329" s="99">
        <f t="shared" si="66"/>
        <v>0</v>
      </c>
      <c r="J329" s="99">
        <f t="shared" si="67"/>
        <v>0</v>
      </c>
      <c r="K329" s="113">
        <f t="shared" si="68"/>
        <v>2024</v>
      </c>
      <c r="L329" s="113">
        <f t="shared" si="69"/>
        <v>11</v>
      </c>
      <c r="M329" s="115">
        <f t="array" ref="M329">MIN(IF(Consolidado!$A$6:$A$1000='TOTALES DIARIOS'!A329,IF(Consolidado!$C$6:$C$1000&gt;TIMEVALUE("07:00"),Consolidado!$C$6:$C$1000,1)))</f>
        <v>0</v>
      </c>
      <c r="N329" s="115">
        <f t="array" ref="N329">MIN(IF(Consolidado!$A$6:$A$1000='TOTALES DIARIOS'!A329,IF(Consolidado!$C$6:$C$1000&lt;=M329,Consolidado!$C$6:$C$1000,1)))</f>
        <v>0</v>
      </c>
      <c r="O329" s="115">
        <f t="array" ref="O329">MAX(IF(Consolidado!$A$6:$A$1000='TOTALES DIARIOS'!A329,IF(Consolidado!$D$6:$D$1000&gt;=M329,Consolidado!$D$6:$D$1000,0)))</f>
        <v>0</v>
      </c>
      <c r="P329" s="118">
        <f t="array" ref="P329">MAX(IF(Consolidado!$A$6:$A$1000='TOTALES DIARIOS'!A329,IF(Consolidado!$D$6:$D$1000&lt;=M329,Consolidado!$D$6:$D$1000,0)))</f>
        <v>0</v>
      </c>
      <c r="Q329" s="117">
        <f t="shared" ref="Q329:Q392" si="73">IF(M329&lt;&gt;1,MAX(M329,N329),N329)</f>
        <v>0</v>
      </c>
      <c r="R329" s="117">
        <f t="shared" si="72"/>
        <v>0</v>
      </c>
      <c r="S329" s="104" t="str">
        <f t="shared" si="70"/>
        <v>NO</v>
      </c>
    </row>
    <row r="330" spans="1:19" x14ac:dyDescent="0.25">
      <c r="A330" s="221">
        <f t="shared" si="71"/>
        <v>45618</v>
      </c>
      <c r="B330" s="130" t="str">
        <f t="shared" si="62"/>
        <v/>
      </c>
      <c r="C330" s="217">
        <f t="shared" si="63"/>
        <v>0</v>
      </c>
      <c r="D330" s="217">
        <f t="shared" si="64"/>
        <v>0</v>
      </c>
      <c r="E330" s="218">
        <f>SUMIF(Consolidado!$A$6:$A$380,'TOTALES DIARIOS'!A330,Consolidado!$E$6:$E$380)</f>
        <v>0</v>
      </c>
      <c r="F330" s="218">
        <f>SUMIF(Consolidado!$A$6:$A$380,'TOTALES DIARIOS'!A330,Consolidado!$F$6:$F$380)</f>
        <v>0</v>
      </c>
      <c r="G330" s="218">
        <f>SUMIF(Consolidado!$A$6:$A$380,'TOTALES DIARIOS'!A330,Consolidado!$G$6:$G$380)</f>
        <v>0</v>
      </c>
      <c r="H330" s="219">
        <f t="shared" si="65"/>
        <v>0</v>
      </c>
      <c r="I330" s="99">
        <f t="shared" si="66"/>
        <v>0</v>
      </c>
      <c r="J330" s="99">
        <f t="shared" si="67"/>
        <v>0</v>
      </c>
      <c r="K330" s="113">
        <f t="shared" si="68"/>
        <v>2024</v>
      </c>
      <c r="L330" s="113">
        <f t="shared" si="69"/>
        <v>11</v>
      </c>
      <c r="M330" s="115">
        <f t="array" ref="M330">MIN(IF(Consolidado!$A$6:$A$1000='TOTALES DIARIOS'!A330,IF(Consolidado!$C$6:$C$1000&gt;TIMEVALUE("07:00"),Consolidado!$C$6:$C$1000,1)))</f>
        <v>0</v>
      </c>
      <c r="N330" s="115">
        <f t="array" ref="N330">MIN(IF(Consolidado!$A$6:$A$1000='TOTALES DIARIOS'!A330,IF(Consolidado!$C$6:$C$1000&lt;=M330,Consolidado!$C$6:$C$1000,1)))</f>
        <v>0</v>
      </c>
      <c r="O330" s="115">
        <f t="array" ref="O330">MAX(IF(Consolidado!$A$6:$A$1000='TOTALES DIARIOS'!A330,IF(Consolidado!$D$6:$D$1000&gt;=M330,Consolidado!$D$6:$D$1000,0)))</f>
        <v>0</v>
      </c>
      <c r="P330" s="118">
        <f t="array" ref="P330">MAX(IF(Consolidado!$A$6:$A$1000='TOTALES DIARIOS'!A330,IF(Consolidado!$D$6:$D$1000&lt;=M330,Consolidado!$D$6:$D$1000,0)))</f>
        <v>0</v>
      </c>
      <c r="Q330" s="117">
        <f t="shared" si="73"/>
        <v>0</v>
      </c>
      <c r="R330" s="117">
        <f t="shared" si="72"/>
        <v>0</v>
      </c>
      <c r="S330" s="104" t="str">
        <f t="shared" si="70"/>
        <v>NO</v>
      </c>
    </row>
    <row r="331" spans="1:19" x14ac:dyDescent="0.25">
      <c r="A331" s="221">
        <f t="shared" si="71"/>
        <v>45619</v>
      </c>
      <c r="B331" s="130" t="str">
        <f t="shared" si="62"/>
        <v/>
      </c>
      <c r="C331" s="217">
        <f t="shared" si="63"/>
        <v>0</v>
      </c>
      <c r="D331" s="217">
        <f t="shared" si="64"/>
        <v>0</v>
      </c>
      <c r="E331" s="218">
        <f>SUMIF(Consolidado!$A$6:$A$380,'TOTALES DIARIOS'!A331,Consolidado!$E$6:$E$380)</f>
        <v>0</v>
      </c>
      <c r="F331" s="218">
        <f>SUMIF(Consolidado!$A$6:$A$380,'TOTALES DIARIOS'!A331,Consolidado!$F$6:$F$380)</f>
        <v>0</v>
      </c>
      <c r="G331" s="218">
        <f>SUMIF(Consolidado!$A$6:$A$380,'TOTALES DIARIOS'!A331,Consolidado!$G$6:$G$380)</f>
        <v>0</v>
      </c>
      <c r="H331" s="219">
        <f t="shared" si="65"/>
        <v>0</v>
      </c>
      <c r="I331" s="99">
        <f t="shared" si="66"/>
        <v>0</v>
      </c>
      <c r="J331" s="99">
        <f t="shared" si="67"/>
        <v>0</v>
      </c>
      <c r="K331" s="113">
        <f t="shared" si="68"/>
        <v>2024</v>
      </c>
      <c r="L331" s="113">
        <f t="shared" si="69"/>
        <v>11</v>
      </c>
      <c r="M331" s="115">
        <f t="array" ref="M331">MIN(IF(Consolidado!$A$6:$A$1000='TOTALES DIARIOS'!A331,IF(Consolidado!$C$6:$C$1000&gt;TIMEVALUE("07:00"),Consolidado!$C$6:$C$1000,1)))</f>
        <v>0</v>
      </c>
      <c r="N331" s="115">
        <f t="array" ref="N331">MIN(IF(Consolidado!$A$6:$A$1000='TOTALES DIARIOS'!A331,IF(Consolidado!$C$6:$C$1000&lt;=M331,Consolidado!$C$6:$C$1000,1)))</f>
        <v>0</v>
      </c>
      <c r="O331" s="115">
        <f t="array" ref="O331">MAX(IF(Consolidado!$A$6:$A$1000='TOTALES DIARIOS'!A331,IF(Consolidado!$D$6:$D$1000&gt;=M331,Consolidado!$D$6:$D$1000,0)))</f>
        <v>0</v>
      </c>
      <c r="P331" s="118">
        <f t="array" ref="P331">MAX(IF(Consolidado!$A$6:$A$1000='TOTALES DIARIOS'!A331,IF(Consolidado!$D$6:$D$1000&lt;=M331,Consolidado!$D$6:$D$1000,0)))</f>
        <v>0</v>
      </c>
      <c r="Q331" s="117">
        <f t="shared" si="73"/>
        <v>0</v>
      </c>
      <c r="R331" s="117">
        <f t="shared" si="72"/>
        <v>0</v>
      </c>
      <c r="S331" s="104" t="str">
        <f t="shared" si="70"/>
        <v>NO</v>
      </c>
    </row>
    <row r="332" spans="1:19" x14ac:dyDescent="0.25">
      <c r="A332" s="221">
        <f t="shared" si="71"/>
        <v>45620</v>
      </c>
      <c r="B332" s="130" t="str">
        <f t="shared" si="62"/>
        <v/>
      </c>
      <c r="C332" s="217">
        <f t="shared" si="63"/>
        <v>0</v>
      </c>
      <c r="D332" s="217">
        <f t="shared" si="64"/>
        <v>0</v>
      </c>
      <c r="E332" s="218">
        <f>SUMIF(Consolidado!$A$6:$A$380,'TOTALES DIARIOS'!A332,Consolidado!$E$6:$E$380)</f>
        <v>0</v>
      </c>
      <c r="F332" s="218">
        <f>SUMIF(Consolidado!$A$6:$A$380,'TOTALES DIARIOS'!A332,Consolidado!$F$6:$F$380)</f>
        <v>0</v>
      </c>
      <c r="G332" s="218">
        <f>SUMIF(Consolidado!$A$6:$A$380,'TOTALES DIARIOS'!A332,Consolidado!$G$6:$G$380)</f>
        <v>0</v>
      </c>
      <c r="H332" s="219">
        <f t="shared" si="65"/>
        <v>0</v>
      </c>
      <c r="I332" s="99">
        <f t="shared" si="66"/>
        <v>0</v>
      </c>
      <c r="J332" s="99">
        <f t="shared" si="67"/>
        <v>0</v>
      </c>
      <c r="K332" s="113">
        <f t="shared" si="68"/>
        <v>2024</v>
      </c>
      <c r="L332" s="113">
        <f t="shared" si="69"/>
        <v>11</v>
      </c>
      <c r="M332" s="115">
        <f t="array" ref="M332">MIN(IF(Consolidado!$A$6:$A$1000='TOTALES DIARIOS'!A332,IF(Consolidado!$C$6:$C$1000&gt;TIMEVALUE("07:00"),Consolidado!$C$6:$C$1000,1)))</f>
        <v>0</v>
      </c>
      <c r="N332" s="115">
        <f t="array" ref="N332">MIN(IF(Consolidado!$A$6:$A$1000='TOTALES DIARIOS'!A332,IF(Consolidado!$C$6:$C$1000&lt;=M332,Consolidado!$C$6:$C$1000,1)))</f>
        <v>0</v>
      </c>
      <c r="O332" s="115">
        <f t="array" ref="O332">MAX(IF(Consolidado!$A$6:$A$1000='TOTALES DIARIOS'!A332,IF(Consolidado!$D$6:$D$1000&gt;=M332,Consolidado!$D$6:$D$1000,0)))</f>
        <v>0</v>
      </c>
      <c r="P332" s="118">
        <f t="array" ref="P332">MAX(IF(Consolidado!$A$6:$A$1000='TOTALES DIARIOS'!A332,IF(Consolidado!$D$6:$D$1000&lt;=M332,Consolidado!$D$6:$D$1000,0)))</f>
        <v>0</v>
      </c>
      <c r="Q332" s="117">
        <f t="shared" si="73"/>
        <v>0</v>
      </c>
      <c r="R332" s="117">
        <f t="shared" si="72"/>
        <v>0</v>
      </c>
      <c r="S332" s="104" t="str">
        <f t="shared" si="70"/>
        <v>NO</v>
      </c>
    </row>
    <row r="333" spans="1:19" x14ac:dyDescent="0.25">
      <c r="A333" s="221">
        <f t="shared" si="71"/>
        <v>45621</v>
      </c>
      <c r="B333" s="130" t="str">
        <f t="shared" si="62"/>
        <v/>
      </c>
      <c r="C333" s="217">
        <f t="shared" si="63"/>
        <v>0</v>
      </c>
      <c r="D333" s="217">
        <f t="shared" si="64"/>
        <v>0</v>
      </c>
      <c r="E333" s="218">
        <f>SUMIF(Consolidado!$A$6:$A$380,'TOTALES DIARIOS'!A333,Consolidado!$E$6:$E$380)</f>
        <v>0</v>
      </c>
      <c r="F333" s="218">
        <f>SUMIF(Consolidado!$A$6:$A$380,'TOTALES DIARIOS'!A333,Consolidado!$F$6:$F$380)</f>
        <v>0</v>
      </c>
      <c r="G333" s="218">
        <f>SUMIF(Consolidado!$A$6:$A$380,'TOTALES DIARIOS'!A333,Consolidado!$G$6:$G$380)</f>
        <v>0</v>
      </c>
      <c r="H333" s="219">
        <f t="shared" si="65"/>
        <v>0</v>
      </c>
      <c r="I333" s="99">
        <f t="shared" si="66"/>
        <v>0</v>
      </c>
      <c r="J333" s="99">
        <f t="shared" si="67"/>
        <v>0</v>
      </c>
      <c r="K333" s="113">
        <f t="shared" si="68"/>
        <v>2024</v>
      </c>
      <c r="L333" s="113">
        <f t="shared" si="69"/>
        <v>11</v>
      </c>
      <c r="M333" s="115">
        <f t="array" ref="M333">MIN(IF(Consolidado!$A$6:$A$1000='TOTALES DIARIOS'!A333,IF(Consolidado!$C$6:$C$1000&gt;TIMEVALUE("07:00"),Consolidado!$C$6:$C$1000,1)))</f>
        <v>0</v>
      </c>
      <c r="N333" s="115">
        <f t="array" ref="N333">MIN(IF(Consolidado!$A$6:$A$1000='TOTALES DIARIOS'!A333,IF(Consolidado!$C$6:$C$1000&lt;=M333,Consolidado!$C$6:$C$1000,1)))</f>
        <v>0</v>
      </c>
      <c r="O333" s="115">
        <f t="array" ref="O333">MAX(IF(Consolidado!$A$6:$A$1000='TOTALES DIARIOS'!A333,IF(Consolidado!$D$6:$D$1000&gt;=M333,Consolidado!$D$6:$D$1000,0)))</f>
        <v>0</v>
      </c>
      <c r="P333" s="118">
        <f t="array" ref="P333">MAX(IF(Consolidado!$A$6:$A$1000='TOTALES DIARIOS'!A333,IF(Consolidado!$D$6:$D$1000&lt;=M333,Consolidado!$D$6:$D$1000,0)))</f>
        <v>0</v>
      </c>
      <c r="Q333" s="117">
        <f t="shared" si="73"/>
        <v>0</v>
      </c>
      <c r="R333" s="117">
        <f t="shared" si="72"/>
        <v>0</v>
      </c>
      <c r="S333" s="104" t="str">
        <f t="shared" si="70"/>
        <v>NO</v>
      </c>
    </row>
    <row r="334" spans="1:19" x14ac:dyDescent="0.25">
      <c r="A334" s="221">
        <f t="shared" si="71"/>
        <v>45622</v>
      </c>
      <c r="B334" s="130" t="str">
        <f t="shared" si="62"/>
        <v/>
      </c>
      <c r="C334" s="217">
        <f t="shared" si="63"/>
        <v>0</v>
      </c>
      <c r="D334" s="217">
        <f t="shared" si="64"/>
        <v>0</v>
      </c>
      <c r="E334" s="218">
        <f>SUMIF(Consolidado!$A$6:$A$380,'TOTALES DIARIOS'!A334,Consolidado!$E$6:$E$380)</f>
        <v>0</v>
      </c>
      <c r="F334" s="218">
        <f>SUMIF(Consolidado!$A$6:$A$380,'TOTALES DIARIOS'!A334,Consolidado!$F$6:$F$380)</f>
        <v>0</v>
      </c>
      <c r="G334" s="218">
        <f>SUMIF(Consolidado!$A$6:$A$380,'TOTALES DIARIOS'!A334,Consolidado!$G$6:$G$380)</f>
        <v>0</v>
      </c>
      <c r="H334" s="219">
        <f t="shared" si="65"/>
        <v>0</v>
      </c>
      <c r="I334" s="99">
        <f t="shared" si="66"/>
        <v>0</v>
      </c>
      <c r="J334" s="99">
        <f t="shared" si="67"/>
        <v>0</v>
      </c>
      <c r="K334" s="113">
        <f t="shared" si="68"/>
        <v>2024</v>
      </c>
      <c r="L334" s="113">
        <f t="shared" si="69"/>
        <v>11</v>
      </c>
      <c r="M334" s="115">
        <f t="array" ref="M334">MIN(IF(Consolidado!$A$6:$A$1000='TOTALES DIARIOS'!A334,IF(Consolidado!$C$6:$C$1000&gt;TIMEVALUE("07:00"),Consolidado!$C$6:$C$1000,1)))</f>
        <v>0</v>
      </c>
      <c r="N334" s="115">
        <f t="array" ref="N334">MIN(IF(Consolidado!$A$6:$A$1000='TOTALES DIARIOS'!A334,IF(Consolidado!$C$6:$C$1000&lt;=M334,Consolidado!$C$6:$C$1000,1)))</f>
        <v>0</v>
      </c>
      <c r="O334" s="115">
        <f t="array" ref="O334">MAX(IF(Consolidado!$A$6:$A$1000='TOTALES DIARIOS'!A334,IF(Consolidado!$D$6:$D$1000&gt;=M334,Consolidado!$D$6:$D$1000,0)))</f>
        <v>0</v>
      </c>
      <c r="P334" s="118">
        <f t="array" ref="P334">MAX(IF(Consolidado!$A$6:$A$1000='TOTALES DIARIOS'!A334,IF(Consolidado!$D$6:$D$1000&lt;=M334,Consolidado!$D$6:$D$1000,0)))</f>
        <v>0</v>
      </c>
      <c r="Q334" s="117">
        <f t="shared" si="73"/>
        <v>0</v>
      </c>
      <c r="R334" s="117">
        <f t="shared" si="72"/>
        <v>0</v>
      </c>
      <c r="S334" s="104" t="str">
        <f t="shared" si="70"/>
        <v>NO</v>
      </c>
    </row>
    <row r="335" spans="1:19" x14ac:dyDescent="0.25">
      <c r="A335" s="221">
        <f t="shared" si="71"/>
        <v>45623</v>
      </c>
      <c r="B335" s="130" t="str">
        <f t="shared" si="62"/>
        <v/>
      </c>
      <c r="C335" s="217">
        <f t="shared" si="63"/>
        <v>0</v>
      </c>
      <c r="D335" s="217">
        <f t="shared" si="64"/>
        <v>0</v>
      </c>
      <c r="E335" s="218">
        <f>SUMIF(Consolidado!$A$6:$A$380,'TOTALES DIARIOS'!A335,Consolidado!$E$6:$E$380)</f>
        <v>0</v>
      </c>
      <c r="F335" s="218">
        <f>SUMIF(Consolidado!$A$6:$A$380,'TOTALES DIARIOS'!A335,Consolidado!$F$6:$F$380)</f>
        <v>0</v>
      </c>
      <c r="G335" s="218">
        <f>SUMIF(Consolidado!$A$6:$A$380,'TOTALES DIARIOS'!A335,Consolidado!$G$6:$G$380)</f>
        <v>0</v>
      </c>
      <c r="H335" s="219">
        <f t="shared" si="65"/>
        <v>0</v>
      </c>
      <c r="I335" s="99">
        <f t="shared" si="66"/>
        <v>0</v>
      </c>
      <c r="J335" s="99">
        <f t="shared" si="67"/>
        <v>0</v>
      </c>
      <c r="K335" s="113">
        <f t="shared" si="68"/>
        <v>2024</v>
      </c>
      <c r="L335" s="113">
        <f t="shared" si="69"/>
        <v>11</v>
      </c>
      <c r="M335" s="115">
        <f t="array" ref="M335">MIN(IF(Consolidado!$A$6:$A$1000='TOTALES DIARIOS'!A335,IF(Consolidado!$C$6:$C$1000&gt;TIMEVALUE("07:00"),Consolidado!$C$6:$C$1000,1)))</f>
        <v>0</v>
      </c>
      <c r="N335" s="115">
        <f t="array" ref="N335">MIN(IF(Consolidado!$A$6:$A$1000='TOTALES DIARIOS'!A335,IF(Consolidado!$C$6:$C$1000&lt;=M335,Consolidado!$C$6:$C$1000,1)))</f>
        <v>0</v>
      </c>
      <c r="O335" s="115">
        <f t="array" ref="O335">MAX(IF(Consolidado!$A$6:$A$1000='TOTALES DIARIOS'!A335,IF(Consolidado!$D$6:$D$1000&gt;=M335,Consolidado!$D$6:$D$1000,0)))</f>
        <v>0</v>
      </c>
      <c r="P335" s="118">
        <f t="array" ref="P335">MAX(IF(Consolidado!$A$6:$A$1000='TOTALES DIARIOS'!A335,IF(Consolidado!$D$6:$D$1000&lt;=M335,Consolidado!$D$6:$D$1000,0)))</f>
        <v>0</v>
      </c>
      <c r="Q335" s="117">
        <f t="shared" si="73"/>
        <v>0</v>
      </c>
      <c r="R335" s="117">
        <f t="shared" si="72"/>
        <v>0</v>
      </c>
      <c r="S335" s="104" t="str">
        <f t="shared" si="70"/>
        <v>NO</v>
      </c>
    </row>
    <row r="336" spans="1:19" x14ac:dyDescent="0.25">
      <c r="A336" s="221">
        <f t="shared" si="71"/>
        <v>45624</v>
      </c>
      <c r="B336" s="130" t="str">
        <f t="shared" si="62"/>
        <v/>
      </c>
      <c r="C336" s="217">
        <f t="shared" si="63"/>
        <v>0</v>
      </c>
      <c r="D336" s="217">
        <f t="shared" si="64"/>
        <v>0</v>
      </c>
      <c r="E336" s="218">
        <f>SUMIF(Consolidado!$A$6:$A$380,'TOTALES DIARIOS'!A336,Consolidado!$E$6:$E$380)</f>
        <v>0</v>
      </c>
      <c r="F336" s="218">
        <f>SUMIF(Consolidado!$A$6:$A$380,'TOTALES DIARIOS'!A336,Consolidado!$F$6:$F$380)</f>
        <v>0</v>
      </c>
      <c r="G336" s="218">
        <f>SUMIF(Consolidado!$A$6:$A$380,'TOTALES DIARIOS'!A336,Consolidado!$G$6:$G$380)</f>
        <v>0</v>
      </c>
      <c r="H336" s="219">
        <f t="shared" si="65"/>
        <v>0</v>
      </c>
      <c r="I336" s="99">
        <f t="shared" si="66"/>
        <v>0</v>
      </c>
      <c r="J336" s="99">
        <f t="shared" si="67"/>
        <v>0</v>
      </c>
      <c r="K336" s="113">
        <f t="shared" si="68"/>
        <v>2024</v>
      </c>
      <c r="L336" s="113">
        <f t="shared" si="69"/>
        <v>11</v>
      </c>
      <c r="M336" s="115">
        <f t="array" ref="M336">MIN(IF(Consolidado!$A$6:$A$1000='TOTALES DIARIOS'!A336,IF(Consolidado!$C$6:$C$1000&gt;TIMEVALUE("07:00"),Consolidado!$C$6:$C$1000,1)))</f>
        <v>0</v>
      </c>
      <c r="N336" s="115">
        <f t="array" ref="N336">MIN(IF(Consolidado!$A$6:$A$1000='TOTALES DIARIOS'!A336,IF(Consolidado!$C$6:$C$1000&lt;=M336,Consolidado!$C$6:$C$1000,1)))</f>
        <v>0</v>
      </c>
      <c r="O336" s="115">
        <f t="array" ref="O336">MAX(IF(Consolidado!$A$6:$A$1000='TOTALES DIARIOS'!A336,IF(Consolidado!$D$6:$D$1000&gt;=M336,Consolidado!$D$6:$D$1000,0)))</f>
        <v>0</v>
      </c>
      <c r="P336" s="118">
        <f t="array" ref="P336">MAX(IF(Consolidado!$A$6:$A$1000='TOTALES DIARIOS'!A336,IF(Consolidado!$D$6:$D$1000&lt;=M336,Consolidado!$D$6:$D$1000,0)))</f>
        <v>0</v>
      </c>
      <c r="Q336" s="117">
        <f t="shared" si="73"/>
        <v>0</v>
      </c>
      <c r="R336" s="117">
        <f t="shared" si="72"/>
        <v>0</v>
      </c>
      <c r="S336" s="104" t="str">
        <f t="shared" si="70"/>
        <v>NO</v>
      </c>
    </row>
    <row r="337" spans="1:19" x14ac:dyDescent="0.25">
      <c r="A337" s="221">
        <f t="shared" si="71"/>
        <v>45625</v>
      </c>
      <c r="B337" s="130" t="str">
        <f t="shared" si="62"/>
        <v/>
      </c>
      <c r="C337" s="217">
        <f t="shared" si="63"/>
        <v>0</v>
      </c>
      <c r="D337" s="217">
        <f t="shared" si="64"/>
        <v>0</v>
      </c>
      <c r="E337" s="218">
        <f>SUMIF(Consolidado!$A$6:$A$380,'TOTALES DIARIOS'!A337,Consolidado!$E$6:$E$380)</f>
        <v>0</v>
      </c>
      <c r="F337" s="218">
        <f>SUMIF(Consolidado!$A$6:$A$380,'TOTALES DIARIOS'!A337,Consolidado!$F$6:$F$380)</f>
        <v>0</v>
      </c>
      <c r="G337" s="218">
        <f>SUMIF(Consolidado!$A$6:$A$380,'TOTALES DIARIOS'!A337,Consolidado!$G$6:$G$380)</f>
        <v>0</v>
      </c>
      <c r="H337" s="219">
        <f t="shared" si="65"/>
        <v>0</v>
      </c>
      <c r="I337" s="99">
        <f t="shared" si="66"/>
        <v>0</v>
      </c>
      <c r="J337" s="99">
        <f t="shared" si="67"/>
        <v>0</v>
      </c>
      <c r="K337" s="113">
        <f t="shared" si="68"/>
        <v>2024</v>
      </c>
      <c r="L337" s="113">
        <f t="shared" si="69"/>
        <v>11</v>
      </c>
      <c r="M337" s="115">
        <f t="array" ref="M337">MIN(IF(Consolidado!$A$6:$A$1000='TOTALES DIARIOS'!A337,IF(Consolidado!$C$6:$C$1000&gt;TIMEVALUE("07:00"),Consolidado!$C$6:$C$1000,1)))</f>
        <v>0</v>
      </c>
      <c r="N337" s="115">
        <f t="array" ref="N337">MIN(IF(Consolidado!$A$6:$A$1000='TOTALES DIARIOS'!A337,IF(Consolidado!$C$6:$C$1000&lt;=M337,Consolidado!$C$6:$C$1000,1)))</f>
        <v>0</v>
      </c>
      <c r="O337" s="115">
        <f t="array" ref="O337">MAX(IF(Consolidado!$A$6:$A$1000='TOTALES DIARIOS'!A337,IF(Consolidado!$D$6:$D$1000&gt;=M337,Consolidado!$D$6:$D$1000,0)))</f>
        <v>0</v>
      </c>
      <c r="P337" s="118">
        <f t="array" ref="P337">MAX(IF(Consolidado!$A$6:$A$1000='TOTALES DIARIOS'!A337,IF(Consolidado!$D$6:$D$1000&lt;=M337,Consolidado!$D$6:$D$1000,0)))</f>
        <v>0</v>
      </c>
      <c r="Q337" s="117">
        <f t="shared" si="73"/>
        <v>0</v>
      </c>
      <c r="R337" s="117">
        <f t="shared" si="72"/>
        <v>0</v>
      </c>
      <c r="S337" s="104" t="str">
        <f t="shared" si="70"/>
        <v>NO</v>
      </c>
    </row>
    <row r="338" spans="1:19" x14ac:dyDescent="0.25">
      <c r="A338" s="221">
        <f t="shared" si="71"/>
        <v>45626</v>
      </c>
      <c r="B338" s="130" t="str">
        <f t="shared" si="62"/>
        <v/>
      </c>
      <c r="C338" s="217">
        <f t="shared" si="63"/>
        <v>0</v>
      </c>
      <c r="D338" s="217">
        <f t="shared" si="64"/>
        <v>0</v>
      </c>
      <c r="E338" s="218">
        <f>SUMIF(Consolidado!$A$6:$A$380,'TOTALES DIARIOS'!A338,Consolidado!$E$6:$E$380)</f>
        <v>0</v>
      </c>
      <c r="F338" s="218">
        <f>SUMIF(Consolidado!$A$6:$A$380,'TOTALES DIARIOS'!A338,Consolidado!$F$6:$F$380)</f>
        <v>0</v>
      </c>
      <c r="G338" s="218">
        <f>SUMIF(Consolidado!$A$6:$A$380,'TOTALES DIARIOS'!A338,Consolidado!$G$6:$G$380)</f>
        <v>0</v>
      </c>
      <c r="H338" s="219">
        <f t="shared" si="65"/>
        <v>0</v>
      </c>
      <c r="I338" s="99">
        <f t="shared" si="66"/>
        <v>0</v>
      </c>
      <c r="J338" s="99">
        <f t="shared" si="67"/>
        <v>0</v>
      </c>
      <c r="K338" s="113">
        <f t="shared" si="68"/>
        <v>2024</v>
      </c>
      <c r="L338" s="113">
        <f t="shared" si="69"/>
        <v>11</v>
      </c>
      <c r="M338" s="115">
        <f t="array" ref="M338">MIN(IF(Consolidado!$A$6:$A$1000='TOTALES DIARIOS'!A338,IF(Consolidado!$C$6:$C$1000&gt;TIMEVALUE("07:00"),Consolidado!$C$6:$C$1000,1)))</f>
        <v>0</v>
      </c>
      <c r="N338" s="115">
        <f t="array" ref="N338">MIN(IF(Consolidado!$A$6:$A$1000='TOTALES DIARIOS'!A338,IF(Consolidado!$C$6:$C$1000&lt;=M338,Consolidado!$C$6:$C$1000,1)))</f>
        <v>0</v>
      </c>
      <c r="O338" s="115">
        <f t="array" ref="O338">MAX(IF(Consolidado!$A$6:$A$1000='TOTALES DIARIOS'!A338,IF(Consolidado!$D$6:$D$1000&gt;=M338,Consolidado!$D$6:$D$1000,0)))</f>
        <v>0</v>
      </c>
      <c r="P338" s="118">
        <f t="array" ref="P338">MAX(IF(Consolidado!$A$6:$A$1000='TOTALES DIARIOS'!A338,IF(Consolidado!$D$6:$D$1000&lt;=M338,Consolidado!$D$6:$D$1000,0)))</f>
        <v>0</v>
      </c>
      <c r="Q338" s="117">
        <f t="shared" si="73"/>
        <v>0</v>
      </c>
      <c r="R338" s="117">
        <f t="shared" si="72"/>
        <v>0</v>
      </c>
      <c r="S338" s="104" t="str">
        <f t="shared" si="70"/>
        <v>NO</v>
      </c>
    </row>
    <row r="339" spans="1:19" x14ac:dyDescent="0.25">
      <c r="A339" s="221">
        <f t="shared" si="71"/>
        <v>45627</v>
      </c>
      <c r="B339" s="130" t="str">
        <f t="shared" si="62"/>
        <v/>
      </c>
      <c r="C339" s="217">
        <f t="shared" si="63"/>
        <v>0</v>
      </c>
      <c r="D339" s="217">
        <f t="shared" si="64"/>
        <v>0</v>
      </c>
      <c r="E339" s="218">
        <f>SUMIF(Consolidado!$A$6:$A$380,'TOTALES DIARIOS'!A339,Consolidado!$E$6:$E$380)</f>
        <v>0</v>
      </c>
      <c r="F339" s="218">
        <f>SUMIF(Consolidado!$A$6:$A$380,'TOTALES DIARIOS'!A339,Consolidado!$F$6:$F$380)</f>
        <v>0</v>
      </c>
      <c r="G339" s="218">
        <f>SUMIF(Consolidado!$A$6:$A$380,'TOTALES DIARIOS'!A339,Consolidado!$G$6:$G$380)</f>
        <v>0</v>
      </c>
      <c r="H339" s="219">
        <f t="shared" si="65"/>
        <v>0</v>
      </c>
      <c r="I339" s="99">
        <f t="shared" si="66"/>
        <v>0</v>
      </c>
      <c r="J339" s="99">
        <f t="shared" si="67"/>
        <v>0</v>
      </c>
      <c r="K339" s="113">
        <f t="shared" si="68"/>
        <v>2024</v>
      </c>
      <c r="L339" s="113">
        <f t="shared" si="69"/>
        <v>12</v>
      </c>
      <c r="M339" s="115">
        <f t="array" ref="M339">MIN(IF(Consolidado!$A$6:$A$1000='TOTALES DIARIOS'!A339,IF(Consolidado!$C$6:$C$1000&gt;TIMEVALUE("07:00"),Consolidado!$C$6:$C$1000,1)))</f>
        <v>0</v>
      </c>
      <c r="N339" s="115">
        <f t="array" ref="N339">MIN(IF(Consolidado!$A$6:$A$1000='TOTALES DIARIOS'!A339,IF(Consolidado!$C$6:$C$1000&lt;=M339,Consolidado!$C$6:$C$1000,1)))</f>
        <v>0</v>
      </c>
      <c r="O339" s="115">
        <f t="array" ref="O339">MAX(IF(Consolidado!$A$6:$A$1000='TOTALES DIARIOS'!A339,IF(Consolidado!$D$6:$D$1000&gt;=M339,Consolidado!$D$6:$D$1000,0)))</f>
        <v>0</v>
      </c>
      <c r="P339" s="118">
        <f t="array" ref="P339">MAX(IF(Consolidado!$A$6:$A$1000='TOTALES DIARIOS'!A339,IF(Consolidado!$D$6:$D$1000&lt;=M339,Consolidado!$D$6:$D$1000,0)))</f>
        <v>0</v>
      </c>
      <c r="Q339" s="117">
        <f t="shared" si="73"/>
        <v>0</v>
      </c>
      <c r="R339" s="117">
        <f t="shared" si="72"/>
        <v>0</v>
      </c>
      <c r="S339" s="104" t="str">
        <f t="shared" si="70"/>
        <v>NO</v>
      </c>
    </row>
    <row r="340" spans="1:19" x14ac:dyDescent="0.25">
      <c r="A340" s="221">
        <f t="shared" si="71"/>
        <v>45628</v>
      </c>
      <c r="B340" s="130" t="str">
        <f t="shared" si="62"/>
        <v/>
      </c>
      <c r="C340" s="217">
        <f t="shared" si="63"/>
        <v>0</v>
      </c>
      <c r="D340" s="217">
        <f t="shared" si="64"/>
        <v>0</v>
      </c>
      <c r="E340" s="218">
        <f>SUMIF(Consolidado!$A$6:$A$380,'TOTALES DIARIOS'!A340,Consolidado!$E$6:$E$380)</f>
        <v>0</v>
      </c>
      <c r="F340" s="218">
        <f>SUMIF(Consolidado!$A$6:$A$380,'TOTALES DIARIOS'!A340,Consolidado!$F$6:$F$380)</f>
        <v>0</v>
      </c>
      <c r="G340" s="218">
        <f>SUMIF(Consolidado!$A$6:$A$380,'TOTALES DIARIOS'!A340,Consolidado!$G$6:$G$380)</f>
        <v>0</v>
      </c>
      <c r="H340" s="219">
        <f t="shared" si="65"/>
        <v>0</v>
      </c>
      <c r="I340" s="99">
        <f t="shared" si="66"/>
        <v>0</v>
      </c>
      <c r="J340" s="99">
        <f t="shared" si="67"/>
        <v>0</v>
      </c>
      <c r="K340" s="113">
        <f t="shared" si="68"/>
        <v>2024</v>
      </c>
      <c r="L340" s="113">
        <f t="shared" si="69"/>
        <v>12</v>
      </c>
      <c r="M340" s="115">
        <f t="array" ref="M340">MIN(IF(Consolidado!$A$6:$A$1000='TOTALES DIARIOS'!A340,IF(Consolidado!$C$6:$C$1000&gt;TIMEVALUE("07:00"),Consolidado!$C$6:$C$1000,1)))</f>
        <v>0</v>
      </c>
      <c r="N340" s="115">
        <f t="array" ref="N340">MIN(IF(Consolidado!$A$6:$A$1000='TOTALES DIARIOS'!A340,IF(Consolidado!$C$6:$C$1000&lt;=M340,Consolidado!$C$6:$C$1000,1)))</f>
        <v>0</v>
      </c>
      <c r="O340" s="115">
        <f t="array" ref="O340">MAX(IF(Consolidado!$A$6:$A$1000='TOTALES DIARIOS'!A340,IF(Consolidado!$D$6:$D$1000&gt;=M340,Consolidado!$D$6:$D$1000,0)))</f>
        <v>0</v>
      </c>
      <c r="P340" s="118">
        <f t="array" ref="P340">MAX(IF(Consolidado!$A$6:$A$1000='TOTALES DIARIOS'!A340,IF(Consolidado!$D$6:$D$1000&lt;=M340,Consolidado!$D$6:$D$1000,0)))</f>
        <v>0</v>
      </c>
      <c r="Q340" s="117">
        <f t="shared" si="73"/>
        <v>0</v>
      </c>
      <c r="R340" s="117">
        <f t="shared" si="72"/>
        <v>0</v>
      </c>
      <c r="S340" s="104" t="str">
        <f t="shared" si="70"/>
        <v>NO</v>
      </c>
    </row>
    <row r="341" spans="1:19" x14ac:dyDescent="0.25">
      <c r="A341" s="221">
        <f t="shared" si="71"/>
        <v>45629</v>
      </c>
      <c r="B341" s="130" t="str">
        <f t="shared" si="62"/>
        <v/>
      </c>
      <c r="C341" s="217">
        <f t="shared" si="63"/>
        <v>0</v>
      </c>
      <c r="D341" s="217">
        <f t="shared" si="64"/>
        <v>0</v>
      </c>
      <c r="E341" s="218">
        <f>SUMIF(Consolidado!$A$6:$A$380,'TOTALES DIARIOS'!A341,Consolidado!$E$6:$E$380)</f>
        <v>0</v>
      </c>
      <c r="F341" s="218">
        <f>SUMIF(Consolidado!$A$6:$A$380,'TOTALES DIARIOS'!A341,Consolidado!$F$6:$F$380)</f>
        <v>0</v>
      </c>
      <c r="G341" s="218">
        <f>SUMIF(Consolidado!$A$6:$A$380,'TOTALES DIARIOS'!A341,Consolidado!$G$6:$G$380)</f>
        <v>0</v>
      </c>
      <c r="H341" s="219">
        <f t="shared" si="65"/>
        <v>0</v>
      </c>
      <c r="I341" s="99">
        <f t="shared" si="66"/>
        <v>0</v>
      </c>
      <c r="J341" s="99">
        <f t="shared" si="67"/>
        <v>0</v>
      </c>
      <c r="K341" s="113">
        <f t="shared" si="68"/>
        <v>2024</v>
      </c>
      <c r="L341" s="113">
        <f t="shared" si="69"/>
        <v>12</v>
      </c>
      <c r="M341" s="115">
        <f t="array" ref="M341">MIN(IF(Consolidado!$A$6:$A$1000='TOTALES DIARIOS'!A341,IF(Consolidado!$C$6:$C$1000&gt;TIMEVALUE("07:00"),Consolidado!$C$6:$C$1000,1)))</f>
        <v>0</v>
      </c>
      <c r="N341" s="115">
        <f t="array" ref="N341">MIN(IF(Consolidado!$A$6:$A$1000='TOTALES DIARIOS'!A341,IF(Consolidado!$C$6:$C$1000&lt;=M341,Consolidado!$C$6:$C$1000,1)))</f>
        <v>0</v>
      </c>
      <c r="O341" s="115">
        <f t="array" ref="O341">MAX(IF(Consolidado!$A$6:$A$1000='TOTALES DIARIOS'!A341,IF(Consolidado!$D$6:$D$1000&gt;=M341,Consolidado!$D$6:$D$1000,0)))</f>
        <v>0</v>
      </c>
      <c r="P341" s="118">
        <f t="array" ref="P341">MAX(IF(Consolidado!$A$6:$A$1000='TOTALES DIARIOS'!A341,IF(Consolidado!$D$6:$D$1000&lt;=M341,Consolidado!$D$6:$D$1000,0)))</f>
        <v>0</v>
      </c>
      <c r="Q341" s="117">
        <f t="shared" si="73"/>
        <v>0</v>
      </c>
      <c r="R341" s="117">
        <f t="shared" si="72"/>
        <v>0</v>
      </c>
      <c r="S341" s="104" t="str">
        <f t="shared" si="70"/>
        <v>NO</v>
      </c>
    </row>
    <row r="342" spans="1:19" x14ac:dyDescent="0.25">
      <c r="A342" s="221">
        <f t="shared" si="71"/>
        <v>45630</v>
      </c>
      <c r="B342" s="130" t="str">
        <f t="shared" si="62"/>
        <v/>
      </c>
      <c r="C342" s="217">
        <f t="shared" si="63"/>
        <v>0</v>
      </c>
      <c r="D342" s="217">
        <f t="shared" si="64"/>
        <v>0</v>
      </c>
      <c r="E342" s="218">
        <f>SUMIF(Consolidado!$A$6:$A$380,'TOTALES DIARIOS'!A342,Consolidado!$E$6:$E$380)</f>
        <v>0</v>
      </c>
      <c r="F342" s="218">
        <f>SUMIF(Consolidado!$A$6:$A$380,'TOTALES DIARIOS'!A342,Consolidado!$F$6:$F$380)</f>
        <v>0</v>
      </c>
      <c r="G342" s="218">
        <f>SUMIF(Consolidado!$A$6:$A$380,'TOTALES DIARIOS'!A342,Consolidado!$G$6:$G$380)</f>
        <v>0</v>
      </c>
      <c r="H342" s="219">
        <f t="shared" si="65"/>
        <v>0</v>
      </c>
      <c r="I342" s="99">
        <f t="shared" si="66"/>
        <v>0</v>
      </c>
      <c r="J342" s="99">
        <f t="shared" si="67"/>
        <v>0</v>
      </c>
      <c r="K342" s="113">
        <f t="shared" si="68"/>
        <v>2024</v>
      </c>
      <c r="L342" s="113">
        <f t="shared" si="69"/>
        <v>12</v>
      </c>
      <c r="M342" s="115">
        <f t="array" ref="M342">MIN(IF(Consolidado!$A$6:$A$1000='TOTALES DIARIOS'!A342,IF(Consolidado!$C$6:$C$1000&gt;TIMEVALUE("07:00"),Consolidado!$C$6:$C$1000,1)))</f>
        <v>0</v>
      </c>
      <c r="N342" s="115">
        <f t="array" ref="N342">MIN(IF(Consolidado!$A$6:$A$1000='TOTALES DIARIOS'!A342,IF(Consolidado!$C$6:$C$1000&lt;=M342,Consolidado!$C$6:$C$1000,1)))</f>
        <v>0</v>
      </c>
      <c r="O342" s="115">
        <f t="array" ref="O342">MAX(IF(Consolidado!$A$6:$A$1000='TOTALES DIARIOS'!A342,IF(Consolidado!$D$6:$D$1000&gt;=M342,Consolidado!$D$6:$D$1000,0)))</f>
        <v>0</v>
      </c>
      <c r="P342" s="118">
        <f t="array" ref="P342">MAX(IF(Consolidado!$A$6:$A$1000='TOTALES DIARIOS'!A342,IF(Consolidado!$D$6:$D$1000&lt;=M342,Consolidado!$D$6:$D$1000,0)))</f>
        <v>0</v>
      </c>
      <c r="Q342" s="117">
        <f t="shared" si="73"/>
        <v>0</v>
      </c>
      <c r="R342" s="117">
        <f t="shared" si="72"/>
        <v>0</v>
      </c>
      <c r="S342" s="104" t="str">
        <f t="shared" si="70"/>
        <v>NO</v>
      </c>
    </row>
    <row r="343" spans="1:19" x14ac:dyDescent="0.25">
      <c r="A343" s="221">
        <f t="shared" si="71"/>
        <v>45631</v>
      </c>
      <c r="B343" s="130" t="str">
        <f t="shared" si="62"/>
        <v/>
      </c>
      <c r="C343" s="217">
        <f t="shared" si="63"/>
        <v>0</v>
      </c>
      <c r="D343" s="217">
        <f t="shared" si="64"/>
        <v>0</v>
      </c>
      <c r="E343" s="218">
        <f>SUMIF(Consolidado!$A$6:$A$380,'TOTALES DIARIOS'!A343,Consolidado!$E$6:$E$380)</f>
        <v>0</v>
      </c>
      <c r="F343" s="218">
        <f>SUMIF(Consolidado!$A$6:$A$380,'TOTALES DIARIOS'!A343,Consolidado!$F$6:$F$380)</f>
        <v>0</v>
      </c>
      <c r="G343" s="218">
        <f>SUMIF(Consolidado!$A$6:$A$380,'TOTALES DIARIOS'!A343,Consolidado!$G$6:$G$380)</f>
        <v>0</v>
      </c>
      <c r="H343" s="219">
        <f t="shared" si="65"/>
        <v>0</v>
      </c>
      <c r="I343" s="99">
        <f t="shared" si="66"/>
        <v>0</v>
      </c>
      <c r="J343" s="99">
        <f t="shared" si="67"/>
        <v>0</v>
      </c>
      <c r="K343" s="113">
        <f t="shared" si="68"/>
        <v>2024</v>
      </c>
      <c r="L343" s="113">
        <f t="shared" si="69"/>
        <v>12</v>
      </c>
      <c r="M343" s="115">
        <f t="array" ref="M343">MIN(IF(Consolidado!$A$6:$A$1000='TOTALES DIARIOS'!A343,IF(Consolidado!$C$6:$C$1000&gt;TIMEVALUE("07:00"),Consolidado!$C$6:$C$1000,1)))</f>
        <v>0</v>
      </c>
      <c r="N343" s="115">
        <f t="array" ref="N343">MIN(IF(Consolidado!$A$6:$A$1000='TOTALES DIARIOS'!A343,IF(Consolidado!$C$6:$C$1000&lt;=M343,Consolidado!$C$6:$C$1000,1)))</f>
        <v>0</v>
      </c>
      <c r="O343" s="115">
        <f t="array" ref="O343">MAX(IF(Consolidado!$A$6:$A$1000='TOTALES DIARIOS'!A343,IF(Consolidado!$D$6:$D$1000&gt;=M343,Consolidado!$D$6:$D$1000,0)))</f>
        <v>0</v>
      </c>
      <c r="P343" s="118">
        <f t="array" ref="P343">MAX(IF(Consolidado!$A$6:$A$1000='TOTALES DIARIOS'!A343,IF(Consolidado!$D$6:$D$1000&lt;=M343,Consolidado!$D$6:$D$1000,0)))</f>
        <v>0</v>
      </c>
      <c r="Q343" s="117">
        <f t="shared" si="73"/>
        <v>0</v>
      </c>
      <c r="R343" s="117">
        <f t="shared" si="72"/>
        <v>0</v>
      </c>
      <c r="S343" s="104" t="str">
        <f t="shared" si="70"/>
        <v>NO</v>
      </c>
    </row>
    <row r="344" spans="1:19" x14ac:dyDescent="0.25">
      <c r="A344" s="221">
        <f t="shared" si="71"/>
        <v>45632</v>
      </c>
      <c r="B344" s="130" t="str">
        <f t="shared" si="62"/>
        <v/>
      </c>
      <c r="C344" s="217">
        <f t="shared" si="63"/>
        <v>0</v>
      </c>
      <c r="D344" s="217">
        <f t="shared" si="64"/>
        <v>0</v>
      </c>
      <c r="E344" s="218">
        <f>SUMIF(Consolidado!$A$6:$A$380,'TOTALES DIARIOS'!A344,Consolidado!$E$6:$E$380)</f>
        <v>0</v>
      </c>
      <c r="F344" s="218">
        <f>SUMIF(Consolidado!$A$6:$A$380,'TOTALES DIARIOS'!A344,Consolidado!$F$6:$F$380)</f>
        <v>0</v>
      </c>
      <c r="G344" s="218">
        <f>SUMIF(Consolidado!$A$6:$A$380,'TOTALES DIARIOS'!A344,Consolidado!$G$6:$G$380)</f>
        <v>0</v>
      </c>
      <c r="H344" s="219">
        <f t="shared" si="65"/>
        <v>0</v>
      </c>
      <c r="I344" s="99">
        <f t="shared" si="66"/>
        <v>0</v>
      </c>
      <c r="J344" s="99">
        <f t="shared" si="67"/>
        <v>0</v>
      </c>
      <c r="K344" s="113">
        <f t="shared" si="68"/>
        <v>2024</v>
      </c>
      <c r="L344" s="113">
        <f t="shared" si="69"/>
        <v>12</v>
      </c>
      <c r="M344" s="115">
        <f t="array" ref="M344">MIN(IF(Consolidado!$A$6:$A$1000='TOTALES DIARIOS'!A344,IF(Consolidado!$C$6:$C$1000&gt;TIMEVALUE("07:00"),Consolidado!$C$6:$C$1000,1)))</f>
        <v>0</v>
      </c>
      <c r="N344" s="115">
        <f t="array" ref="N344">MIN(IF(Consolidado!$A$6:$A$1000='TOTALES DIARIOS'!A344,IF(Consolidado!$C$6:$C$1000&lt;=M344,Consolidado!$C$6:$C$1000,1)))</f>
        <v>0</v>
      </c>
      <c r="O344" s="115">
        <f t="array" ref="O344">MAX(IF(Consolidado!$A$6:$A$1000='TOTALES DIARIOS'!A344,IF(Consolidado!$D$6:$D$1000&gt;=M344,Consolidado!$D$6:$D$1000,0)))</f>
        <v>0</v>
      </c>
      <c r="P344" s="118">
        <f t="array" ref="P344">MAX(IF(Consolidado!$A$6:$A$1000='TOTALES DIARIOS'!A344,IF(Consolidado!$D$6:$D$1000&lt;=M344,Consolidado!$D$6:$D$1000,0)))</f>
        <v>0</v>
      </c>
      <c r="Q344" s="117">
        <f t="shared" si="73"/>
        <v>0</v>
      </c>
      <c r="R344" s="117">
        <f t="shared" si="72"/>
        <v>0</v>
      </c>
      <c r="S344" s="104" t="str">
        <f t="shared" si="70"/>
        <v>NO</v>
      </c>
    </row>
    <row r="345" spans="1:19" x14ac:dyDescent="0.25">
      <c r="A345" s="221">
        <f t="shared" si="71"/>
        <v>45633</v>
      </c>
      <c r="B345" s="130" t="str">
        <f t="shared" si="62"/>
        <v/>
      </c>
      <c r="C345" s="217">
        <f t="shared" si="63"/>
        <v>0</v>
      </c>
      <c r="D345" s="217">
        <f t="shared" si="64"/>
        <v>0</v>
      </c>
      <c r="E345" s="218">
        <f>SUMIF(Consolidado!$A$6:$A$380,'TOTALES DIARIOS'!A345,Consolidado!$E$6:$E$380)</f>
        <v>0</v>
      </c>
      <c r="F345" s="218">
        <f>SUMIF(Consolidado!$A$6:$A$380,'TOTALES DIARIOS'!A345,Consolidado!$F$6:$F$380)</f>
        <v>0</v>
      </c>
      <c r="G345" s="218">
        <f>SUMIF(Consolidado!$A$6:$A$380,'TOTALES DIARIOS'!A345,Consolidado!$G$6:$G$380)</f>
        <v>0</v>
      </c>
      <c r="H345" s="219">
        <f t="shared" si="65"/>
        <v>0</v>
      </c>
      <c r="I345" s="99">
        <f t="shared" si="66"/>
        <v>0</v>
      </c>
      <c r="J345" s="99">
        <f t="shared" si="67"/>
        <v>0</v>
      </c>
      <c r="K345" s="113">
        <f t="shared" si="68"/>
        <v>2024</v>
      </c>
      <c r="L345" s="113">
        <f t="shared" si="69"/>
        <v>12</v>
      </c>
      <c r="M345" s="115">
        <f t="array" ref="M345">MIN(IF(Consolidado!$A$6:$A$1000='TOTALES DIARIOS'!A345,IF(Consolidado!$C$6:$C$1000&gt;TIMEVALUE("07:00"),Consolidado!$C$6:$C$1000,1)))</f>
        <v>0</v>
      </c>
      <c r="N345" s="115">
        <f t="array" ref="N345">MIN(IF(Consolidado!$A$6:$A$1000='TOTALES DIARIOS'!A345,IF(Consolidado!$C$6:$C$1000&lt;=M345,Consolidado!$C$6:$C$1000,1)))</f>
        <v>0</v>
      </c>
      <c r="O345" s="115">
        <f t="array" ref="O345">MAX(IF(Consolidado!$A$6:$A$1000='TOTALES DIARIOS'!A345,IF(Consolidado!$D$6:$D$1000&gt;=M345,Consolidado!$D$6:$D$1000,0)))</f>
        <v>0</v>
      </c>
      <c r="P345" s="118">
        <f t="array" ref="P345">MAX(IF(Consolidado!$A$6:$A$1000='TOTALES DIARIOS'!A345,IF(Consolidado!$D$6:$D$1000&lt;=M345,Consolidado!$D$6:$D$1000,0)))</f>
        <v>0</v>
      </c>
      <c r="Q345" s="117">
        <f t="shared" si="73"/>
        <v>0</v>
      </c>
      <c r="R345" s="117">
        <f t="shared" si="72"/>
        <v>0</v>
      </c>
      <c r="S345" s="104" t="str">
        <f t="shared" si="70"/>
        <v>NO</v>
      </c>
    </row>
    <row r="346" spans="1:19" x14ac:dyDescent="0.25">
      <c r="A346" s="221">
        <f t="shared" si="71"/>
        <v>45634</v>
      </c>
      <c r="B346" s="130" t="str">
        <f t="shared" si="62"/>
        <v/>
      </c>
      <c r="C346" s="217">
        <f t="shared" si="63"/>
        <v>0</v>
      </c>
      <c r="D346" s="217">
        <f t="shared" si="64"/>
        <v>0</v>
      </c>
      <c r="E346" s="218">
        <f>SUMIF(Consolidado!$A$6:$A$380,'TOTALES DIARIOS'!A346,Consolidado!$E$6:$E$380)</f>
        <v>0</v>
      </c>
      <c r="F346" s="218">
        <f>SUMIF(Consolidado!$A$6:$A$380,'TOTALES DIARIOS'!A346,Consolidado!$F$6:$F$380)</f>
        <v>0</v>
      </c>
      <c r="G346" s="218">
        <f>SUMIF(Consolidado!$A$6:$A$380,'TOTALES DIARIOS'!A346,Consolidado!$G$6:$G$380)</f>
        <v>0</v>
      </c>
      <c r="H346" s="219">
        <f t="shared" si="65"/>
        <v>0</v>
      </c>
      <c r="I346" s="99">
        <f t="shared" si="66"/>
        <v>0</v>
      </c>
      <c r="J346" s="99">
        <f t="shared" si="67"/>
        <v>0</v>
      </c>
      <c r="K346" s="113">
        <f t="shared" si="68"/>
        <v>2024</v>
      </c>
      <c r="L346" s="113">
        <f t="shared" si="69"/>
        <v>12</v>
      </c>
      <c r="M346" s="115">
        <f t="array" ref="M346">MIN(IF(Consolidado!$A$6:$A$1000='TOTALES DIARIOS'!A346,IF(Consolidado!$C$6:$C$1000&gt;TIMEVALUE("07:00"),Consolidado!$C$6:$C$1000,1)))</f>
        <v>0</v>
      </c>
      <c r="N346" s="115">
        <f t="array" ref="N346">MIN(IF(Consolidado!$A$6:$A$1000='TOTALES DIARIOS'!A346,IF(Consolidado!$C$6:$C$1000&lt;=M346,Consolidado!$C$6:$C$1000,1)))</f>
        <v>0</v>
      </c>
      <c r="O346" s="115">
        <f t="array" ref="O346">MAX(IF(Consolidado!$A$6:$A$1000='TOTALES DIARIOS'!A346,IF(Consolidado!$D$6:$D$1000&gt;=M346,Consolidado!$D$6:$D$1000,0)))</f>
        <v>0</v>
      </c>
      <c r="P346" s="118">
        <f t="array" ref="P346">MAX(IF(Consolidado!$A$6:$A$1000='TOTALES DIARIOS'!A346,IF(Consolidado!$D$6:$D$1000&lt;=M346,Consolidado!$D$6:$D$1000,0)))</f>
        <v>0</v>
      </c>
      <c r="Q346" s="117">
        <f t="shared" si="73"/>
        <v>0</v>
      </c>
      <c r="R346" s="117">
        <f t="shared" si="72"/>
        <v>0</v>
      </c>
      <c r="S346" s="104" t="str">
        <f t="shared" si="70"/>
        <v>NO</v>
      </c>
    </row>
    <row r="347" spans="1:19" x14ac:dyDescent="0.25">
      <c r="A347" s="221">
        <f t="shared" si="71"/>
        <v>45635</v>
      </c>
      <c r="B347" s="130" t="str">
        <f t="shared" si="62"/>
        <v/>
      </c>
      <c r="C347" s="217">
        <f t="shared" si="63"/>
        <v>0</v>
      </c>
      <c r="D347" s="217">
        <f t="shared" si="64"/>
        <v>0</v>
      </c>
      <c r="E347" s="218">
        <f>SUMIF(Consolidado!$A$6:$A$380,'TOTALES DIARIOS'!A347,Consolidado!$E$6:$E$380)</f>
        <v>0</v>
      </c>
      <c r="F347" s="218">
        <f>SUMIF(Consolidado!$A$6:$A$380,'TOTALES DIARIOS'!A347,Consolidado!$F$6:$F$380)</f>
        <v>0</v>
      </c>
      <c r="G347" s="218">
        <f>SUMIF(Consolidado!$A$6:$A$380,'TOTALES DIARIOS'!A347,Consolidado!$G$6:$G$380)</f>
        <v>0</v>
      </c>
      <c r="H347" s="219">
        <f t="shared" si="65"/>
        <v>0</v>
      </c>
      <c r="I347" s="99">
        <f t="shared" si="66"/>
        <v>0</v>
      </c>
      <c r="J347" s="99">
        <f t="shared" si="67"/>
        <v>0</v>
      </c>
      <c r="K347" s="113">
        <f t="shared" si="68"/>
        <v>2024</v>
      </c>
      <c r="L347" s="113">
        <f t="shared" si="69"/>
        <v>12</v>
      </c>
      <c r="M347" s="115">
        <f t="array" ref="M347">MIN(IF(Consolidado!$A$6:$A$1000='TOTALES DIARIOS'!A347,IF(Consolidado!$C$6:$C$1000&gt;TIMEVALUE("07:00"),Consolidado!$C$6:$C$1000,1)))</f>
        <v>0</v>
      </c>
      <c r="N347" s="115">
        <f t="array" ref="N347">MIN(IF(Consolidado!$A$6:$A$1000='TOTALES DIARIOS'!A347,IF(Consolidado!$C$6:$C$1000&lt;=M347,Consolidado!$C$6:$C$1000,1)))</f>
        <v>0</v>
      </c>
      <c r="O347" s="115">
        <f t="array" ref="O347">MAX(IF(Consolidado!$A$6:$A$1000='TOTALES DIARIOS'!A347,IF(Consolidado!$D$6:$D$1000&gt;=M347,Consolidado!$D$6:$D$1000,0)))</f>
        <v>0</v>
      </c>
      <c r="P347" s="118">
        <f t="array" ref="P347">MAX(IF(Consolidado!$A$6:$A$1000='TOTALES DIARIOS'!A347,IF(Consolidado!$D$6:$D$1000&lt;=M347,Consolidado!$D$6:$D$1000,0)))</f>
        <v>0</v>
      </c>
      <c r="Q347" s="117">
        <f t="shared" si="73"/>
        <v>0</v>
      </c>
      <c r="R347" s="117">
        <f t="shared" si="72"/>
        <v>0</v>
      </c>
      <c r="S347" s="104" t="str">
        <f t="shared" si="70"/>
        <v>NO</v>
      </c>
    </row>
    <row r="348" spans="1:19" x14ac:dyDescent="0.25">
      <c r="A348" s="221">
        <f t="shared" si="71"/>
        <v>45636</v>
      </c>
      <c r="B348" s="130" t="str">
        <f t="shared" si="62"/>
        <v/>
      </c>
      <c r="C348" s="217">
        <f t="shared" si="63"/>
        <v>0</v>
      </c>
      <c r="D348" s="217">
        <f t="shared" si="64"/>
        <v>0</v>
      </c>
      <c r="E348" s="218">
        <f>SUMIF(Consolidado!$A$6:$A$380,'TOTALES DIARIOS'!A348,Consolidado!$E$6:$E$380)</f>
        <v>0</v>
      </c>
      <c r="F348" s="218">
        <f>SUMIF(Consolidado!$A$6:$A$380,'TOTALES DIARIOS'!A348,Consolidado!$F$6:$F$380)</f>
        <v>0</v>
      </c>
      <c r="G348" s="218">
        <f>SUMIF(Consolidado!$A$6:$A$380,'TOTALES DIARIOS'!A348,Consolidado!$G$6:$G$380)</f>
        <v>0</v>
      </c>
      <c r="H348" s="219">
        <f t="shared" si="65"/>
        <v>0</v>
      </c>
      <c r="I348" s="99">
        <f t="shared" si="66"/>
        <v>0</v>
      </c>
      <c r="J348" s="99">
        <f t="shared" si="67"/>
        <v>0</v>
      </c>
      <c r="K348" s="113">
        <f t="shared" si="68"/>
        <v>2024</v>
      </c>
      <c r="L348" s="113">
        <f t="shared" si="69"/>
        <v>12</v>
      </c>
      <c r="M348" s="115">
        <f t="array" ref="M348">MIN(IF(Consolidado!$A$6:$A$1000='TOTALES DIARIOS'!A348,IF(Consolidado!$C$6:$C$1000&gt;TIMEVALUE("07:00"),Consolidado!$C$6:$C$1000,1)))</f>
        <v>0</v>
      </c>
      <c r="N348" s="115">
        <f t="array" ref="N348">MIN(IF(Consolidado!$A$6:$A$1000='TOTALES DIARIOS'!A348,IF(Consolidado!$C$6:$C$1000&lt;=M348,Consolidado!$C$6:$C$1000,1)))</f>
        <v>0</v>
      </c>
      <c r="O348" s="115">
        <f t="array" ref="O348">MAX(IF(Consolidado!$A$6:$A$1000='TOTALES DIARIOS'!A348,IF(Consolidado!$D$6:$D$1000&gt;=M348,Consolidado!$D$6:$D$1000,0)))</f>
        <v>0</v>
      </c>
      <c r="P348" s="118">
        <f t="array" ref="P348">MAX(IF(Consolidado!$A$6:$A$1000='TOTALES DIARIOS'!A348,IF(Consolidado!$D$6:$D$1000&lt;=M348,Consolidado!$D$6:$D$1000,0)))</f>
        <v>0</v>
      </c>
      <c r="Q348" s="117">
        <f t="shared" si="73"/>
        <v>0</v>
      </c>
      <c r="R348" s="117">
        <f t="shared" si="72"/>
        <v>0</v>
      </c>
      <c r="S348" s="104" t="str">
        <f t="shared" si="70"/>
        <v>NO</v>
      </c>
    </row>
    <row r="349" spans="1:19" x14ac:dyDescent="0.25">
      <c r="A349" s="221">
        <f t="shared" si="71"/>
        <v>45637</v>
      </c>
      <c r="B349" s="130" t="str">
        <f t="shared" si="62"/>
        <v/>
      </c>
      <c r="C349" s="217">
        <f t="shared" si="63"/>
        <v>0</v>
      </c>
      <c r="D349" s="217">
        <f t="shared" si="64"/>
        <v>0</v>
      </c>
      <c r="E349" s="218">
        <f>SUMIF(Consolidado!$A$6:$A$380,'TOTALES DIARIOS'!A349,Consolidado!$E$6:$E$380)</f>
        <v>0</v>
      </c>
      <c r="F349" s="218">
        <f>SUMIF(Consolidado!$A$6:$A$380,'TOTALES DIARIOS'!A349,Consolidado!$F$6:$F$380)</f>
        <v>0</v>
      </c>
      <c r="G349" s="218">
        <f>SUMIF(Consolidado!$A$6:$A$380,'TOTALES DIARIOS'!A349,Consolidado!$G$6:$G$380)</f>
        <v>0</v>
      </c>
      <c r="H349" s="219">
        <f t="shared" si="65"/>
        <v>0</v>
      </c>
      <c r="I349" s="99">
        <f t="shared" si="66"/>
        <v>0</v>
      </c>
      <c r="J349" s="99">
        <f t="shared" si="67"/>
        <v>0</v>
      </c>
      <c r="K349" s="113">
        <f t="shared" si="68"/>
        <v>2024</v>
      </c>
      <c r="L349" s="113">
        <f t="shared" si="69"/>
        <v>12</v>
      </c>
      <c r="M349" s="115">
        <f t="array" ref="M349">MIN(IF(Consolidado!$A$6:$A$1000='TOTALES DIARIOS'!A349,IF(Consolidado!$C$6:$C$1000&gt;TIMEVALUE("07:00"),Consolidado!$C$6:$C$1000,1)))</f>
        <v>0</v>
      </c>
      <c r="N349" s="115">
        <f t="array" ref="N349">MIN(IF(Consolidado!$A$6:$A$1000='TOTALES DIARIOS'!A349,IF(Consolidado!$C$6:$C$1000&lt;=M349,Consolidado!$C$6:$C$1000,1)))</f>
        <v>0</v>
      </c>
      <c r="O349" s="115">
        <f t="array" ref="O349">MAX(IF(Consolidado!$A$6:$A$1000='TOTALES DIARIOS'!A349,IF(Consolidado!$D$6:$D$1000&gt;=M349,Consolidado!$D$6:$D$1000,0)))</f>
        <v>0</v>
      </c>
      <c r="P349" s="118">
        <f t="array" ref="P349">MAX(IF(Consolidado!$A$6:$A$1000='TOTALES DIARIOS'!A349,IF(Consolidado!$D$6:$D$1000&lt;=M349,Consolidado!$D$6:$D$1000,0)))</f>
        <v>0</v>
      </c>
      <c r="Q349" s="117">
        <f t="shared" si="73"/>
        <v>0</v>
      </c>
      <c r="R349" s="117">
        <f t="shared" si="72"/>
        <v>0</v>
      </c>
      <c r="S349" s="104" t="str">
        <f t="shared" si="70"/>
        <v>NO</v>
      </c>
    </row>
    <row r="350" spans="1:19" x14ac:dyDescent="0.25">
      <c r="A350" s="221">
        <f t="shared" si="71"/>
        <v>45638</v>
      </c>
      <c r="B350" s="130" t="str">
        <f t="shared" si="62"/>
        <v/>
      </c>
      <c r="C350" s="217">
        <f t="shared" si="63"/>
        <v>0</v>
      </c>
      <c r="D350" s="217">
        <f t="shared" si="64"/>
        <v>0</v>
      </c>
      <c r="E350" s="218">
        <f>SUMIF(Consolidado!$A$6:$A$380,'TOTALES DIARIOS'!A350,Consolidado!$E$6:$E$380)</f>
        <v>0</v>
      </c>
      <c r="F350" s="218">
        <f>SUMIF(Consolidado!$A$6:$A$380,'TOTALES DIARIOS'!A350,Consolidado!$F$6:$F$380)</f>
        <v>0</v>
      </c>
      <c r="G350" s="218">
        <f>SUMIF(Consolidado!$A$6:$A$380,'TOTALES DIARIOS'!A350,Consolidado!$G$6:$G$380)</f>
        <v>0</v>
      </c>
      <c r="H350" s="219">
        <f t="shared" si="65"/>
        <v>0</v>
      </c>
      <c r="I350" s="99">
        <f t="shared" si="66"/>
        <v>0</v>
      </c>
      <c r="J350" s="99">
        <f t="shared" si="67"/>
        <v>0</v>
      </c>
      <c r="K350" s="113">
        <f t="shared" si="68"/>
        <v>2024</v>
      </c>
      <c r="L350" s="113">
        <f t="shared" si="69"/>
        <v>12</v>
      </c>
      <c r="M350" s="115">
        <f t="array" ref="M350">MIN(IF(Consolidado!$A$6:$A$1000='TOTALES DIARIOS'!A350,IF(Consolidado!$C$6:$C$1000&gt;TIMEVALUE("07:00"),Consolidado!$C$6:$C$1000,1)))</f>
        <v>0</v>
      </c>
      <c r="N350" s="115">
        <f t="array" ref="N350">MIN(IF(Consolidado!$A$6:$A$1000='TOTALES DIARIOS'!A350,IF(Consolidado!$C$6:$C$1000&lt;=M350,Consolidado!$C$6:$C$1000,1)))</f>
        <v>0</v>
      </c>
      <c r="O350" s="115">
        <f t="array" ref="O350">MAX(IF(Consolidado!$A$6:$A$1000='TOTALES DIARIOS'!A350,IF(Consolidado!$D$6:$D$1000&gt;=M350,Consolidado!$D$6:$D$1000,0)))</f>
        <v>0</v>
      </c>
      <c r="P350" s="118">
        <f t="array" ref="P350">MAX(IF(Consolidado!$A$6:$A$1000='TOTALES DIARIOS'!A350,IF(Consolidado!$D$6:$D$1000&lt;=M350,Consolidado!$D$6:$D$1000,0)))</f>
        <v>0</v>
      </c>
      <c r="Q350" s="117">
        <f t="shared" si="73"/>
        <v>0</v>
      </c>
      <c r="R350" s="117">
        <f t="shared" si="72"/>
        <v>0</v>
      </c>
      <c r="S350" s="104" t="str">
        <f t="shared" si="70"/>
        <v>NO</v>
      </c>
    </row>
    <row r="351" spans="1:19" x14ac:dyDescent="0.25">
      <c r="A351" s="221">
        <f t="shared" si="71"/>
        <v>45639</v>
      </c>
      <c r="B351" s="130" t="str">
        <f t="shared" si="62"/>
        <v/>
      </c>
      <c r="C351" s="217">
        <f t="shared" si="63"/>
        <v>0</v>
      </c>
      <c r="D351" s="217">
        <f t="shared" si="64"/>
        <v>0</v>
      </c>
      <c r="E351" s="218">
        <f>SUMIF(Consolidado!$A$6:$A$380,'TOTALES DIARIOS'!A351,Consolidado!$E$6:$E$380)</f>
        <v>0</v>
      </c>
      <c r="F351" s="218">
        <f>SUMIF(Consolidado!$A$6:$A$380,'TOTALES DIARIOS'!A351,Consolidado!$F$6:$F$380)</f>
        <v>0</v>
      </c>
      <c r="G351" s="218">
        <f>SUMIF(Consolidado!$A$6:$A$380,'TOTALES DIARIOS'!A351,Consolidado!$G$6:$G$380)</f>
        <v>0</v>
      </c>
      <c r="H351" s="219">
        <f t="shared" si="65"/>
        <v>0</v>
      </c>
      <c r="I351" s="99">
        <f t="shared" si="66"/>
        <v>0</v>
      </c>
      <c r="J351" s="99">
        <f t="shared" si="67"/>
        <v>0</v>
      </c>
      <c r="K351" s="113">
        <f t="shared" si="68"/>
        <v>2024</v>
      </c>
      <c r="L351" s="113">
        <f t="shared" si="69"/>
        <v>12</v>
      </c>
      <c r="M351" s="115">
        <f t="array" ref="M351">MIN(IF(Consolidado!$A$6:$A$1000='TOTALES DIARIOS'!A351,IF(Consolidado!$C$6:$C$1000&gt;TIMEVALUE("07:00"),Consolidado!$C$6:$C$1000,1)))</f>
        <v>0</v>
      </c>
      <c r="N351" s="115">
        <f t="array" ref="N351">MIN(IF(Consolidado!$A$6:$A$1000='TOTALES DIARIOS'!A351,IF(Consolidado!$C$6:$C$1000&lt;=M351,Consolidado!$C$6:$C$1000,1)))</f>
        <v>0</v>
      </c>
      <c r="O351" s="115">
        <f t="array" ref="O351">MAX(IF(Consolidado!$A$6:$A$1000='TOTALES DIARIOS'!A351,IF(Consolidado!$D$6:$D$1000&gt;=M351,Consolidado!$D$6:$D$1000,0)))</f>
        <v>0</v>
      </c>
      <c r="P351" s="118">
        <f t="array" ref="P351">MAX(IF(Consolidado!$A$6:$A$1000='TOTALES DIARIOS'!A351,IF(Consolidado!$D$6:$D$1000&lt;=M351,Consolidado!$D$6:$D$1000,0)))</f>
        <v>0</v>
      </c>
      <c r="Q351" s="117">
        <f t="shared" si="73"/>
        <v>0</v>
      </c>
      <c r="R351" s="117">
        <f t="shared" si="72"/>
        <v>0</v>
      </c>
      <c r="S351" s="104" t="str">
        <f t="shared" si="70"/>
        <v>NO</v>
      </c>
    </row>
    <row r="352" spans="1:19" x14ac:dyDescent="0.25">
      <c r="A352" s="221">
        <f t="shared" si="71"/>
        <v>45640</v>
      </c>
      <c r="B352" s="130" t="str">
        <f t="shared" si="62"/>
        <v/>
      </c>
      <c r="C352" s="217">
        <f t="shared" si="63"/>
        <v>0</v>
      </c>
      <c r="D352" s="217">
        <f t="shared" si="64"/>
        <v>0</v>
      </c>
      <c r="E352" s="218">
        <f>SUMIF(Consolidado!$A$6:$A$380,'TOTALES DIARIOS'!A352,Consolidado!$E$6:$E$380)</f>
        <v>0</v>
      </c>
      <c r="F352" s="218">
        <f>SUMIF(Consolidado!$A$6:$A$380,'TOTALES DIARIOS'!A352,Consolidado!$F$6:$F$380)</f>
        <v>0</v>
      </c>
      <c r="G352" s="218">
        <f>SUMIF(Consolidado!$A$6:$A$380,'TOTALES DIARIOS'!A352,Consolidado!$G$6:$G$380)</f>
        <v>0</v>
      </c>
      <c r="H352" s="219">
        <f t="shared" si="65"/>
        <v>0</v>
      </c>
      <c r="I352" s="99">
        <f t="shared" si="66"/>
        <v>0</v>
      </c>
      <c r="J352" s="99">
        <f t="shared" si="67"/>
        <v>0</v>
      </c>
      <c r="K352" s="113">
        <f t="shared" si="68"/>
        <v>2024</v>
      </c>
      <c r="L352" s="113">
        <f t="shared" si="69"/>
        <v>12</v>
      </c>
      <c r="M352" s="115">
        <f t="array" ref="M352">MIN(IF(Consolidado!$A$6:$A$1000='TOTALES DIARIOS'!A352,IF(Consolidado!$C$6:$C$1000&gt;TIMEVALUE("07:00"),Consolidado!$C$6:$C$1000,1)))</f>
        <v>0</v>
      </c>
      <c r="N352" s="115">
        <f t="array" ref="N352">MIN(IF(Consolidado!$A$6:$A$1000='TOTALES DIARIOS'!A352,IF(Consolidado!$C$6:$C$1000&lt;=M352,Consolidado!$C$6:$C$1000,1)))</f>
        <v>0</v>
      </c>
      <c r="O352" s="115">
        <f t="array" ref="O352">MAX(IF(Consolidado!$A$6:$A$1000='TOTALES DIARIOS'!A352,IF(Consolidado!$D$6:$D$1000&gt;=M352,Consolidado!$D$6:$D$1000,0)))</f>
        <v>0</v>
      </c>
      <c r="P352" s="118">
        <f t="array" ref="P352">MAX(IF(Consolidado!$A$6:$A$1000='TOTALES DIARIOS'!A352,IF(Consolidado!$D$6:$D$1000&lt;=M352,Consolidado!$D$6:$D$1000,0)))</f>
        <v>0</v>
      </c>
      <c r="Q352" s="117">
        <f t="shared" si="73"/>
        <v>0</v>
      </c>
      <c r="R352" s="117">
        <f t="shared" si="72"/>
        <v>0</v>
      </c>
      <c r="S352" s="104" t="str">
        <f t="shared" si="70"/>
        <v>NO</v>
      </c>
    </row>
    <row r="353" spans="1:19" x14ac:dyDescent="0.25">
      <c r="A353" s="221">
        <f t="shared" si="71"/>
        <v>45641</v>
      </c>
      <c r="B353" s="130" t="str">
        <f t="shared" si="62"/>
        <v/>
      </c>
      <c r="C353" s="217">
        <f t="shared" si="63"/>
        <v>0</v>
      </c>
      <c r="D353" s="217">
        <f t="shared" si="64"/>
        <v>0</v>
      </c>
      <c r="E353" s="218">
        <f>SUMIF(Consolidado!$A$6:$A$380,'TOTALES DIARIOS'!A353,Consolidado!$E$6:$E$380)</f>
        <v>0</v>
      </c>
      <c r="F353" s="218">
        <f>SUMIF(Consolidado!$A$6:$A$380,'TOTALES DIARIOS'!A353,Consolidado!$F$6:$F$380)</f>
        <v>0</v>
      </c>
      <c r="G353" s="218">
        <f>SUMIF(Consolidado!$A$6:$A$380,'TOTALES DIARIOS'!A353,Consolidado!$G$6:$G$380)</f>
        <v>0</v>
      </c>
      <c r="H353" s="219">
        <f t="shared" si="65"/>
        <v>0</v>
      </c>
      <c r="I353" s="99">
        <f t="shared" si="66"/>
        <v>0</v>
      </c>
      <c r="J353" s="99">
        <f t="shared" si="67"/>
        <v>0</v>
      </c>
      <c r="K353" s="113">
        <f t="shared" si="68"/>
        <v>2024</v>
      </c>
      <c r="L353" s="113">
        <f t="shared" si="69"/>
        <v>12</v>
      </c>
      <c r="M353" s="115">
        <f t="array" ref="M353">MIN(IF(Consolidado!$A$6:$A$1000='TOTALES DIARIOS'!A353,IF(Consolidado!$C$6:$C$1000&gt;TIMEVALUE("07:00"),Consolidado!$C$6:$C$1000,1)))</f>
        <v>0</v>
      </c>
      <c r="N353" s="115">
        <f t="array" ref="N353">MIN(IF(Consolidado!$A$6:$A$1000='TOTALES DIARIOS'!A353,IF(Consolidado!$C$6:$C$1000&lt;=M353,Consolidado!$C$6:$C$1000,1)))</f>
        <v>0</v>
      </c>
      <c r="O353" s="115">
        <f t="array" ref="O353">MAX(IF(Consolidado!$A$6:$A$1000='TOTALES DIARIOS'!A353,IF(Consolidado!$D$6:$D$1000&gt;=M353,Consolidado!$D$6:$D$1000,0)))</f>
        <v>0</v>
      </c>
      <c r="P353" s="118">
        <f t="array" ref="P353">MAX(IF(Consolidado!$A$6:$A$1000='TOTALES DIARIOS'!A353,IF(Consolidado!$D$6:$D$1000&lt;=M353,Consolidado!$D$6:$D$1000,0)))</f>
        <v>0</v>
      </c>
      <c r="Q353" s="117">
        <f t="shared" si="73"/>
        <v>0</v>
      </c>
      <c r="R353" s="117">
        <f t="shared" si="72"/>
        <v>0</v>
      </c>
      <c r="S353" s="104" t="str">
        <f t="shared" si="70"/>
        <v>NO</v>
      </c>
    </row>
    <row r="354" spans="1:19" x14ac:dyDescent="0.25">
      <c r="A354" s="221">
        <f t="shared" si="71"/>
        <v>45642</v>
      </c>
      <c r="B354" s="130" t="str">
        <f t="shared" si="62"/>
        <v/>
      </c>
      <c r="C354" s="217">
        <f t="shared" si="63"/>
        <v>0</v>
      </c>
      <c r="D354" s="217">
        <f t="shared" si="64"/>
        <v>0</v>
      </c>
      <c r="E354" s="218">
        <f>SUMIF(Consolidado!$A$6:$A$380,'TOTALES DIARIOS'!A354,Consolidado!$E$6:$E$380)</f>
        <v>0</v>
      </c>
      <c r="F354" s="218">
        <f>SUMIF(Consolidado!$A$6:$A$380,'TOTALES DIARIOS'!A354,Consolidado!$F$6:$F$380)</f>
        <v>0</v>
      </c>
      <c r="G354" s="218">
        <f>SUMIF(Consolidado!$A$6:$A$380,'TOTALES DIARIOS'!A354,Consolidado!$G$6:$G$380)</f>
        <v>0</v>
      </c>
      <c r="H354" s="219">
        <f t="shared" si="65"/>
        <v>0</v>
      </c>
      <c r="I354" s="99">
        <f t="shared" si="66"/>
        <v>0</v>
      </c>
      <c r="J354" s="99">
        <f t="shared" si="67"/>
        <v>0</v>
      </c>
      <c r="K354" s="113">
        <f t="shared" si="68"/>
        <v>2024</v>
      </c>
      <c r="L354" s="113">
        <f t="shared" si="69"/>
        <v>12</v>
      </c>
      <c r="M354" s="115">
        <f t="array" ref="M354">MIN(IF(Consolidado!$A$6:$A$1000='TOTALES DIARIOS'!A354,IF(Consolidado!$C$6:$C$1000&gt;TIMEVALUE("07:00"),Consolidado!$C$6:$C$1000,1)))</f>
        <v>0</v>
      </c>
      <c r="N354" s="115">
        <f t="array" ref="N354">MIN(IF(Consolidado!$A$6:$A$1000='TOTALES DIARIOS'!A354,IF(Consolidado!$C$6:$C$1000&lt;=M354,Consolidado!$C$6:$C$1000,1)))</f>
        <v>0</v>
      </c>
      <c r="O354" s="115">
        <f t="array" ref="O354">MAX(IF(Consolidado!$A$6:$A$1000='TOTALES DIARIOS'!A354,IF(Consolidado!$D$6:$D$1000&gt;=M354,Consolidado!$D$6:$D$1000,0)))</f>
        <v>0</v>
      </c>
      <c r="P354" s="118">
        <f t="array" ref="P354">MAX(IF(Consolidado!$A$6:$A$1000='TOTALES DIARIOS'!A354,IF(Consolidado!$D$6:$D$1000&lt;=M354,Consolidado!$D$6:$D$1000,0)))</f>
        <v>0</v>
      </c>
      <c r="Q354" s="117">
        <f t="shared" si="73"/>
        <v>0</v>
      </c>
      <c r="R354" s="117">
        <f t="shared" si="72"/>
        <v>0</v>
      </c>
      <c r="S354" s="104" t="str">
        <f t="shared" si="70"/>
        <v>NO</v>
      </c>
    </row>
    <row r="355" spans="1:19" x14ac:dyDescent="0.25">
      <c r="A355" s="221">
        <f t="shared" si="71"/>
        <v>45643</v>
      </c>
      <c r="B355" s="130" t="str">
        <f t="shared" si="62"/>
        <v/>
      </c>
      <c r="C355" s="217">
        <f t="shared" si="63"/>
        <v>0</v>
      </c>
      <c r="D355" s="217">
        <f t="shared" si="64"/>
        <v>0</v>
      </c>
      <c r="E355" s="218">
        <f>SUMIF(Consolidado!$A$6:$A$380,'TOTALES DIARIOS'!A355,Consolidado!$E$6:$E$380)</f>
        <v>0</v>
      </c>
      <c r="F355" s="218">
        <f>SUMIF(Consolidado!$A$6:$A$380,'TOTALES DIARIOS'!A355,Consolidado!$F$6:$F$380)</f>
        <v>0</v>
      </c>
      <c r="G355" s="218">
        <f>SUMIF(Consolidado!$A$6:$A$380,'TOTALES DIARIOS'!A355,Consolidado!$G$6:$G$380)</f>
        <v>0</v>
      </c>
      <c r="H355" s="219">
        <f t="shared" si="65"/>
        <v>0</v>
      </c>
      <c r="I355" s="99">
        <f t="shared" si="66"/>
        <v>0</v>
      </c>
      <c r="J355" s="99">
        <f t="shared" si="67"/>
        <v>0</v>
      </c>
      <c r="K355" s="113">
        <f t="shared" si="68"/>
        <v>2024</v>
      </c>
      <c r="L355" s="113">
        <f t="shared" si="69"/>
        <v>12</v>
      </c>
      <c r="M355" s="115">
        <f t="array" ref="M355">MIN(IF(Consolidado!$A$6:$A$1000='TOTALES DIARIOS'!A355,IF(Consolidado!$C$6:$C$1000&gt;TIMEVALUE("07:00"),Consolidado!$C$6:$C$1000,1)))</f>
        <v>0</v>
      </c>
      <c r="N355" s="115">
        <f t="array" ref="N355">MIN(IF(Consolidado!$A$6:$A$1000='TOTALES DIARIOS'!A355,IF(Consolidado!$C$6:$C$1000&lt;=M355,Consolidado!$C$6:$C$1000,1)))</f>
        <v>0</v>
      </c>
      <c r="O355" s="115">
        <f t="array" ref="O355">MAX(IF(Consolidado!$A$6:$A$1000='TOTALES DIARIOS'!A355,IF(Consolidado!$D$6:$D$1000&gt;=M355,Consolidado!$D$6:$D$1000,0)))</f>
        <v>0</v>
      </c>
      <c r="P355" s="118">
        <f t="array" ref="P355">MAX(IF(Consolidado!$A$6:$A$1000='TOTALES DIARIOS'!A355,IF(Consolidado!$D$6:$D$1000&lt;=M355,Consolidado!$D$6:$D$1000,0)))</f>
        <v>0</v>
      </c>
      <c r="Q355" s="117">
        <f t="shared" si="73"/>
        <v>0</v>
      </c>
      <c r="R355" s="117">
        <f t="shared" si="72"/>
        <v>0</v>
      </c>
      <c r="S355" s="104" t="str">
        <f t="shared" si="70"/>
        <v>NO</v>
      </c>
    </row>
    <row r="356" spans="1:19" x14ac:dyDescent="0.25">
      <c r="A356" s="221">
        <f t="shared" si="71"/>
        <v>45644</v>
      </c>
      <c r="B356" s="130" t="str">
        <f t="shared" si="62"/>
        <v/>
      </c>
      <c r="C356" s="217">
        <f t="shared" si="63"/>
        <v>0</v>
      </c>
      <c r="D356" s="217">
        <f t="shared" si="64"/>
        <v>0</v>
      </c>
      <c r="E356" s="218">
        <f>SUMIF(Consolidado!$A$6:$A$380,'TOTALES DIARIOS'!A356,Consolidado!$E$6:$E$380)</f>
        <v>0</v>
      </c>
      <c r="F356" s="218">
        <f>SUMIF(Consolidado!$A$6:$A$380,'TOTALES DIARIOS'!A356,Consolidado!$F$6:$F$380)</f>
        <v>0</v>
      </c>
      <c r="G356" s="218">
        <f>SUMIF(Consolidado!$A$6:$A$380,'TOTALES DIARIOS'!A356,Consolidado!$G$6:$G$380)</f>
        <v>0</v>
      </c>
      <c r="H356" s="219">
        <f t="shared" si="65"/>
        <v>0</v>
      </c>
      <c r="I356" s="99">
        <f t="shared" si="66"/>
        <v>0</v>
      </c>
      <c r="J356" s="99">
        <f t="shared" si="67"/>
        <v>0</v>
      </c>
      <c r="K356" s="113">
        <f t="shared" si="68"/>
        <v>2024</v>
      </c>
      <c r="L356" s="113">
        <f t="shared" si="69"/>
        <v>12</v>
      </c>
      <c r="M356" s="115">
        <f t="array" ref="M356">MIN(IF(Consolidado!$A$6:$A$1000='TOTALES DIARIOS'!A356,IF(Consolidado!$C$6:$C$1000&gt;TIMEVALUE("07:00"),Consolidado!$C$6:$C$1000,1)))</f>
        <v>0</v>
      </c>
      <c r="N356" s="115">
        <f t="array" ref="N356">MIN(IF(Consolidado!$A$6:$A$1000='TOTALES DIARIOS'!A356,IF(Consolidado!$C$6:$C$1000&lt;=M356,Consolidado!$C$6:$C$1000,1)))</f>
        <v>0</v>
      </c>
      <c r="O356" s="115">
        <f t="array" ref="O356">MAX(IF(Consolidado!$A$6:$A$1000='TOTALES DIARIOS'!A356,IF(Consolidado!$D$6:$D$1000&gt;=M356,Consolidado!$D$6:$D$1000,0)))</f>
        <v>0</v>
      </c>
      <c r="P356" s="118">
        <f t="array" ref="P356">MAX(IF(Consolidado!$A$6:$A$1000='TOTALES DIARIOS'!A356,IF(Consolidado!$D$6:$D$1000&lt;=M356,Consolidado!$D$6:$D$1000,0)))</f>
        <v>0</v>
      </c>
      <c r="Q356" s="117">
        <f t="shared" si="73"/>
        <v>0</v>
      </c>
      <c r="R356" s="117">
        <f t="shared" si="72"/>
        <v>0</v>
      </c>
      <c r="S356" s="104" t="str">
        <f t="shared" si="70"/>
        <v>NO</v>
      </c>
    </row>
    <row r="357" spans="1:19" x14ac:dyDescent="0.25">
      <c r="A357" s="221">
        <f t="shared" si="71"/>
        <v>45645</v>
      </c>
      <c r="B357" s="130" t="str">
        <f t="shared" si="62"/>
        <v/>
      </c>
      <c r="C357" s="217">
        <f t="shared" si="63"/>
        <v>0</v>
      </c>
      <c r="D357" s="217">
        <f t="shared" si="64"/>
        <v>0</v>
      </c>
      <c r="E357" s="218">
        <f>SUMIF(Consolidado!$A$6:$A$380,'TOTALES DIARIOS'!A357,Consolidado!$E$6:$E$380)</f>
        <v>0</v>
      </c>
      <c r="F357" s="218">
        <f>SUMIF(Consolidado!$A$6:$A$380,'TOTALES DIARIOS'!A357,Consolidado!$F$6:$F$380)</f>
        <v>0</v>
      </c>
      <c r="G357" s="218">
        <f>SUMIF(Consolidado!$A$6:$A$380,'TOTALES DIARIOS'!A357,Consolidado!$G$6:$G$380)</f>
        <v>0</v>
      </c>
      <c r="H357" s="219">
        <f t="shared" si="65"/>
        <v>0</v>
      </c>
      <c r="I357" s="99">
        <f t="shared" si="66"/>
        <v>0</v>
      </c>
      <c r="J357" s="99">
        <f t="shared" si="67"/>
        <v>0</v>
      </c>
      <c r="K357" s="113">
        <f t="shared" si="68"/>
        <v>2024</v>
      </c>
      <c r="L357" s="113">
        <f t="shared" si="69"/>
        <v>12</v>
      </c>
      <c r="M357" s="115">
        <f t="array" ref="M357">MIN(IF(Consolidado!$A$6:$A$1000='TOTALES DIARIOS'!A357,IF(Consolidado!$C$6:$C$1000&gt;TIMEVALUE("07:00"),Consolidado!$C$6:$C$1000,1)))</f>
        <v>0</v>
      </c>
      <c r="N357" s="115">
        <f t="array" ref="N357">MIN(IF(Consolidado!$A$6:$A$1000='TOTALES DIARIOS'!A357,IF(Consolidado!$C$6:$C$1000&lt;=M357,Consolidado!$C$6:$C$1000,1)))</f>
        <v>0</v>
      </c>
      <c r="O357" s="115">
        <f t="array" ref="O357">MAX(IF(Consolidado!$A$6:$A$1000='TOTALES DIARIOS'!A357,IF(Consolidado!$D$6:$D$1000&gt;=M357,Consolidado!$D$6:$D$1000,0)))</f>
        <v>0</v>
      </c>
      <c r="P357" s="118">
        <f t="array" ref="P357">MAX(IF(Consolidado!$A$6:$A$1000='TOTALES DIARIOS'!A357,IF(Consolidado!$D$6:$D$1000&lt;=M357,Consolidado!$D$6:$D$1000,0)))</f>
        <v>0</v>
      </c>
      <c r="Q357" s="117">
        <f t="shared" si="73"/>
        <v>0</v>
      </c>
      <c r="R357" s="117">
        <f t="shared" si="72"/>
        <v>0</v>
      </c>
      <c r="S357" s="104" t="str">
        <f t="shared" si="70"/>
        <v>NO</v>
      </c>
    </row>
    <row r="358" spans="1:19" x14ac:dyDescent="0.25">
      <c r="A358" s="221">
        <f t="shared" si="71"/>
        <v>45646</v>
      </c>
      <c r="B358" s="130" t="str">
        <f t="shared" si="62"/>
        <v/>
      </c>
      <c r="C358" s="217">
        <f t="shared" si="63"/>
        <v>0</v>
      </c>
      <c r="D358" s="217">
        <f t="shared" si="64"/>
        <v>0</v>
      </c>
      <c r="E358" s="218">
        <f>SUMIF(Consolidado!$A$6:$A$380,'TOTALES DIARIOS'!A358,Consolidado!$E$6:$E$380)</f>
        <v>0</v>
      </c>
      <c r="F358" s="218">
        <f>SUMIF(Consolidado!$A$6:$A$380,'TOTALES DIARIOS'!A358,Consolidado!$F$6:$F$380)</f>
        <v>0</v>
      </c>
      <c r="G358" s="218">
        <f>SUMIF(Consolidado!$A$6:$A$380,'TOTALES DIARIOS'!A358,Consolidado!$G$6:$G$380)</f>
        <v>0</v>
      </c>
      <c r="H358" s="219">
        <f t="shared" si="65"/>
        <v>0</v>
      </c>
      <c r="I358" s="99">
        <f t="shared" si="66"/>
        <v>0</v>
      </c>
      <c r="J358" s="99">
        <f t="shared" si="67"/>
        <v>0</v>
      </c>
      <c r="K358" s="113">
        <f t="shared" si="68"/>
        <v>2024</v>
      </c>
      <c r="L358" s="113">
        <f t="shared" si="69"/>
        <v>12</v>
      </c>
      <c r="M358" s="115">
        <f t="array" ref="M358">MIN(IF(Consolidado!$A$6:$A$1000='TOTALES DIARIOS'!A358,IF(Consolidado!$C$6:$C$1000&gt;TIMEVALUE("07:00"),Consolidado!$C$6:$C$1000,1)))</f>
        <v>0</v>
      </c>
      <c r="N358" s="115">
        <f t="array" ref="N358">MIN(IF(Consolidado!$A$6:$A$1000='TOTALES DIARIOS'!A358,IF(Consolidado!$C$6:$C$1000&lt;=M358,Consolidado!$C$6:$C$1000,1)))</f>
        <v>0</v>
      </c>
      <c r="O358" s="115">
        <f t="array" ref="O358">MAX(IF(Consolidado!$A$6:$A$1000='TOTALES DIARIOS'!A358,IF(Consolidado!$D$6:$D$1000&gt;=M358,Consolidado!$D$6:$D$1000,0)))</f>
        <v>0</v>
      </c>
      <c r="P358" s="118">
        <f t="array" ref="P358">MAX(IF(Consolidado!$A$6:$A$1000='TOTALES DIARIOS'!A358,IF(Consolidado!$D$6:$D$1000&lt;=M358,Consolidado!$D$6:$D$1000,0)))</f>
        <v>0</v>
      </c>
      <c r="Q358" s="117">
        <f t="shared" si="73"/>
        <v>0</v>
      </c>
      <c r="R358" s="117">
        <f t="shared" si="72"/>
        <v>0</v>
      </c>
      <c r="S358" s="104" t="str">
        <f t="shared" si="70"/>
        <v>NO</v>
      </c>
    </row>
    <row r="359" spans="1:19" x14ac:dyDescent="0.25">
      <c r="A359" s="221">
        <f t="shared" si="71"/>
        <v>45647</v>
      </c>
      <c r="B359" s="130" t="str">
        <f t="shared" si="62"/>
        <v/>
      </c>
      <c r="C359" s="217">
        <f t="shared" si="63"/>
        <v>0</v>
      </c>
      <c r="D359" s="217">
        <f t="shared" si="64"/>
        <v>0</v>
      </c>
      <c r="E359" s="218">
        <f>SUMIF(Consolidado!$A$6:$A$380,'TOTALES DIARIOS'!A359,Consolidado!$E$6:$E$380)</f>
        <v>0</v>
      </c>
      <c r="F359" s="218">
        <f>SUMIF(Consolidado!$A$6:$A$380,'TOTALES DIARIOS'!A359,Consolidado!$F$6:$F$380)</f>
        <v>0</v>
      </c>
      <c r="G359" s="218">
        <f>SUMIF(Consolidado!$A$6:$A$380,'TOTALES DIARIOS'!A359,Consolidado!$G$6:$G$380)</f>
        <v>0</v>
      </c>
      <c r="H359" s="219">
        <f t="shared" si="65"/>
        <v>0</v>
      </c>
      <c r="I359" s="99">
        <f t="shared" si="66"/>
        <v>0</v>
      </c>
      <c r="J359" s="99">
        <f t="shared" si="67"/>
        <v>0</v>
      </c>
      <c r="K359" s="113">
        <f t="shared" si="68"/>
        <v>2024</v>
      </c>
      <c r="L359" s="113">
        <f t="shared" si="69"/>
        <v>12</v>
      </c>
      <c r="M359" s="115">
        <f t="array" ref="M359">MIN(IF(Consolidado!$A$6:$A$1000='TOTALES DIARIOS'!A359,IF(Consolidado!$C$6:$C$1000&gt;TIMEVALUE("07:00"),Consolidado!$C$6:$C$1000,1)))</f>
        <v>0</v>
      </c>
      <c r="N359" s="115">
        <f t="array" ref="N359">MIN(IF(Consolidado!$A$6:$A$1000='TOTALES DIARIOS'!A359,IF(Consolidado!$C$6:$C$1000&lt;=M359,Consolidado!$C$6:$C$1000,1)))</f>
        <v>0</v>
      </c>
      <c r="O359" s="115">
        <f t="array" ref="O359">MAX(IF(Consolidado!$A$6:$A$1000='TOTALES DIARIOS'!A359,IF(Consolidado!$D$6:$D$1000&gt;=M359,Consolidado!$D$6:$D$1000,0)))</f>
        <v>0</v>
      </c>
      <c r="P359" s="118">
        <f t="array" ref="P359">MAX(IF(Consolidado!$A$6:$A$1000='TOTALES DIARIOS'!A359,IF(Consolidado!$D$6:$D$1000&lt;=M359,Consolidado!$D$6:$D$1000,0)))</f>
        <v>0</v>
      </c>
      <c r="Q359" s="117">
        <f t="shared" si="73"/>
        <v>0</v>
      </c>
      <c r="R359" s="117">
        <f t="shared" si="72"/>
        <v>0</v>
      </c>
      <c r="S359" s="104" t="str">
        <f t="shared" si="70"/>
        <v>NO</v>
      </c>
    </row>
    <row r="360" spans="1:19" x14ac:dyDescent="0.25">
      <c r="A360" s="221">
        <f t="shared" si="71"/>
        <v>45648</v>
      </c>
      <c r="B360" s="130" t="str">
        <f t="shared" si="62"/>
        <v/>
      </c>
      <c r="C360" s="217">
        <f t="shared" si="63"/>
        <v>0</v>
      </c>
      <c r="D360" s="217">
        <f t="shared" si="64"/>
        <v>0</v>
      </c>
      <c r="E360" s="218">
        <f>SUMIF(Consolidado!$A$6:$A$380,'TOTALES DIARIOS'!A360,Consolidado!$E$6:$E$380)</f>
        <v>0</v>
      </c>
      <c r="F360" s="218">
        <f>SUMIF(Consolidado!$A$6:$A$380,'TOTALES DIARIOS'!A360,Consolidado!$F$6:$F$380)</f>
        <v>0</v>
      </c>
      <c r="G360" s="218">
        <f>SUMIF(Consolidado!$A$6:$A$380,'TOTALES DIARIOS'!A360,Consolidado!$G$6:$G$380)</f>
        <v>0</v>
      </c>
      <c r="H360" s="219">
        <f t="shared" si="65"/>
        <v>0</v>
      </c>
      <c r="I360" s="99">
        <f t="shared" si="66"/>
        <v>0</v>
      </c>
      <c r="J360" s="99">
        <f t="shared" si="67"/>
        <v>0</v>
      </c>
      <c r="K360" s="113">
        <f t="shared" si="68"/>
        <v>2024</v>
      </c>
      <c r="L360" s="113">
        <f t="shared" si="69"/>
        <v>12</v>
      </c>
      <c r="M360" s="115">
        <f t="array" ref="M360">MIN(IF(Consolidado!$A$6:$A$1000='TOTALES DIARIOS'!A360,IF(Consolidado!$C$6:$C$1000&gt;TIMEVALUE("07:00"),Consolidado!$C$6:$C$1000,1)))</f>
        <v>0</v>
      </c>
      <c r="N360" s="115">
        <f t="array" ref="N360">MIN(IF(Consolidado!$A$6:$A$1000='TOTALES DIARIOS'!A360,IF(Consolidado!$C$6:$C$1000&lt;=M360,Consolidado!$C$6:$C$1000,1)))</f>
        <v>0</v>
      </c>
      <c r="O360" s="115">
        <f t="array" ref="O360">MAX(IF(Consolidado!$A$6:$A$1000='TOTALES DIARIOS'!A360,IF(Consolidado!$D$6:$D$1000&gt;=M360,Consolidado!$D$6:$D$1000,0)))</f>
        <v>0</v>
      </c>
      <c r="P360" s="118">
        <f t="array" ref="P360">MAX(IF(Consolidado!$A$6:$A$1000='TOTALES DIARIOS'!A360,IF(Consolidado!$D$6:$D$1000&lt;=M360,Consolidado!$D$6:$D$1000,0)))</f>
        <v>0</v>
      </c>
      <c r="Q360" s="117">
        <f t="shared" si="73"/>
        <v>0</v>
      </c>
      <c r="R360" s="117">
        <f t="shared" si="72"/>
        <v>0</v>
      </c>
      <c r="S360" s="104" t="str">
        <f t="shared" si="70"/>
        <v>NO</v>
      </c>
    </row>
    <row r="361" spans="1:19" x14ac:dyDescent="0.25">
      <c r="A361" s="221">
        <f t="shared" si="71"/>
        <v>45649</v>
      </c>
      <c r="B361" s="130" t="str">
        <f t="shared" si="62"/>
        <v/>
      </c>
      <c r="C361" s="217">
        <f t="shared" si="63"/>
        <v>0</v>
      </c>
      <c r="D361" s="217">
        <f t="shared" si="64"/>
        <v>0</v>
      </c>
      <c r="E361" s="218">
        <f>SUMIF(Consolidado!$A$6:$A$380,'TOTALES DIARIOS'!A361,Consolidado!$E$6:$E$380)</f>
        <v>0</v>
      </c>
      <c r="F361" s="218">
        <f>SUMIF(Consolidado!$A$6:$A$380,'TOTALES DIARIOS'!A361,Consolidado!$F$6:$F$380)</f>
        <v>0</v>
      </c>
      <c r="G361" s="218">
        <f>SUMIF(Consolidado!$A$6:$A$380,'TOTALES DIARIOS'!A361,Consolidado!$G$6:$G$380)</f>
        <v>0</v>
      </c>
      <c r="H361" s="219">
        <f t="shared" si="65"/>
        <v>0</v>
      </c>
      <c r="I361" s="99">
        <f t="shared" si="66"/>
        <v>0</v>
      </c>
      <c r="J361" s="99">
        <f t="shared" si="67"/>
        <v>0</v>
      </c>
      <c r="K361" s="113">
        <f t="shared" si="68"/>
        <v>2024</v>
      </c>
      <c r="L361" s="113">
        <f t="shared" si="69"/>
        <v>12</v>
      </c>
      <c r="M361" s="115">
        <f t="array" ref="M361">MIN(IF(Consolidado!$A$6:$A$1000='TOTALES DIARIOS'!A361,IF(Consolidado!$C$6:$C$1000&gt;TIMEVALUE("07:00"),Consolidado!$C$6:$C$1000,1)))</f>
        <v>0</v>
      </c>
      <c r="N361" s="115">
        <f t="array" ref="N361">MIN(IF(Consolidado!$A$6:$A$1000='TOTALES DIARIOS'!A361,IF(Consolidado!$C$6:$C$1000&lt;=M361,Consolidado!$C$6:$C$1000,1)))</f>
        <v>0</v>
      </c>
      <c r="O361" s="115">
        <f t="array" ref="O361">MAX(IF(Consolidado!$A$6:$A$1000='TOTALES DIARIOS'!A361,IF(Consolidado!$D$6:$D$1000&gt;=M361,Consolidado!$D$6:$D$1000,0)))</f>
        <v>0</v>
      </c>
      <c r="P361" s="118">
        <f t="array" ref="P361">MAX(IF(Consolidado!$A$6:$A$1000='TOTALES DIARIOS'!A361,IF(Consolidado!$D$6:$D$1000&lt;=M361,Consolidado!$D$6:$D$1000,0)))</f>
        <v>0</v>
      </c>
      <c r="Q361" s="117">
        <f t="shared" si="73"/>
        <v>0</v>
      </c>
      <c r="R361" s="117">
        <f t="shared" si="72"/>
        <v>0</v>
      </c>
      <c r="S361" s="104" t="str">
        <f t="shared" si="70"/>
        <v>NO</v>
      </c>
    </row>
    <row r="362" spans="1:19" x14ac:dyDescent="0.25">
      <c r="A362" s="221">
        <f t="shared" si="71"/>
        <v>45650</v>
      </c>
      <c r="B362" s="130" t="str">
        <f t="shared" si="62"/>
        <v/>
      </c>
      <c r="C362" s="217">
        <f t="shared" si="63"/>
        <v>0</v>
      </c>
      <c r="D362" s="217">
        <f t="shared" si="64"/>
        <v>0</v>
      </c>
      <c r="E362" s="218">
        <f>SUMIF(Consolidado!$A$6:$A$380,'TOTALES DIARIOS'!A362,Consolidado!$E$6:$E$380)</f>
        <v>0</v>
      </c>
      <c r="F362" s="218">
        <f>SUMIF(Consolidado!$A$6:$A$380,'TOTALES DIARIOS'!A362,Consolidado!$F$6:$F$380)</f>
        <v>0</v>
      </c>
      <c r="G362" s="218">
        <f>SUMIF(Consolidado!$A$6:$A$380,'TOTALES DIARIOS'!A362,Consolidado!$G$6:$G$380)</f>
        <v>0</v>
      </c>
      <c r="H362" s="219">
        <f t="shared" si="65"/>
        <v>0</v>
      </c>
      <c r="I362" s="99">
        <f t="shared" si="66"/>
        <v>0</v>
      </c>
      <c r="J362" s="99">
        <f t="shared" si="67"/>
        <v>0</v>
      </c>
      <c r="K362" s="113">
        <f t="shared" si="68"/>
        <v>2024</v>
      </c>
      <c r="L362" s="113">
        <f t="shared" si="69"/>
        <v>12</v>
      </c>
      <c r="M362" s="115">
        <f t="array" ref="M362">MIN(IF(Consolidado!$A$6:$A$1000='TOTALES DIARIOS'!A362,IF(Consolidado!$C$6:$C$1000&gt;TIMEVALUE("07:00"),Consolidado!$C$6:$C$1000,1)))</f>
        <v>0</v>
      </c>
      <c r="N362" s="115">
        <f t="array" ref="N362">MIN(IF(Consolidado!$A$6:$A$1000='TOTALES DIARIOS'!A362,IF(Consolidado!$C$6:$C$1000&lt;=M362,Consolidado!$C$6:$C$1000,1)))</f>
        <v>0</v>
      </c>
      <c r="O362" s="115">
        <f t="array" ref="O362">MAX(IF(Consolidado!$A$6:$A$1000='TOTALES DIARIOS'!A362,IF(Consolidado!$D$6:$D$1000&gt;=M362,Consolidado!$D$6:$D$1000,0)))</f>
        <v>0</v>
      </c>
      <c r="P362" s="118">
        <f t="array" ref="P362">MAX(IF(Consolidado!$A$6:$A$1000='TOTALES DIARIOS'!A362,IF(Consolidado!$D$6:$D$1000&lt;=M362,Consolidado!$D$6:$D$1000,0)))</f>
        <v>0</v>
      </c>
      <c r="Q362" s="117">
        <f t="shared" si="73"/>
        <v>0</v>
      </c>
      <c r="R362" s="117">
        <f t="shared" si="72"/>
        <v>0</v>
      </c>
      <c r="S362" s="104" t="str">
        <f t="shared" si="70"/>
        <v>NO</v>
      </c>
    </row>
    <row r="363" spans="1:19" x14ac:dyDescent="0.25">
      <c r="A363" s="221">
        <f t="shared" si="71"/>
        <v>45651</v>
      </c>
      <c r="B363" s="130" t="str">
        <f t="shared" si="62"/>
        <v/>
      </c>
      <c r="C363" s="217">
        <f t="shared" si="63"/>
        <v>0</v>
      </c>
      <c r="D363" s="217">
        <f t="shared" si="64"/>
        <v>0</v>
      </c>
      <c r="E363" s="218">
        <f>SUMIF(Consolidado!$A$6:$A$380,'TOTALES DIARIOS'!A363,Consolidado!$E$6:$E$380)</f>
        <v>0</v>
      </c>
      <c r="F363" s="218">
        <f>SUMIF(Consolidado!$A$6:$A$380,'TOTALES DIARIOS'!A363,Consolidado!$F$6:$F$380)</f>
        <v>0</v>
      </c>
      <c r="G363" s="218">
        <f>SUMIF(Consolidado!$A$6:$A$380,'TOTALES DIARIOS'!A363,Consolidado!$G$6:$G$380)</f>
        <v>0</v>
      </c>
      <c r="H363" s="219">
        <f t="shared" si="65"/>
        <v>0</v>
      </c>
      <c r="I363" s="99">
        <f t="shared" si="66"/>
        <v>0</v>
      </c>
      <c r="J363" s="99">
        <f t="shared" si="67"/>
        <v>0</v>
      </c>
      <c r="K363" s="113">
        <f t="shared" si="68"/>
        <v>2024</v>
      </c>
      <c r="L363" s="113">
        <f t="shared" si="69"/>
        <v>12</v>
      </c>
      <c r="M363" s="115">
        <f t="array" ref="M363">MIN(IF(Consolidado!$A$6:$A$1000='TOTALES DIARIOS'!A363,IF(Consolidado!$C$6:$C$1000&gt;TIMEVALUE("07:00"),Consolidado!$C$6:$C$1000,1)))</f>
        <v>0</v>
      </c>
      <c r="N363" s="115">
        <f t="array" ref="N363">MIN(IF(Consolidado!$A$6:$A$1000='TOTALES DIARIOS'!A363,IF(Consolidado!$C$6:$C$1000&lt;=M363,Consolidado!$C$6:$C$1000,1)))</f>
        <v>0</v>
      </c>
      <c r="O363" s="115">
        <f t="array" ref="O363">MAX(IF(Consolidado!$A$6:$A$1000='TOTALES DIARIOS'!A363,IF(Consolidado!$D$6:$D$1000&gt;=M363,Consolidado!$D$6:$D$1000,0)))</f>
        <v>0</v>
      </c>
      <c r="P363" s="118">
        <f t="array" ref="P363">MAX(IF(Consolidado!$A$6:$A$1000='TOTALES DIARIOS'!A363,IF(Consolidado!$D$6:$D$1000&lt;=M363,Consolidado!$D$6:$D$1000,0)))</f>
        <v>0</v>
      </c>
      <c r="Q363" s="117">
        <f t="shared" si="73"/>
        <v>0</v>
      </c>
      <c r="R363" s="117">
        <f t="shared" si="72"/>
        <v>0</v>
      </c>
      <c r="S363" s="104" t="str">
        <f t="shared" si="70"/>
        <v>NO</v>
      </c>
    </row>
    <row r="364" spans="1:19" x14ac:dyDescent="0.25">
      <c r="A364" s="221">
        <f t="shared" si="71"/>
        <v>45652</v>
      </c>
      <c r="B364" s="130" t="str">
        <f t="shared" si="62"/>
        <v/>
      </c>
      <c r="C364" s="217">
        <f t="shared" si="63"/>
        <v>0</v>
      </c>
      <c r="D364" s="217">
        <f t="shared" si="64"/>
        <v>0</v>
      </c>
      <c r="E364" s="218">
        <f>SUMIF(Consolidado!$A$6:$A$380,'TOTALES DIARIOS'!A364,Consolidado!$E$6:$E$380)</f>
        <v>0</v>
      </c>
      <c r="F364" s="218">
        <f>SUMIF(Consolidado!$A$6:$A$380,'TOTALES DIARIOS'!A364,Consolidado!$F$6:$F$380)</f>
        <v>0</v>
      </c>
      <c r="G364" s="218">
        <f>SUMIF(Consolidado!$A$6:$A$380,'TOTALES DIARIOS'!A364,Consolidado!$G$6:$G$380)</f>
        <v>0</v>
      </c>
      <c r="H364" s="219">
        <f t="shared" si="65"/>
        <v>0</v>
      </c>
      <c r="I364" s="99">
        <f t="shared" si="66"/>
        <v>0</v>
      </c>
      <c r="J364" s="99">
        <f t="shared" si="67"/>
        <v>0</v>
      </c>
      <c r="K364" s="113">
        <f t="shared" si="68"/>
        <v>2024</v>
      </c>
      <c r="L364" s="113">
        <f t="shared" si="69"/>
        <v>12</v>
      </c>
      <c r="M364" s="115">
        <f t="array" ref="M364">MIN(IF(Consolidado!$A$6:$A$1000='TOTALES DIARIOS'!A364,IF(Consolidado!$C$6:$C$1000&gt;TIMEVALUE("07:00"),Consolidado!$C$6:$C$1000,1)))</f>
        <v>0</v>
      </c>
      <c r="N364" s="115">
        <f t="array" ref="N364">MIN(IF(Consolidado!$A$6:$A$1000='TOTALES DIARIOS'!A364,IF(Consolidado!$C$6:$C$1000&lt;=M364,Consolidado!$C$6:$C$1000,1)))</f>
        <v>0</v>
      </c>
      <c r="O364" s="115">
        <f t="array" ref="O364">MAX(IF(Consolidado!$A$6:$A$1000='TOTALES DIARIOS'!A364,IF(Consolidado!$D$6:$D$1000&gt;=M364,Consolidado!$D$6:$D$1000,0)))</f>
        <v>0</v>
      </c>
      <c r="P364" s="118">
        <f t="array" ref="P364">MAX(IF(Consolidado!$A$6:$A$1000='TOTALES DIARIOS'!A364,IF(Consolidado!$D$6:$D$1000&lt;=M364,Consolidado!$D$6:$D$1000,0)))</f>
        <v>0</v>
      </c>
      <c r="Q364" s="117">
        <f t="shared" si="73"/>
        <v>0</v>
      </c>
      <c r="R364" s="117">
        <f t="shared" si="72"/>
        <v>0</v>
      </c>
      <c r="S364" s="104" t="str">
        <f t="shared" si="70"/>
        <v>NO</v>
      </c>
    </row>
    <row r="365" spans="1:19" x14ac:dyDescent="0.25">
      <c r="A365" s="221">
        <f t="shared" si="71"/>
        <v>45653</v>
      </c>
      <c r="B365" s="130" t="str">
        <f t="shared" si="62"/>
        <v/>
      </c>
      <c r="C365" s="217">
        <f t="shared" si="63"/>
        <v>0</v>
      </c>
      <c r="D365" s="217">
        <f t="shared" si="64"/>
        <v>0</v>
      </c>
      <c r="E365" s="218">
        <f>SUMIF(Consolidado!$A$6:$A$380,'TOTALES DIARIOS'!A365,Consolidado!$E$6:$E$380)</f>
        <v>0</v>
      </c>
      <c r="F365" s="218">
        <f>SUMIF(Consolidado!$A$6:$A$380,'TOTALES DIARIOS'!A365,Consolidado!$F$6:$F$380)</f>
        <v>0</v>
      </c>
      <c r="G365" s="218">
        <f>SUMIF(Consolidado!$A$6:$A$380,'TOTALES DIARIOS'!A365,Consolidado!$G$6:$G$380)</f>
        <v>0</v>
      </c>
      <c r="H365" s="219">
        <f t="shared" si="65"/>
        <v>0</v>
      </c>
      <c r="I365" s="99">
        <f t="shared" si="66"/>
        <v>0</v>
      </c>
      <c r="J365" s="99">
        <f t="shared" si="67"/>
        <v>0</v>
      </c>
      <c r="K365" s="113">
        <f t="shared" si="68"/>
        <v>2024</v>
      </c>
      <c r="L365" s="113">
        <f t="shared" si="69"/>
        <v>12</v>
      </c>
      <c r="M365" s="115">
        <f t="array" ref="M365">MIN(IF(Consolidado!$A$6:$A$1000='TOTALES DIARIOS'!A365,IF(Consolidado!$C$6:$C$1000&gt;TIMEVALUE("07:00"),Consolidado!$C$6:$C$1000,1)))</f>
        <v>0</v>
      </c>
      <c r="N365" s="115">
        <f t="array" ref="N365">MIN(IF(Consolidado!$A$6:$A$1000='TOTALES DIARIOS'!A365,IF(Consolidado!$C$6:$C$1000&lt;=M365,Consolidado!$C$6:$C$1000,1)))</f>
        <v>0</v>
      </c>
      <c r="O365" s="115">
        <f t="array" ref="O365">MAX(IF(Consolidado!$A$6:$A$1000='TOTALES DIARIOS'!A365,IF(Consolidado!$D$6:$D$1000&gt;=M365,Consolidado!$D$6:$D$1000,0)))</f>
        <v>0</v>
      </c>
      <c r="P365" s="118">
        <f t="array" ref="P365">MAX(IF(Consolidado!$A$6:$A$1000='TOTALES DIARIOS'!A365,IF(Consolidado!$D$6:$D$1000&lt;=M365,Consolidado!$D$6:$D$1000,0)))</f>
        <v>0</v>
      </c>
      <c r="Q365" s="117">
        <f t="shared" si="73"/>
        <v>0</v>
      </c>
      <c r="R365" s="117">
        <f t="shared" si="72"/>
        <v>0</v>
      </c>
      <c r="S365" s="104" t="str">
        <f t="shared" si="70"/>
        <v>NO</v>
      </c>
    </row>
    <row r="366" spans="1:19" x14ac:dyDescent="0.25">
      <c r="A366" s="221">
        <f t="shared" si="71"/>
        <v>45654</v>
      </c>
      <c r="B366" s="130" t="str">
        <f t="shared" si="62"/>
        <v/>
      </c>
      <c r="C366" s="217">
        <f t="shared" si="63"/>
        <v>0</v>
      </c>
      <c r="D366" s="217">
        <f t="shared" si="64"/>
        <v>0</v>
      </c>
      <c r="E366" s="218">
        <f>SUMIF(Consolidado!$A$6:$A$380,'TOTALES DIARIOS'!A366,Consolidado!$E$6:$E$380)</f>
        <v>0</v>
      </c>
      <c r="F366" s="218">
        <f>SUMIF(Consolidado!$A$6:$A$380,'TOTALES DIARIOS'!A366,Consolidado!$F$6:$F$380)</f>
        <v>0</v>
      </c>
      <c r="G366" s="218">
        <f>SUMIF(Consolidado!$A$6:$A$380,'TOTALES DIARIOS'!A366,Consolidado!$G$6:$G$380)</f>
        <v>0</v>
      </c>
      <c r="H366" s="219">
        <f t="shared" si="65"/>
        <v>0</v>
      </c>
      <c r="I366" s="99">
        <f t="shared" si="66"/>
        <v>0</v>
      </c>
      <c r="J366" s="99">
        <f t="shared" si="67"/>
        <v>0</v>
      </c>
      <c r="K366" s="113">
        <f t="shared" si="68"/>
        <v>2024</v>
      </c>
      <c r="L366" s="113">
        <f t="shared" si="69"/>
        <v>12</v>
      </c>
      <c r="M366" s="115">
        <f t="array" ref="M366">MIN(IF(Consolidado!$A$6:$A$1000='TOTALES DIARIOS'!A366,IF(Consolidado!$C$6:$C$1000&gt;TIMEVALUE("07:00"),Consolidado!$C$6:$C$1000,1)))</f>
        <v>0</v>
      </c>
      <c r="N366" s="115">
        <f t="array" ref="N366">MIN(IF(Consolidado!$A$6:$A$1000='TOTALES DIARIOS'!A366,IF(Consolidado!$C$6:$C$1000&lt;=M366,Consolidado!$C$6:$C$1000,1)))</f>
        <v>0</v>
      </c>
      <c r="O366" s="115">
        <f t="array" ref="O366">MAX(IF(Consolidado!$A$6:$A$1000='TOTALES DIARIOS'!A366,IF(Consolidado!$D$6:$D$1000&gt;=M366,Consolidado!$D$6:$D$1000,0)))</f>
        <v>0</v>
      </c>
      <c r="P366" s="118">
        <f t="array" ref="P366">MAX(IF(Consolidado!$A$6:$A$1000='TOTALES DIARIOS'!A366,IF(Consolidado!$D$6:$D$1000&lt;=M366,Consolidado!$D$6:$D$1000,0)))</f>
        <v>0</v>
      </c>
      <c r="Q366" s="117">
        <f t="shared" si="73"/>
        <v>0</v>
      </c>
      <c r="R366" s="117">
        <f t="shared" si="72"/>
        <v>0</v>
      </c>
      <c r="S366" s="104" t="str">
        <f t="shared" si="70"/>
        <v>NO</v>
      </c>
    </row>
    <row r="367" spans="1:19" x14ac:dyDescent="0.25">
      <c r="A367" s="221">
        <f t="shared" si="71"/>
        <v>45655</v>
      </c>
      <c r="B367" s="130" t="str">
        <f t="shared" si="62"/>
        <v/>
      </c>
      <c r="C367" s="217">
        <f t="shared" si="63"/>
        <v>0</v>
      </c>
      <c r="D367" s="217">
        <f t="shared" si="64"/>
        <v>0</v>
      </c>
      <c r="E367" s="218">
        <f>SUMIF(Consolidado!$A$6:$A$380,'TOTALES DIARIOS'!A367,Consolidado!$E$6:$E$380)</f>
        <v>0</v>
      </c>
      <c r="F367" s="218">
        <f>SUMIF(Consolidado!$A$6:$A$380,'TOTALES DIARIOS'!A367,Consolidado!$F$6:$F$380)</f>
        <v>0</v>
      </c>
      <c r="G367" s="218">
        <f>SUMIF(Consolidado!$A$6:$A$380,'TOTALES DIARIOS'!A367,Consolidado!$G$6:$G$380)</f>
        <v>0</v>
      </c>
      <c r="H367" s="219">
        <f t="shared" si="65"/>
        <v>0</v>
      </c>
      <c r="I367" s="99">
        <f t="shared" si="66"/>
        <v>0</v>
      </c>
      <c r="J367" s="99">
        <f t="shared" si="67"/>
        <v>0</v>
      </c>
      <c r="K367" s="113">
        <f t="shared" si="68"/>
        <v>2024</v>
      </c>
      <c r="L367" s="113">
        <f t="shared" si="69"/>
        <v>12</v>
      </c>
      <c r="M367" s="115">
        <f t="array" ref="M367">MIN(IF(Consolidado!$A$6:$A$1000='TOTALES DIARIOS'!A367,IF(Consolidado!$C$6:$C$1000&gt;TIMEVALUE("07:00"),Consolidado!$C$6:$C$1000,1)))</f>
        <v>0</v>
      </c>
      <c r="N367" s="115">
        <f t="array" ref="N367">MIN(IF(Consolidado!$A$6:$A$1000='TOTALES DIARIOS'!A367,IF(Consolidado!$C$6:$C$1000&lt;=M367,Consolidado!$C$6:$C$1000,1)))</f>
        <v>0</v>
      </c>
      <c r="O367" s="115">
        <f t="array" ref="O367">MAX(IF(Consolidado!$A$6:$A$1000='TOTALES DIARIOS'!A367,IF(Consolidado!$D$6:$D$1000&gt;=M367,Consolidado!$D$6:$D$1000,0)))</f>
        <v>0</v>
      </c>
      <c r="P367" s="118">
        <f t="array" ref="P367">MAX(IF(Consolidado!$A$6:$A$1000='TOTALES DIARIOS'!A367,IF(Consolidado!$D$6:$D$1000&lt;=M367,Consolidado!$D$6:$D$1000,0)))</f>
        <v>0</v>
      </c>
      <c r="Q367" s="117">
        <f t="shared" si="73"/>
        <v>0</v>
      </c>
      <c r="R367" s="117">
        <f t="shared" si="72"/>
        <v>0</v>
      </c>
      <c r="S367" s="104" t="str">
        <f t="shared" si="70"/>
        <v>NO</v>
      </c>
    </row>
    <row r="368" spans="1:19" x14ac:dyDescent="0.25">
      <c r="A368" s="221">
        <f t="shared" si="71"/>
        <v>45656</v>
      </c>
      <c r="B368" s="130" t="str">
        <f t="shared" si="62"/>
        <v/>
      </c>
      <c r="C368" s="217">
        <f t="shared" si="63"/>
        <v>0</v>
      </c>
      <c r="D368" s="217">
        <f t="shared" si="64"/>
        <v>0</v>
      </c>
      <c r="E368" s="218">
        <f>SUMIF(Consolidado!$A$6:$A$380,'TOTALES DIARIOS'!A368,Consolidado!$E$6:$E$380)</f>
        <v>0</v>
      </c>
      <c r="F368" s="218">
        <f>SUMIF(Consolidado!$A$6:$A$380,'TOTALES DIARIOS'!A368,Consolidado!$F$6:$F$380)</f>
        <v>0</v>
      </c>
      <c r="G368" s="218">
        <f>SUMIF(Consolidado!$A$6:$A$380,'TOTALES DIARIOS'!A368,Consolidado!$G$6:$G$380)</f>
        <v>0</v>
      </c>
      <c r="H368" s="219">
        <f t="shared" si="65"/>
        <v>0</v>
      </c>
      <c r="I368" s="99">
        <f t="shared" si="66"/>
        <v>0</v>
      </c>
      <c r="J368" s="99">
        <f t="shared" si="67"/>
        <v>0</v>
      </c>
      <c r="K368" s="113">
        <f t="shared" si="68"/>
        <v>2024</v>
      </c>
      <c r="L368" s="113">
        <f t="shared" si="69"/>
        <v>12</v>
      </c>
      <c r="M368" s="115">
        <f t="array" ref="M368">MIN(IF(Consolidado!$A$6:$A$1000='TOTALES DIARIOS'!A368,IF(Consolidado!$C$6:$C$1000&gt;TIMEVALUE("07:00"),Consolidado!$C$6:$C$1000,1)))</f>
        <v>0</v>
      </c>
      <c r="N368" s="115">
        <f t="array" ref="N368">MIN(IF(Consolidado!$A$6:$A$1000='TOTALES DIARIOS'!A368,IF(Consolidado!$C$6:$C$1000&lt;=M368,Consolidado!$C$6:$C$1000,1)))</f>
        <v>0</v>
      </c>
      <c r="O368" s="115">
        <f t="array" ref="O368">MAX(IF(Consolidado!$A$6:$A$1000='TOTALES DIARIOS'!A368,IF(Consolidado!$D$6:$D$1000&gt;=M368,Consolidado!$D$6:$D$1000,0)))</f>
        <v>0</v>
      </c>
      <c r="P368" s="118">
        <f t="array" ref="P368">MAX(IF(Consolidado!$A$6:$A$1000='TOTALES DIARIOS'!A368,IF(Consolidado!$D$6:$D$1000&lt;=M368,Consolidado!$D$6:$D$1000,0)))</f>
        <v>0</v>
      </c>
      <c r="Q368" s="117">
        <f t="shared" si="73"/>
        <v>0</v>
      </c>
      <c r="R368" s="117">
        <f t="shared" si="72"/>
        <v>0</v>
      </c>
      <c r="S368" s="104" t="str">
        <f t="shared" si="70"/>
        <v>NO</v>
      </c>
    </row>
    <row r="369" spans="1:19" x14ac:dyDescent="0.25">
      <c r="A369" s="221">
        <f t="shared" si="71"/>
        <v>45657</v>
      </c>
      <c r="B369" s="130" t="str">
        <f t="shared" si="62"/>
        <v/>
      </c>
      <c r="C369" s="217">
        <f t="shared" si="63"/>
        <v>0</v>
      </c>
      <c r="D369" s="217">
        <f t="shared" si="64"/>
        <v>0</v>
      </c>
      <c r="E369" s="218">
        <f>SUMIF(Consolidado!$A$6:$A$380,'TOTALES DIARIOS'!A369,Consolidado!$E$6:$E$380)</f>
        <v>0</v>
      </c>
      <c r="F369" s="218">
        <f>SUMIF(Consolidado!$A$6:$A$380,'TOTALES DIARIOS'!A369,Consolidado!$F$6:$F$380)</f>
        <v>0</v>
      </c>
      <c r="G369" s="218">
        <f>SUMIF(Consolidado!$A$6:$A$380,'TOTALES DIARIOS'!A369,Consolidado!$G$6:$G$380)</f>
        <v>0</v>
      </c>
      <c r="H369" s="219">
        <f t="shared" si="65"/>
        <v>0</v>
      </c>
      <c r="I369" s="99">
        <f t="shared" si="66"/>
        <v>0</v>
      </c>
      <c r="J369" s="99">
        <f t="shared" si="67"/>
        <v>0</v>
      </c>
      <c r="K369" s="113">
        <f t="shared" si="68"/>
        <v>2024</v>
      </c>
      <c r="L369" s="113">
        <f t="shared" si="69"/>
        <v>12</v>
      </c>
      <c r="M369" s="115">
        <f t="array" ref="M369">MIN(IF(Consolidado!$A$6:$A$1000='TOTALES DIARIOS'!A369,IF(Consolidado!$C$6:$C$1000&gt;TIMEVALUE("07:00"),Consolidado!$C$6:$C$1000,1)))</f>
        <v>0</v>
      </c>
      <c r="N369" s="115">
        <f t="array" ref="N369">MIN(IF(Consolidado!$A$6:$A$1000='TOTALES DIARIOS'!A369,IF(Consolidado!$C$6:$C$1000&lt;=M369,Consolidado!$C$6:$C$1000,1)))</f>
        <v>0</v>
      </c>
      <c r="O369" s="115">
        <f t="array" ref="O369">MAX(IF(Consolidado!$A$6:$A$1000='TOTALES DIARIOS'!A369,IF(Consolidado!$D$6:$D$1000&gt;=M369,Consolidado!$D$6:$D$1000,0)))</f>
        <v>0</v>
      </c>
      <c r="P369" s="118">
        <f t="array" ref="P369">MAX(IF(Consolidado!$A$6:$A$1000='TOTALES DIARIOS'!A369,IF(Consolidado!$D$6:$D$1000&lt;=M369,Consolidado!$D$6:$D$1000,0)))</f>
        <v>0</v>
      </c>
      <c r="Q369" s="117">
        <f t="shared" si="73"/>
        <v>0</v>
      </c>
      <c r="R369" s="117">
        <f t="shared" si="72"/>
        <v>0</v>
      </c>
      <c r="S369" s="104" t="str">
        <f t="shared" si="70"/>
        <v>NO</v>
      </c>
    </row>
    <row r="370" spans="1:19" x14ac:dyDescent="0.25">
      <c r="A370" s="221">
        <f t="shared" si="71"/>
        <v>45658</v>
      </c>
      <c r="B370" s="130" t="str">
        <f t="shared" si="62"/>
        <v/>
      </c>
      <c r="C370" s="217">
        <f t="shared" si="63"/>
        <v>0</v>
      </c>
      <c r="D370" s="217">
        <f t="shared" si="64"/>
        <v>0</v>
      </c>
      <c r="E370" s="218">
        <f>SUMIF(Consolidado!$A$6:$A$380,'TOTALES DIARIOS'!A370,Consolidado!$E$6:$E$380)</f>
        <v>0</v>
      </c>
      <c r="F370" s="218">
        <f>SUMIF(Consolidado!$A$6:$A$380,'TOTALES DIARIOS'!A370,Consolidado!$F$6:$F$380)</f>
        <v>0</v>
      </c>
      <c r="G370" s="218">
        <f>SUMIF(Consolidado!$A$6:$A$380,'TOTALES DIARIOS'!A370,Consolidado!$G$6:$G$380)</f>
        <v>0</v>
      </c>
      <c r="H370" s="219">
        <f t="shared" si="65"/>
        <v>0</v>
      </c>
      <c r="I370" s="99">
        <f t="shared" si="66"/>
        <v>0</v>
      </c>
      <c r="J370" s="99">
        <f t="shared" si="67"/>
        <v>0</v>
      </c>
      <c r="K370" s="113">
        <f t="shared" si="68"/>
        <v>2025</v>
      </c>
      <c r="L370" s="113">
        <f t="shared" si="69"/>
        <v>1</v>
      </c>
      <c r="M370" s="115">
        <f t="array" ref="M370">MIN(IF(Consolidado!$A$6:$A$1000='TOTALES DIARIOS'!A370,IF(Consolidado!$C$6:$C$1000&gt;TIMEVALUE("07:00"),Consolidado!$C$6:$C$1000,1)))</f>
        <v>0</v>
      </c>
      <c r="N370" s="115">
        <f t="array" ref="N370">MIN(IF(Consolidado!$A$6:$A$1000='TOTALES DIARIOS'!A370,IF(Consolidado!$C$6:$C$1000&lt;=M370,Consolidado!$C$6:$C$1000,1)))</f>
        <v>0</v>
      </c>
      <c r="O370" s="115">
        <f t="array" ref="O370">MAX(IF(Consolidado!$A$6:$A$1000='TOTALES DIARIOS'!A370,IF(Consolidado!$D$6:$D$1000&gt;=M370,Consolidado!$D$6:$D$1000,0)))</f>
        <v>0</v>
      </c>
      <c r="P370" s="118">
        <f t="array" ref="P370">MAX(IF(Consolidado!$A$6:$A$1000='TOTALES DIARIOS'!A370,IF(Consolidado!$D$6:$D$1000&lt;=M370,Consolidado!$D$6:$D$1000,0)))</f>
        <v>0</v>
      </c>
      <c r="Q370" s="117">
        <f t="shared" si="73"/>
        <v>0</v>
      </c>
      <c r="R370" s="117">
        <f t="shared" si="72"/>
        <v>0</v>
      </c>
      <c r="S370" s="104" t="str">
        <f t="shared" si="70"/>
        <v>NO</v>
      </c>
    </row>
    <row r="371" spans="1:19" x14ac:dyDescent="0.25">
      <c r="A371" s="221">
        <f t="shared" si="71"/>
        <v>45659</v>
      </c>
      <c r="B371" s="130" t="str">
        <f t="shared" si="62"/>
        <v/>
      </c>
      <c r="C371" s="217">
        <f t="shared" si="63"/>
        <v>0</v>
      </c>
      <c r="D371" s="217">
        <f t="shared" si="64"/>
        <v>0</v>
      </c>
      <c r="E371" s="218">
        <f>SUMIF(Consolidado!$A$6:$A$380,'TOTALES DIARIOS'!A371,Consolidado!$E$6:$E$380)</f>
        <v>0</v>
      </c>
      <c r="F371" s="218">
        <f>SUMIF(Consolidado!$A$6:$A$380,'TOTALES DIARIOS'!A371,Consolidado!$F$6:$F$380)</f>
        <v>0</v>
      </c>
      <c r="G371" s="218">
        <f>SUMIF(Consolidado!$A$6:$A$380,'TOTALES DIARIOS'!A371,Consolidado!$G$6:$G$380)</f>
        <v>0</v>
      </c>
      <c r="H371" s="219">
        <f t="shared" si="65"/>
        <v>0</v>
      </c>
      <c r="I371" s="99">
        <f t="shared" si="66"/>
        <v>0</v>
      </c>
      <c r="J371" s="99">
        <f t="shared" si="67"/>
        <v>0</v>
      </c>
      <c r="K371" s="113">
        <f t="shared" si="68"/>
        <v>2025</v>
      </c>
      <c r="L371" s="113">
        <f t="shared" si="69"/>
        <v>1</v>
      </c>
      <c r="M371" s="115">
        <f t="array" ref="M371">MIN(IF(Consolidado!$A$6:$A$1000='TOTALES DIARIOS'!A371,IF(Consolidado!$C$6:$C$1000&gt;TIMEVALUE("07:00"),Consolidado!$C$6:$C$1000,1)))</f>
        <v>0</v>
      </c>
      <c r="N371" s="115">
        <f t="array" ref="N371">MIN(IF(Consolidado!$A$6:$A$1000='TOTALES DIARIOS'!A371,IF(Consolidado!$C$6:$C$1000&lt;=M371,Consolidado!$C$6:$C$1000,1)))</f>
        <v>0</v>
      </c>
      <c r="O371" s="115">
        <f t="array" ref="O371">MAX(IF(Consolidado!$A$6:$A$1000='TOTALES DIARIOS'!A371,IF(Consolidado!$D$6:$D$1000&gt;=M371,Consolidado!$D$6:$D$1000,0)))</f>
        <v>0</v>
      </c>
      <c r="P371" s="118">
        <f t="array" ref="P371">MAX(IF(Consolidado!$A$6:$A$1000='TOTALES DIARIOS'!A371,IF(Consolidado!$D$6:$D$1000&lt;=M371,Consolidado!$D$6:$D$1000,0)))</f>
        <v>0</v>
      </c>
      <c r="Q371" s="117">
        <f t="shared" si="73"/>
        <v>0</v>
      </c>
      <c r="R371" s="117">
        <f t="shared" si="72"/>
        <v>0</v>
      </c>
      <c r="S371" s="104" t="str">
        <f t="shared" si="70"/>
        <v>NO</v>
      </c>
    </row>
    <row r="372" spans="1:19" x14ac:dyDescent="0.25">
      <c r="A372" s="221">
        <f t="shared" si="71"/>
        <v>45660</v>
      </c>
      <c r="B372" s="130" t="str">
        <f t="shared" si="62"/>
        <v/>
      </c>
      <c r="C372" s="217">
        <f t="shared" si="63"/>
        <v>0</v>
      </c>
      <c r="D372" s="217">
        <f t="shared" si="64"/>
        <v>0</v>
      </c>
      <c r="E372" s="218">
        <f>SUMIF(Consolidado!$A$6:$A$380,'TOTALES DIARIOS'!A372,Consolidado!$E$6:$E$380)</f>
        <v>0</v>
      </c>
      <c r="F372" s="218">
        <f>SUMIF(Consolidado!$A$6:$A$380,'TOTALES DIARIOS'!A372,Consolidado!$F$6:$F$380)</f>
        <v>0</v>
      </c>
      <c r="G372" s="218">
        <f>SUMIF(Consolidado!$A$6:$A$380,'TOTALES DIARIOS'!A372,Consolidado!$G$6:$G$380)</f>
        <v>0</v>
      </c>
      <c r="H372" s="219">
        <f t="shared" si="65"/>
        <v>0</v>
      </c>
      <c r="I372" s="99">
        <f t="shared" si="66"/>
        <v>0</v>
      </c>
      <c r="J372" s="99">
        <f t="shared" si="67"/>
        <v>0</v>
      </c>
      <c r="K372" s="113">
        <f t="shared" si="68"/>
        <v>2025</v>
      </c>
      <c r="L372" s="113">
        <f t="shared" si="69"/>
        <v>1</v>
      </c>
      <c r="M372" s="115">
        <f t="array" ref="M372">MIN(IF(Consolidado!$A$6:$A$1000='TOTALES DIARIOS'!A372,IF(Consolidado!$C$6:$C$1000&gt;TIMEVALUE("07:00"),Consolidado!$C$6:$C$1000,1)))</f>
        <v>0</v>
      </c>
      <c r="N372" s="115">
        <f t="array" ref="N372">MIN(IF(Consolidado!$A$6:$A$1000='TOTALES DIARIOS'!A372,IF(Consolidado!$C$6:$C$1000&lt;=M372,Consolidado!$C$6:$C$1000,1)))</f>
        <v>0</v>
      </c>
      <c r="O372" s="115">
        <f t="array" ref="O372">MAX(IF(Consolidado!$A$6:$A$1000='TOTALES DIARIOS'!A372,IF(Consolidado!$D$6:$D$1000&gt;=M372,Consolidado!$D$6:$D$1000,0)))</f>
        <v>0</v>
      </c>
      <c r="P372" s="118">
        <f t="array" ref="P372">MAX(IF(Consolidado!$A$6:$A$1000='TOTALES DIARIOS'!A372,IF(Consolidado!$D$6:$D$1000&lt;=M372,Consolidado!$D$6:$D$1000,0)))</f>
        <v>0</v>
      </c>
      <c r="Q372" s="117">
        <f t="shared" si="73"/>
        <v>0</v>
      </c>
      <c r="R372" s="117">
        <f t="shared" si="72"/>
        <v>0</v>
      </c>
      <c r="S372" s="104" t="str">
        <f t="shared" si="70"/>
        <v>NO</v>
      </c>
    </row>
    <row r="373" spans="1:19" x14ac:dyDescent="0.25">
      <c r="A373" s="221">
        <f t="shared" si="71"/>
        <v>45661</v>
      </c>
      <c r="B373" s="130" t="str">
        <f t="shared" si="62"/>
        <v/>
      </c>
      <c r="C373" s="217">
        <f t="shared" si="63"/>
        <v>0</v>
      </c>
      <c r="D373" s="217">
        <f t="shared" si="64"/>
        <v>0</v>
      </c>
      <c r="E373" s="218">
        <f>SUMIF(Consolidado!$A$6:$A$380,'TOTALES DIARIOS'!A373,Consolidado!$E$6:$E$380)</f>
        <v>0</v>
      </c>
      <c r="F373" s="218">
        <f>SUMIF(Consolidado!$A$6:$A$380,'TOTALES DIARIOS'!A373,Consolidado!$F$6:$F$380)</f>
        <v>0</v>
      </c>
      <c r="G373" s="218">
        <f>SUMIF(Consolidado!$A$6:$A$380,'TOTALES DIARIOS'!A373,Consolidado!$G$6:$G$380)</f>
        <v>0</v>
      </c>
      <c r="H373" s="219">
        <f t="shared" si="65"/>
        <v>0</v>
      </c>
      <c r="I373" s="99">
        <f t="shared" si="66"/>
        <v>0</v>
      </c>
      <c r="J373" s="99">
        <f t="shared" si="67"/>
        <v>0</v>
      </c>
      <c r="K373" s="113">
        <f t="shared" si="68"/>
        <v>2025</v>
      </c>
      <c r="L373" s="113">
        <f t="shared" si="69"/>
        <v>1</v>
      </c>
      <c r="M373" s="115">
        <f t="array" ref="M373">MIN(IF(Consolidado!$A$6:$A$1000='TOTALES DIARIOS'!A373,IF(Consolidado!$C$6:$C$1000&gt;TIMEVALUE("07:00"),Consolidado!$C$6:$C$1000,1)))</f>
        <v>0</v>
      </c>
      <c r="N373" s="115">
        <f t="array" ref="N373">MIN(IF(Consolidado!$A$6:$A$1000='TOTALES DIARIOS'!A373,IF(Consolidado!$C$6:$C$1000&lt;=M373,Consolidado!$C$6:$C$1000,1)))</f>
        <v>0</v>
      </c>
      <c r="O373" s="115">
        <f t="array" ref="O373">MAX(IF(Consolidado!$A$6:$A$1000='TOTALES DIARIOS'!A373,IF(Consolidado!$D$6:$D$1000&gt;=M373,Consolidado!$D$6:$D$1000,0)))</f>
        <v>0</v>
      </c>
      <c r="P373" s="118">
        <f t="array" ref="P373">MAX(IF(Consolidado!$A$6:$A$1000='TOTALES DIARIOS'!A373,IF(Consolidado!$D$6:$D$1000&lt;=M373,Consolidado!$D$6:$D$1000,0)))</f>
        <v>0</v>
      </c>
      <c r="Q373" s="117">
        <f t="shared" si="73"/>
        <v>0</v>
      </c>
      <c r="R373" s="117">
        <f t="shared" si="72"/>
        <v>0</v>
      </c>
      <c r="S373" s="104" t="str">
        <f t="shared" si="70"/>
        <v>NO</v>
      </c>
    </row>
    <row r="374" spans="1:19" x14ac:dyDescent="0.25">
      <c r="A374" s="221">
        <f t="shared" si="71"/>
        <v>45662</v>
      </c>
      <c r="B374" s="130" t="str">
        <f t="shared" si="62"/>
        <v/>
      </c>
      <c r="C374" s="217">
        <f t="shared" si="63"/>
        <v>0</v>
      </c>
      <c r="D374" s="217">
        <f t="shared" si="64"/>
        <v>0</v>
      </c>
      <c r="E374" s="218">
        <f>SUMIF(Consolidado!$A$6:$A$380,'TOTALES DIARIOS'!A374,Consolidado!$E$6:$E$380)</f>
        <v>0</v>
      </c>
      <c r="F374" s="218">
        <f>SUMIF(Consolidado!$A$6:$A$380,'TOTALES DIARIOS'!A374,Consolidado!$F$6:$F$380)</f>
        <v>0</v>
      </c>
      <c r="G374" s="218">
        <f>SUMIF(Consolidado!$A$6:$A$380,'TOTALES DIARIOS'!A374,Consolidado!$G$6:$G$380)</f>
        <v>0</v>
      </c>
      <c r="H374" s="219">
        <f t="shared" si="65"/>
        <v>0</v>
      </c>
      <c r="I374" s="99">
        <f t="shared" si="66"/>
        <v>0</v>
      </c>
      <c r="J374" s="99">
        <f t="shared" si="67"/>
        <v>0</v>
      </c>
      <c r="K374" s="113">
        <f t="shared" si="68"/>
        <v>2025</v>
      </c>
      <c r="L374" s="113">
        <f t="shared" si="69"/>
        <v>1</v>
      </c>
      <c r="M374" s="115">
        <f t="array" ref="M374">MIN(IF(Consolidado!$A$6:$A$1000='TOTALES DIARIOS'!A374,IF(Consolidado!$C$6:$C$1000&gt;TIMEVALUE("07:00"),Consolidado!$C$6:$C$1000,1)))</f>
        <v>0</v>
      </c>
      <c r="N374" s="115">
        <f t="array" ref="N374">MIN(IF(Consolidado!$A$6:$A$1000='TOTALES DIARIOS'!A374,IF(Consolidado!$C$6:$C$1000&lt;=M374,Consolidado!$C$6:$C$1000,1)))</f>
        <v>0</v>
      </c>
      <c r="O374" s="115">
        <f t="array" ref="O374">MAX(IF(Consolidado!$A$6:$A$1000='TOTALES DIARIOS'!A374,IF(Consolidado!$D$6:$D$1000&gt;=M374,Consolidado!$D$6:$D$1000,0)))</f>
        <v>0</v>
      </c>
      <c r="P374" s="118">
        <f t="array" ref="P374">MAX(IF(Consolidado!$A$6:$A$1000='TOTALES DIARIOS'!A374,IF(Consolidado!$D$6:$D$1000&lt;=M374,Consolidado!$D$6:$D$1000,0)))</f>
        <v>0</v>
      </c>
      <c r="Q374" s="117">
        <f t="shared" si="73"/>
        <v>0</v>
      </c>
      <c r="R374" s="117">
        <f t="shared" si="72"/>
        <v>0</v>
      </c>
      <c r="S374" s="104" t="str">
        <f t="shared" si="70"/>
        <v>NO</v>
      </c>
    </row>
    <row r="375" spans="1:19" x14ac:dyDescent="0.25">
      <c r="A375" s="221">
        <f t="shared" si="71"/>
        <v>45663</v>
      </c>
      <c r="B375" s="130" t="str">
        <f t="shared" si="62"/>
        <v/>
      </c>
      <c r="C375" s="217">
        <f t="shared" si="63"/>
        <v>0</v>
      </c>
      <c r="D375" s="217">
        <f t="shared" si="64"/>
        <v>0</v>
      </c>
      <c r="E375" s="218">
        <f>SUMIF(Consolidado!$A$6:$A$380,'TOTALES DIARIOS'!A375,Consolidado!$E$6:$E$380)</f>
        <v>0</v>
      </c>
      <c r="F375" s="218">
        <f>SUMIF(Consolidado!$A$6:$A$380,'TOTALES DIARIOS'!A375,Consolidado!$F$6:$F$380)</f>
        <v>0</v>
      </c>
      <c r="G375" s="218">
        <f>SUMIF(Consolidado!$A$6:$A$380,'TOTALES DIARIOS'!A375,Consolidado!$G$6:$G$380)</f>
        <v>0</v>
      </c>
      <c r="H375" s="219">
        <f t="shared" si="65"/>
        <v>0</v>
      </c>
      <c r="I375" s="99">
        <f t="shared" si="66"/>
        <v>0</v>
      </c>
      <c r="J375" s="99">
        <f t="shared" si="67"/>
        <v>0</v>
      </c>
      <c r="K375" s="113">
        <f t="shared" si="68"/>
        <v>2025</v>
      </c>
      <c r="L375" s="113">
        <f t="shared" si="69"/>
        <v>1</v>
      </c>
      <c r="M375" s="115">
        <f t="array" ref="M375">MIN(IF(Consolidado!$A$6:$A$1000='TOTALES DIARIOS'!A375,IF(Consolidado!$C$6:$C$1000&gt;TIMEVALUE("07:00"),Consolidado!$C$6:$C$1000,1)))</f>
        <v>0</v>
      </c>
      <c r="N375" s="115">
        <f t="array" ref="N375">MIN(IF(Consolidado!$A$6:$A$1000='TOTALES DIARIOS'!A375,IF(Consolidado!$C$6:$C$1000&lt;=M375,Consolidado!$C$6:$C$1000,1)))</f>
        <v>0</v>
      </c>
      <c r="O375" s="115">
        <f t="array" ref="O375">MAX(IF(Consolidado!$A$6:$A$1000='TOTALES DIARIOS'!A375,IF(Consolidado!$D$6:$D$1000&gt;=M375,Consolidado!$D$6:$D$1000,0)))</f>
        <v>0</v>
      </c>
      <c r="P375" s="118">
        <f t="array" ref="P375">MAX(IF(Consolidado!$A$6:$A$1000='TOTALES DIARIOS'!A375,IF(Consolidado!$D$6:$D$1000&lt;=M375,Consolidado!$D$6:$D$1000,0)))</f>
        <v>0</v>
      </c>
      <c r="Q375" s="117">
        <f t="shared" si="73"/>
        <v>0</v>
      </c>
      <c r="R375" s="117">
        <f t="shared" si="72"/>
        <v>0</v>
      </c>
      <c r="S375" s="104" t="str">
        <f t="shared" si="70"/>
        <v>NO</v>
      </c>
    </row>
    <row r="376" spans="1:19" x14ac:dyDescent="0.25">
      <c r="A376" s="221">
        <f t="shared" si="71"/>
        <v>45664</v>
      </c>
      <c r="B376" s="130" t="str">
        <f t="shared" si="62"/>
        <v/>
      </c>
      <c r="C376" s="217">
        <f t="shared" si="63"/>
        <v>0</v>
      </c>
      <c r="D376" s="217">
        <f t="shared" si="64"/>
        <v>0</v>
      </c>
      <c r="E376" s="218">
        <f>SUMIF(Consolidado!$A$6:$A$380,'TOTALES DIARIOS'!A376,Consolidado!$E$6:$E$380)</f>
        <v>0</v>
      </c>
      <c r="F376" s="218">
        <f>SUMIF(Consolidado!$A$6:$A$380,'TOTALES DIARIOS'!A376,Consolidado!$F$6:$F$380)</f>
        <v>0</v>
      </c>
      <c r="G376" s="218">
        <f>SUMIF(Consolidado!$A$6:$A$380,'TOTALES DIARIOS'!A376,Consolidado!$G$6:$G$380)</f>
        <v>0</v>
      </c>
      <c r="H376" s="219">
        <f t="shared" si="65"/>
        <v>0</v>
      </c>
      <c r="I376" s="99">
        <f t="shared" si="66"/>
        <v>0</v>
      </c>
      <c r="J376" s="99">
        <f t="shared" si="67"/>
        <v>0</v>
      </c>
      <c r="K376" s="113">
        <f t="shared" si="68"/>
        <v>2025</v>
      </c>
      <c r="L376" s="113">
        <f t="shared" si="69"/>
        <v>1</v>
      </c>
      <c r="M376" s="115">
        <f t="array" ref="M376">MIN(IF(Consolidado!$A$6:$A$1000='TOTALES DIARIOS'!A376,IF(Consolidado!$C$6:$C$1000&gt;TIMEVALUE("07:00"),Consolidado!$C$6:$C$1000,1)))</f>
        <v>0</v>
      </c>
      <c r="N376" s="115">
        <f t="array" ref="N376">MIN(IF(Consolidado!$A$6:$A$1000='TOTALES DIARIOS'!A376,IF(Consolidado!$C$6:$C$1000&lt;=M376,Consolidado!$C$6:$C$1000,1)))</f>
        <v>0</v>
      </c>
      <c r="O376" s="115">
        <f t="array" ref="O376">MAX(IF(Consolidado!$A$6:$A$1000='TOTALES DIARIOS'!A376,IF(Consolidado!$D$6:$D$1000&gt;=M376,Consolidado!$D$6:$D$1000,0)))</f>
        <v>0</v>
      </c>
      <c r="P376" s="118">
        <f t="array" ref="P376">MAX(IF(Consolidado!$A$6:$A$1000='TOTALES DIARIOS'!A376,IF(Consolidado!$D$6:$D$1000&lt;=M376,Consolidado!$D$6:$D$1000,0)))</f>
        <v>0</v>
      </c>
      <c r="Q376" s="117">
        <f t="shared" si="73"/>
        <v>0</v>
      </c>
      <c r="R376" s="117">
        <f t="shared" si="72"/>
        <v>0</v>
      </c>
      <c r="S376" s="104" t="str">
        <f t="shared" si="70"/>
        <v>NO</v>
      </c>
    </row>
    <row r="377" spans="1:19" x14ac:dyDescent="0.25">
      <c r="A377" s="221">
        <f t="shared" si="71"/>
        <v>45665</v>
      </c>
      <c r="B377" s="130" t="str">
        <f t="shared" si="62"/>
        <v/>
      </c>
      <c r="C377" s="217">
        <f t="shared" si="63"/>
        <v>0</v>
      </c>
      <c r="D377" s="217">
        <f t="shared" si="64"/>
        <v>0</v>
      </c>
      <c r="E377" s="218">
        <f>SUMIF(Consolidado!$A$6:$A$380,'TOTALES DIARIOS'!A377,Consolidado!$E$6:$E$380)</f>
        <v>0</v>
      </c>
      <c r="F377" s="218">
        <f>SUMIF(Consolidado!$A$6:$A$380,'TOTALES DIARIOS'!A377,Consolidado!$F$6:$F$380)</f>
        <v>0</v>
      </c>
      <c r="G377" s="218">
        <f>SUMIF(Consolidado!$A$6:$A$380,'TOTALES DIARIOS'!A377,Consolidado!$G$6:$G$380)</f>
        <v>0</v>
      </c>
      <c r="H377" s="219">
        <f t="shared" si="65"/>
        <v>0</v>
      </c>
      <c r="I377" s="99">
        <f t="shared" si="66"/>
        <v>0</v>
      </c>
      <c r="J377" s="99">
        <f t="shared" si="67"/>
        <v>0</v>
      </c>
      <c r="K377" s="113">
        <f t="shared" si="68"/>
        <v>2025</v>
      </c>
      <c r="L377" s="113">
        <f t="shared" si="69"/>
        <v>1</v>
      </c>
      <c r="M377" s="115">
        <f t="array" ref="M377">MIN(IF(Consolidado!$A$6:$A$1000='TOTALES DIARIOS'!A377,IF(Consolidado!$C$6:$C$1000&gt;TIMEVALUE("07:00"),Consolidado!$C$6:$C$1000,1)))</f>
        <v>0</v>
      </c>
      <c r="N377" s="115">
        <f t="array" ref="N377">MIN(IF(Consolidado!$A$6:$A$1000='TOTALES DIARIOS'!A377,IF(Consolidado!$C$6:$C$1000&lt;=M377,Consolidado!$C$6:$C$1000,1)))</f>
        <v>0</v>
      </c>
      <c r="O377" s="115">
        <f t="array" ref="O377">MAX(IF(Consolidado!$A$6:$A$1000='TOTALES DIARIOS'!A377,IF(Consolidado!$D$6:$D$1000&gt;=M377,Consolidado!$D$6:$D$1000,0)))</f>
        <v>0</v>
      </c>
      <c r="P377" s="118">
        <f t="array" ref="P377">MAX(IF(Consolidado!$A$6:$A$1000='TOTALES DIARIOS'!A377,IF(Consolidado!$D$6:$D$1000&lt;=M377,Consolidado!$D$6:$D$1000,0)))</f>
        <v>0</v>
      </c>
      <c r="Q377" s="117">
        <f t="shared" si="73"/>
        <v>0</v>
      </c>
      <c r="R377" s="117">
        <f t="shared" si="72"/>
        <v>0</v>
      </c>
      <c r="S377" s="104" t="str">
        <f t="shared" si="70"/>
        <v>NO</v>
      </c>
    </row>
    <row r="378" spans="1:19" x14ac:dyDescent="0.25">
      <c r="A378" s="221">
        <f t="shared" si="71"/>
        <v>45666</v>
      </c>
      <c r="B378" s="130" t="str">
        <f t="shared" si="62"/>
        <v/>
      </c>
      <c r="C378" s="217">
        <f t="shared" si="63"/>
        <v>0</v>
      </c>
      <c r="D378" s="217">
        <f t="shared" si="64"/>
        <v>0</v>
      </c>
      <c r="E378" s="218">
        <f>SUMIF(Consolidado!$A$6:$A$380,'TOTALES DIARIOS'!A378,Consolidado!$E$6:$E$380)</f>
        <v>0</v>
      </c>
      <c r="F378" s="218">
        <f>SUMIF(Consolidado!$A$6:$A$380,'TOTALES DIARIOS'!A378,Consolidado!$F$6:$F$380)</f>
        <v>0</v>
      </c>
      <c r="G378" s="218">
        <f>SUMIF(Consolidado!$A$6:$A$380,'TOTALES DIARIOS'!A378,Consolidado!$G$6:$G$380)</f>
        <v>0</v>
      </c>
      <c r="H378" s="219">
        <f t="shared" si="65"/>
        <v>0</v>
      </c>
      <c r="I378" s="99">
        <f t="shared" si="66"/>
        <v>0</v>
      </c>
      <c r="J378" s="99">
        <f t="shared" si="67"/>
        <v>0</v>
      </c>
      <c r="K378" s="113">
        <f t="shared" si="68"/>
        <v>2025</v>
      </c>
      <c r="L378" s="113">
        <f t="shared" si="69"/>
        <v>1</v>
      </c>
      <c r="M378" s="115">
        <f t="array" ref="M378">MIN(IF(Consolidado!$A$6:$A$1000='TOTALES DIARIOS'!A378,IF(Consolidado!$C$6:$C$1000&gt;TIMEVALUE("07:00"),Consolidado!$C$6:$C$1000,1)))</f>
        <v>0</v>
      </c>
      <c r="N378" s="115">
        <f t="array" ref="N378">MIN(IF(Consolidado!$A$6:$A$1000='TOTALES DIARIOS'!A378,IF(Consolidado!$C$6:$C$1000&lt;=M378,Consolidado!$C$6:$C$1000,1)))</f>
        <v>0</v>
      </c>
      <c r="O378" s="115">
        <f t="array" ref="O378">MAX(IF(Consolidado!$A$6:$A$1000='TOTALES DIARIOS'!A378,IF(Consolidado!$D$6:$D$1000&gt;=M378,Consolidado!$D$6:$D$1000,0)))</f>
        <v>0</v>
      </c>
      <c r="P378" s="118">
        <f t="array" ref="P378">MAX(IF(Consolidado!$A$6:$A$1000='TOTALES DIARIOS'!A378,IF(Consolidado!$D$6:$D$1000&lt;=M378,Consolidado!$D$6:$D$1000,0)))</f>
        <v>0</v>
      </c>
      <c r="Q378" s="117">
        <f t="shared" si="73"/>
        <v>0</v>
      </c>
      <c r="R378" s="117">
        <f t="shared" si="72"/>
        <v>0</v>
      </c>
      <c r="S378" s="104" t="str">
        <f t="shared" si="70"/>
        <v>NO</v>
      </c>
    </row>
    <row r="379" spans="1:19" x14ac:dyDescent="0.25">
      <c r="A379" s="221">
        <f t="shared" si="71"/>
        <v>45667</v>
      </c>
      <c r="B379" s="130" t="str">
        <f t="shared" si="62"/>
        <v/>
      </c>
      <c r="C379" s="217">
        <f t="shared" si="63"/>
        <v>0</v>
      </c>
      <c r="D379" s="217">
        <f t="shared" si="64"/>
        <v>0</v>
      </c>
      <c r="E379" s="218">
        <f>SUMIF(Consolidado!$A$6:$A$380,'TOTALES DIARIOS'!A379,Consolidado!$E$6:$E$380)</f>
        <v>0</v>
      </c>
      <c r="F379" s="218">
        <f>SUMIF(Consolidado!$A$6:$A$380,'TOTALES DIARIOS'!A379,Consolidado!$F$6:$F$380)</f>
        <v>0</v>
      </c>
      <c r="G379" s="218">
        <f>SUMIF(Consolidado!$A$6:$A$380,'TOTALES DIARIOS'!A379,Consolidado!$G$6:$G$380)</f>
        <v>0</v>
      </c>
      <c r="H379" s="219">
        <f t="shared" si="65"/>
        <v>0</v>
      </c>
      <c r="I379" s="99">
        <f t="shared" si="66"/>
        <v>0</v>
      </c>
      <c r="J379" s="99">
        <f t="shared" si="67"/>
        <v>0</v>
      </c>
      <c r="K379" s="113">
        <f t="shared" si="68"/>
        <v>2025</v>
      </c>
      <c r="L379" s="113">
        <f t="shared" si="69"/>
        <v>1</v>
      </c>
      <c r="M379" s="115">
        <f t="array" ref="M379">MIN(IF(Consolidado!$A$6:$A$1000='TOTALES DIARIOS'!A379,IF(Consolidado!$C$6:$C$1000&gt;TIMEVALUE("07:00"),Consolidado!$C$6:$C$1000,1)))</f>
        <v>0</v>
      </c>
      <c r="N379" s="115">
        <f t="array" ref="N379">MIN(IF(Consolidado!$A$6:$A$1000='TOTALES DIARIOS'!A379,IF(Consolidado!$C$6:$C$1000&lt;=M379,Consolidado!$C$6:$C$1000,1)))</f>
        <v>0</v>
      </c>
      <c r="O379" s="115">
        <f t="array" ref="O379">MAX(IF(Consolidado!$A$6:$A$1000='TOTALES DIARIOS'!A379,IF(Consolidado!$D$6:$D$1000&gt;=M379,Consolidado!$D$6:$D$1000,0)))</f>
        <v>0</v>
      </c>
      <c r="P379" s="118">
        <f t="array" ref="P379">MAX(IF(Consolidado!$A$6:$A$1000='TOTALES DIARIOS'!A379,IF(Consolidado!$D$6:$D$1000&lt;=M379,Consolidado!$D$6:$D$1000,0)))</f>
        <v>0</v>
      </c>
      <c r="Q379" s="117">
        <f t="shared" si="73"/>
        <v>0</v>
      </c>
      <c r="R379" s="117">
        <f t="shared" si="72"/>
        <v>0</v>
      </c>
      <c r="S379" s="104" t="str">
        <f t="shared" si="70"/>
        <v>NO</v>
      </c>
    </row>
    <row r="380" spans="1:19" x14ac:dyDescent="0.25">
      <c r="A380" s="221">
        <f t="shared" si="71"/>
        <v>45668</v>
      </c>
      <c r="B380" s="130" t="str">
        <f t="shared" si="62"/>
        <v/>
      </c>
      <c r="C380" s="217">
        <f t="shared" si="63"/>
        <v>0</v>
      </c>
      <c r="D380" s="217">
        <f t="shared" si="64"/>
        <v>0</v>
      </c>
      <c r="E380" s="218">
        <f>SUMIF(Consolidado!$A$6:$A$380,'TOTALES DIARIOS'!A380,Consolidado!$E$6:$E$380)</f>
        <v>0</v>
      </c>
      <c r="F380" s="218">
        <f>SUMIF(Consolidado!$A$6:$A$380,'TOTALES DIARIOS'!A380,Consolidado!$F$6:$F$380)</f>
        <v>0</v>
      </c>
      <c r="G380" s="218">
        <f>SUMIF(Consolidado!$A$6:$A$380,'TOTALES DIARIOS'!A380,Consolidado!$G$6:$G$380)</f>
        <v>0</v>
      </c>
      <c r="H380" s="219">
        <f t="shared" si="65"/>
        <v>0</v>
      </c>
      <c r="I380" s="99">
        <f t="shared" si="66"/>
        <v>0</v>
      </c>
      <c r="J380" s="99">
        <f t="shared" si="67"/>
        <v>0</v>
      </c>
      <c r="K380" s="113">
        <f t="shared" si="68"/>
        <v>2025</v>
      </c>
      <c r="L380" s="113">
        <f t="shared" si="69"/>
        <v>1</v>
      </c>
      <c r="M380" s="115">
        <f t="array" ref="M380">MIN(IF(Consolidado!$A$6:$A$1000='TOTALES DIARIOS'!A380,IF(Consolidado!$C$6:$C$1000&gt;TIMEVALUE("07:00"),Consolidado!$C$6:$C$1000,1)))</f>
        <v>0</v>
      </c>
      <c r="N380" s="115">
        <f t="array" ref="N380">MIN(IF(Consolidado!$A$6:$A$1000='TOTALES DIARIOS'!A380,IF(Consolidado!$C$6:$C$1000&lt;=M380,Consolidado!$C$6:$C$1000,1)))</f>
        <v>0</v>
      </c>
      <c r="O380" s="115">
        <f t="array" ref="O380">MAX(IF(Consolidado!$A$6:$A$1000='TOTALES DIARIOS'!A380,IF(Consolidado!$D$6:$D$1000&gt;=M380,Consolidado!$D$6:$D$1000,0)))</f>
        <v>0</v>
      </c>
      <c r="P380" s="118">
        <f t="array" ref="P380">MAX(IF(Consolidado!$A$6:$A$1000='TOTALES DIARIOS'!A380,IF(Consolidado!$D$6:$D$1000&lt;=M380,Consolidado!$D$6:$D$1000,0)))</f>
        <v>0</v>
      </c>
      <c r="Q380" s="117">
        <f t="shared" si="73"/>
        <v>0</v>
      </c>
      <c r="R380" s="117">
        <f t="shared" si="72"/>
        <v>0</v>
      </c>
      <c r="S380" s="104" t="str">
        <f t="shared" si="70"/>
        <v>NO</v>
      </c>
    </row>
    <row r="381" spans="1:19" x14ac:dyDescent="0.25">
      <c r="A381" s="221">
        <f t="shared" si="71"/>
        <v>45669</v>
      </c>
      <c r="B381" s="130" t="str">
        <f t="shared" si="62"/>
        <v/>
      </c>
      <c r="C381" s="217">
        <f t="shared" si="63"/>
        <v>0</v>
      </c>
      <c r="D381" s="217">
        <f t="shared" si="64"/>
        <v>0</v>
      </c>
      <c r="E381" s="218">
        <f>SUMIF(Consolidado!$A$6:$A$380,'TOTALES DIARIOS'!A381,Consolidado!$E$6:$E$380)</f>
        <v>0</v>
      </c>
      <c r="F381" s="218">
        <f>SUMIF(Consolidado!$A$6:$A$380,'TOTALES DIARIOS'!A381,Consolidado!$F$6:$F$380)</f>
        <v>0</v>
      </c>
      <c r="G381" s="218">
        <f>SUMIF(Consolidado!$A$6:$A$380,'TOTALES DIARIOS'!A381,Consolidado!$G$6:$G$380)</f>
        <v>0</v>
      </c>
      <c r="H381" s="219">
        <f t="shared" si="65"/>
        <v>0</v>
      </c>
      <c r="I381" s="99">
        <f t="shared" si="66"/>
        <v>0</v>
      </c>
      <c r="J381" s="99">
        <f t="shared" si="67"/>
        <v>0</v>
      </c>
      <c r="K381" s="113">
        <f t="shared" si="68"/>
        <v>2025</v>
      </c>
      <c r="L381" s="113">
        <f t="shared" si="69"/>
        <v>1</v>
      </c>
      <c r="M381" s="115">
        <f t="array" ref="M381">MIN(IF(Consolidado!$A$6:$A$1000='TOTALES DIARIOS'!A381,IF(Consolidado!$C$6:$C$1000&gt;TIMEVALUE("07:00"),Consolidado!$C$6:$C$1000,1)))</f>
        <v>0</v>
      </c>
      <c r="N381" s="115">
        <f t="array" ref="N381">MIN(IF(Consolidado!$A$6:$A$1000='TOTALES DIARIOS'!A381,IF(Consolidado!$C$6:$C$1000&lt;=M381,Consolidado!$C$6:$C$1000,1)))</f>
        <v>0</v>
      </c>
      <c r="O381" s="115">
        <f t="array" ref="O381">MAX(IF(Consolidado!$A$6:$A$1000='TOTALES DIARIOS'!A381,IF(Consolidado!$D$6:$D$1000&gt;=M381,Consolidado!$D$6:$D$1000,0)))</f>
        <v>0</v>
      </c>
      <c r="P381" s="118">
        <f t="array" ref="P381">MAX(IF(Consolidado!$A$6:$A$1000='TOTALES DIARIOS'!A381,IF(Consolidado!$D$6:$D$1000&lt;=M381,Consolidado!$D$6:$D$1000,0)))</f>
        <v>0</v>
      </c>
      <c r="Q381" s="117">
        <f t="shared" si="73"/>
        <v>0</v>
      </c>
      <c r="R381" s="117">
        <f t="shared" si="72"/>
        <v>0</v>
      </c>
      <c r="S381" s="104" t="str">
        <f t="shared" si="70"/>
        <v>NO</v>
      </c>
    </row>
    <row r="382" spans="1:19" x14ac:dyDescent="0.25">
      <c r="A382" s="221">
        <f t="shared" si="71"/>
        <v>45670</v>
      </c>
      <c r="B382" s="130" t="str">
        <f t="shared" si="62"/>
        <v/>
      </c>
      <c r="C382" s="217">
        <f t="shared" si="63"/>
        <v>0</v>
      </c>
      <c r="D382" s="217">
        <f t="shared" si="64"/>
        <v>0</v>
      </c>
      <c r="E382" s="218">
        <f>SUMIF(Consolidado!$A$6:$A$380,'TOTALES DIARIOS'!A382,Consolidado!$E$6:$E$380)</f>
        <v>0</v>
      </c>
      <c r="F382" s="218">
        <f>SUMIF(Consolidado!$A$6:$A$380,'TOTALES DIARIOS'!A382,Consolidado!$F$6:$F$380)</f>
        <v>0</v>
      </c>
      <c r="G382" s="218">
        <f>SUMIF(Consolidado!$A$6:$A$380,'TOTALES DIARIOS'!A382,Consolidado!$G$6:$G$380)</f>
        <v>0</v>
      </c>
      <c r="H382" s="219">
        <f t="shared" si="65"/>
        <v>0</v>
      </c>
      <c r="I382" s="99">
        <f t="shared" si="66"/>
        <v>0</v>
      </c>
      <c r="J382" s="99">
        <f t="shared" si="67"/>
        <v>0</v>
      </c>
      <c r="K382" s="113">
        <f t="shared" si="68"/>
        <v>2025</v>
      </c>
      <c r="L382" s="113">
        <f t="shared" si="69"/>
        <v>1</v>
      </c>
      <c r="M382" s="115">
        <f t="array" ref="M382">MIN(IF(Consolidado!$A$6:$A$1000='TOTALES DIARIOS'!A382,IF(Consolidado!$C$6:$C$1000&gt;TIMEVALUE("07:00"),Consolidado!$C$6:$C$1000,1)))</f>
        <v>0</v>
      </c>
      <c r="N382" s="115">
        <f t="array" ref="N382">MIN(IF(Consolidado!$A$6:$A$1000='TOTALES DIARIOS'!A382,IF(Consolidado!$C$6:$C$1000&lt;=M382,Consolidado!$C$6:$C$1000,1)))</f>
        <v>0</v>
      </c>
      <c r="O382" s="115">
        <f t="array" ref="O382">MAX(IF(Consolidado!$A$6:$A$1000='TOTALES DIARIOS'!A382,IF(Consolidado!$D$6:$D$1000&gt;=M382,Consolidado!$D$6:$D$1000,0)))</f>
        <v>0</v>
      </c>
      <c r="P382" s="118">
        <f t="array" ref="P382">MAX(IF(Consolidado!$A$6:$A$1000='TOTALES DIARIOS'!A382,IF(Consolidado!$D$6:$D$1000&lt;=M382,Consolidado!$D$6:$D$1000,0)))</f>
        <v>0</v>
      </c>
      <c r="Q382" s="117">
        <f t="shared" si="73"/>
        <v>0</v>
      </c>
      <c r="R382" s="117">
        <f t="shared" si="72"/>
        <v>0</v>
      </c>
      <c r="S382" s="104" t="str">
        <f t="shared" si="70"/>
        <v>NO</v>
      </c>
    </row>
    <row r="383" spans="1:19" x14ac:dyDescent="0.25">
      <c r="A383" s="221">
        <f t="shared" si="71"/>
        <v>45671</v>
      </c>
      <c r="B383" s="130" t="str">
        <f t="shared" si="62"/>
        <v/>
      </c>
      <c r="C383" s="217">
        <f t="shared" si="63"/>
        <v>0</v>
      </c>
      <c r="D383" s="217">
        <f t="shared" si="64"/>
        <v>0</v>
      </c>
      <c r="E383" s="218">
        <f>SUMIF(Consolidado!$A$6:$A$380,'TOTALES DIARIOS'!A383,Consolidado!$E$6:$E$380)</f>
        <v>0</v>
      </c>
      <c r="F383" s="218">
        <f>SUMIF(Consolidado!$A$6:$A$380,'TOTALES DIARIOS'!A383,Consolidado!$F$6:$F$380)</f>
        <v>0</v>
      </c>
      <c r="G383" s="218">
        <f>SUMIF(Consolidado!$A$6:$A$380,'TOTALES DIARIOS'!A383,Consolidado!$G$6:$G$380)</f>
        <v>0</v>
      </c>
      <c r="H383" s="219">
        <f t="shared" si="65"/>
        <v>0</v>
      </c>
      <c r="I383" s="99">
        <f t="shared" si="66"/>
        <v>0</v>
      </c>
      <c r="J383" s="99">
        <f t="shared" si="67"/>
        <v>0</v>
      </c>
      <c r="K383" s="113">
        <f t="shared" si="68"/>
        <v>2025</v>
      </c>
      <c r="L383" s="113">
        <f t="shared" si="69"/>
        <v>1</v>
      </c>
      <c r="M383" s="115">
        <f t="array" ref="M383">MIN(IF(Consolidado!$A$6:$A$1000='TOTALES DIARIOS'!A383,IF(Consolidado!$C$6:$C$1000&gt;TIMEVALUE("07:00"),Consolidado!$C$6:$C$1000,1)))</f>
        <v>0</v>
      </c>
      <c r="N383" s="115">
        <f t="array" ref="N383">MIN(IF(Consolidado!$A$6:$A$1000='TOTALES DIARIOS'!A383,IF(Consolidado!$C$6:$C$1000&lt;=M383,Consolidado!$C$6:$C$1000,1)))</f>
        <v>0</v>
      </c>
      <c r="O383" s="115">
        <f t="array" ref="O383">MAX(IF(Consolidado!$A$6:$A$1000='TOTALES DIARIOS'!A383,IF(Consolidado!$D$6:$D$1000&gt;=M383,Consolidado!$D$6:$D$1000,0)))</f>
        <v>0</v>
      </c>
      <c r="P383" s="118">
        <f t="array" ref="P383">MAX(IF(Consolidado!$A$6:$A$1000='TOTALES DIARIOS'!A383,IF(Consolidado!$D$6:$D$1000&lt;=M383,Consolidado!$D$6:$D$1000,0)))</f>
        <v>0</v>
      </c>
      <c r="Q383" s="117">
        <f t="shared" si="73"/>
        <v>0</v>
      </c>
      <c r="R383" s="117">
        <f t="shared" si="72"/>
        <v>0</v>
      </c>
      <c r="S383" s="104" t="str">
        <f t="shared" si="70"/>
        <v>NO</v>
      </c>
    </row>
    <row r="384" spans="1:19" x14ac:dyDescent="0.25">
      <c r="A384" s="221">
        <f t="shared" si="71"/>
        <v>45672</v>
      </c>
      <c r="B384" s="130" t="str">
        <f t="shared" si="62"/>
        <v/>
      </c>
      <c r="C384" s="217">
        <f t="shared" si="63"/>
        <v>0</v>
      </c>
      <c r="D384" s="217">
        <f t="shared" si="64"/>
        <v>0</v>
      </c>
      <c r="E384" s="218">
        <f>SUMIF(Consolidado!$A$6:$A$380,'TOTALES DIARIOS'!A384,Consolidado!$E$6:$E$380)</f>
        <v>0</v>
      </c>
      <c r="F384" s="218">
        <f>SUMIF(Consolidado!$A$6:$A$380,'TOTALES DIARIOS'!A384,Consolidado!$F$6:$F$380)</f>
        <v>0</v>
      </c>
      <c r="G384" s="218">
        <f>SUMIF(Consolidado!$A$6:$A$380,'TOTALES DIARIOS'!A384,Consolidado!$G$6:$G$380)</f>
        <v>0</v>
      </c>
      <c r="H384" s="219">
        <f t="shared" si="65"/>
        <v>0</v>
      </c>
      <c r="I384" s="99">
        <f t="shared" si="66"/>
        <v>0</v>
      </c>
      <c r="J384" s="99">
        <f t="shared" si="67"/>
        <v>0</v>
      </c>
      <c r="K384" s="113">
        <f t="shared" si="68"/>
        <v>2025</v>
      </c>
      <c r="L384" s="113">
        <f t="shared" si="69"/>
        <v>1</v>
      </c>
      <c r="M384" s="115">
        <f t="array" ref="M384">MIN(IF(Consolidado!$A$6:$A$1000='TOTALES DIARIOS'!A384,IF(Consolidado!$C$6:$C$1000&gt;TIMEVALUE("07:00"),Consolidado!$C$6:$C$1000,1)))</f>
        <v>0</v>
      </c>
      <c r="N384" s="115">
        <f t="array" ref="N384">MIN(IF(Consolidado!$A$6:$A$1000='TOTALES DIARIOS'!A384,IF(Consolidado!$C$6:$C$1000&lt;=M384,Consolidado!$C$6:$C$1000,1)))</f>
        <v>0</v>
      </c>
      <c r="O384" s="115">
        <f t="array" ref="O384">MAX(IF(Consolidado!$A$6:$A$1000='TOTALES DIARIOS'!A384,IF(Consolidado!$D$6:$D$1000&gt;=M384,Consolidado!$D$6:$D$1000,0)))</f>
        <v>0</v>
      </c>
      <c r="P384" s="118">
        <f t="array" ref="P384">MAX(IF(Consolidado!$A$6:$A$1000='TOTALES DIARIOS'!A384,IF(Consolidado!$D$6:$D$1000&lt;=M384,Consolidado!$D$6:$D$1000,0)))</f>
        <v>0</v>
      </c>
      <c r="Q384" s="117">
        <f t="shared" si="73"/>
        <v>0</v>
      </c>
      <c r="R384" s="117">
        <f t="shared" si="72"/>
        <v>0</v>
      </c>
      <c r="S384" s="104" t="str">
        <f t="shared" si="70"/>
        <v>NO</v>
      </c>
    </row>
    <row r="385" spans="1:19" x14ac:dyDescent="0.25">
      <c r="A385" s="221">
        <f t="shared" si="71"/>
        <v>45673</v>
      </c>
      <c r="B385" s="130" t="str">
        <f t="shared" si="62"/>
        <v/>
      </c>
      <c r="C385" s="217">
        <f t="shared" si="63"/>
        <v>0</v>
      </c>
      <c r="D385" s="217">
        <f t="shared" si="64"/>
        <v>0</v>
      </c>
      <c r="E385" s="218">
        <f>SUMIF(Consolidado!$A$6:$A$380,'TOTALES DIARIOS'!A385,Consolidado!$E$6:$E$380)</f>
        <v>0</v>
      </c>
      <c r="F385" s="218">
        <f>SUMIF(Consolidado!$A$6:$A$380,'TOTALES DIARIOS'!A385,Consolidado!$F$6:$F$380)</f>
        <v>0</v>
      </c>
      <c r="G385" s="218">
        <f>SUMIF(Consolidado!$A$6:$A$380,'TOTALES DIARIOS'!A385,Consolidado!$G$6:$G$380)</f>
        <v>0</v>
      </c>
      <c r="H385" s="219">
        <f t="shared" si="65"/>
        <v>0</v>
      </c>
      <c r="I385" s="99">
        <f t="shared" si="66"/>
        <v>0</v>
      </c>
      <c r="J385" s="99">
        <f t="shared" si="67"/>
        <v>0</v>
      </c>
      <c r="K385" s="113">
        <f t="shared" si="68"/>
        <v>2025</v>
      </c>
      <c r="L385" s="113">
        <f t="shared" si="69"/>
        <v>1</v>
      </c>
      <c r="M385" s="115">
        <f t="array" ref="M385">MIN(IF(Consolidado!$A$6:$A$1000='TOTALES DIARIOS'!A385,IF(Consolidado!$C$6:$C$1000&gt;TIMEVALUE("07:00"),Consolidado!$C$6:$C$1000,1)))</f>
        <v>0</v>
      </c>
      <c r="N385" s="115">
        <f t="array" ref="N385">MIN(IF(Consolidado!$A$6:$A$1000='TOTALES DIARIOS'!A385,IF(Consolidado!$C$6:$C$1000&lt;=M385,Consolidado!$C$6:$C$1000,1)))</f>
        <v>0</v>
      </c>
      <c r="O385" s="115">
        <f t="array" ref="O385">MAX(IF(Consolidado!$A$6:$A$1000='TOTALES DIARIOS'!A385,IF(Consolidado!$D$6:$D$1000&gt;=M385,Consolidado!$D$6:$D$1000,0)))</f>
        <v>0</v>
      </c>
      <c r="P385" s="118">
        <f t="array" ref="P385">MAX(IF(Consolidado!$A$6:$A$1000='TOTALES DIARIOS'!A385,IF(Consolidado!$D$6:$D$1000&lt;=M385,Consolidado!$D$6:$D$1000,0)))</f>
        <v>0</v>
      </c>
      <c r="Q385" s="117">
        <f t="shared" si="73"/>
        <v>0</v>
      </c>
      <c r="R385" s="117">
        <f t="shared" si="72"/>
        <v>0</v>
      </c>
      <c r="S385" s="104" t="str">
        <f t="shared" si="70"/>
        <v>NO</v>
      </c>
    </row>
    <row r="386" spans="1:19" x14ac:dyDescent="0.25">
      <c r="A386" s="221">
        <f t="shared" si="71"/>
        <v>45674</v>
      </c>
      <c r="B386" s="130" t="str">
        <f t="shared" si="62"/>
        <v/>
      </c>
      <c r="C386" s="217">
        <f t="shared" si="63"/>
        <v>0</v>
      </c>
      <c r="D386" s="217">
        <f t="shared" si="64"/>
        <v>0</v>
      </c>
      <c r="E386" s="218">
        <f>SUMIF(Consolidado!$A$6:$A$380,'TOTALES DIARIOS'!A386,Consolidado!$E$6:$E$380)</f>
        <v>0</v>
      </c>
      <c r="F386" s="218">
        <f>SUMIF(Consolidado!$A$6:$A$380,'TOTALES DIARIOS'!A386,Consolidado!$F$6:$F$380)</f>
        <v>0</v>
      </c>
      <c r="G386" s="218">
        <f>SUMIF(Consolidado!$A$6:$A$380,'TOTALES DIARIOS'!A386,Consolidado!$G$6:$G$380)</f>
        <v>0</v>
      </c>
      <c r="H386" s="219">
        <f t="shared" si="65"/>
        <v>0</v>
      </c>
      <c r="I386" s="99">
        <f t="shared" si="66"/>
        <v>0</v>
      </c>
      <c r="J386" s="99">
        <f t="shared" si="67"/>
        <v>0</v>
      </c>
      <c r="K386" s="113">
        <f t="shared" si="68"/>
        <v>2025</v>
      </c>
      <c r="L386" s="113">
        <f t="shared" si="69"/>
        <v>1</v>
      </c>
      <c r="M386" s="115">
        <f t="array" ref="M386">MIN(IF(Consolidado!$A$6:$A$1000='TOTALES DIARIOS'!A386,IF(Consolidado!$C$6:$C$1000&gt;TIMEVALUE("07:00"),Consolidado!$C$6:$C$1000,1)))</f>
        <v>0</v>
      </c>
      <c r="N386" s="115">
        <f t="array" ref="N386">MIN(IF(Consolidado!$A$6:$A$1000='TOTALES DIARIOS'!A386,IF(Consolidado!$C$6:$C$1000&lt;=M386,Consolidado!$C$6:$C$1000,1)))</f>
        <v>0</v>
      </c>
      <c r="O386" s="115">
        <f t="array" ref="O386">MAX(IF(Consolidado!$A$6:$A$1000='TOTALES DIARIOS'!A386,IF(Consolidado!$D$6:$D$1000&gt;=M386,Consolidado!$D$6:$D$1000,0)))</f>
        <v>0</v>
      </c>
      <c r="P386" s="118">
        <f t="array" ref="P386">MAX(IF(Consolidado!$A$6:$A$1000='TOTALES DIARIOS'!A386,IF(Consolidado!$D$6:$D$1000&lt;=M386,Consolidado!$D$6:$D$1000,0)))</f>
        <v>0</v>
      </c>
      <c r="Q386" s="117">
        <f t="shared" si="73"/>
        <v>0</v>
      </c>
      <c r="R386" s="117">
        <f t="shared" si="72"/>
        <v>0</v>
      </c>
      <c r="S386" s="104" t="str">
        <f t="shared" si="70"/>
        <v>NO</v>
      </c>
    </row>
    <row r="387" spans="1:19" x14ac:dyDescent="0.25">
      <c r="A387" s="221">
        <f t="shared" si="71"/>
        <v>45675</v>
      </c>
      <c r="B387" s="130" t="str">
        <f t="shared" si="62"/>
        <v/>
      </c>
      <c r="C387" s="217">
        <f t="shared" si="63"/>
        <v>0</v>
      </c>
      <c r="D387" s="217">
        <f t="shared" si="64"/>
        <v>0</v>
      </c>
      <c r="E387" s="218">
        <f>SUMIF(Consolidado!$A$6:$A$380,'TOTALES DIARIOS'!A387,Consolidado!$E$6:$E$380)</f>
        <v>0</v>
      </c>
      <c r="F387" s="218">
        <f>SUMIF(Consolidado!$A$6:$A$380,'TOTALES DIARIOS'!A387,Consolidado!$F$6:$F$380)</f>
        <v>0</v>
      </c>
      <c r="G387" s="218">
        <f>SUMIF(Consolidado!$A$6:$A$380,'TOTALES DIARIOS'!A387,Consolidado!$G$6:$G$380)</f>
        <v>0</v>
      </c>
      <c r="H387" s="219">
        <f t="shared" si="65"/>
        <v>0</v>
      </c>
      <c r="I387" s="99">
        <f t="shared" si="66"/>
        <v>0</v>
      </c>
      <c r="J387" s="99">
        <f t="shared" si="67"/>
        <v>0</v>
      </c>
      <c r="K387" s="113">
        <f t="shared" si="68"/>
        <v>2025</v>
      </c>
      <c r="L387" s="113">
        <f t="shared" si="69"/>
        <v>1</v>
      </c>
      <c r="M387" s="115">
        <f t="array" ref="M387">MIN(IF(Consolidado!$A$6:$A$1000='TOTALES DIARIOS'!A387,IF(Consolidado!$C$6:$C$1000&gt;TIMEVALUE("07:00"),Consolidado!$C$6:$C$1000,1)))</f>
        <v>0</v>
      </c>
      <c r="N387" s="115">
        <f t="array" ref="N387">MIN(IF(Consolidado!$A$6:$A$1000='TOTALES DIARIOS'!A387,IF(Consolidado!$C$6:$C$1000&lt;=M387,Consolidado!$C$6:$C$1000,1)))</f>
        <v>0</v>
      </c>
      <c r="O387" s="115">
        <f t="array" ref="O387">MAX(IF(Consolidado!$A$6:$A$1000='TOTALES DIARIOS'!A387,IF(Consolidado!$D$6:$D$1000&gt;=M387,Consolidado!$D$6:$D$1000,0)))</f>
        <v>0</v>
      </c>
      <c r="P387" s="118">
        <f t="array" ref="P387">MAX(IF(Consolidado!$A$6:$A$1000='TOTALES DIARIOS'!A387,IF(Consolidado!$D$6:$D$1000&lt;=M387,Consolidado!$D$6:$D$1000,0)))</f>
        <v>0</v>
      </c>
      <c r="Q387" s="117">
        <f t="shared" si="73"/>
        <v>0</v>
      </c>
      <c r="R387" s="117">
        <f t="shared" si="72"/>
        <v>0</v>
      </c>
      <c r="S387" s="104" t="str">
        <f t="shared" si="70"/>
        <v>NO</v>
      </c>
    </row>
    <row r="388" spans="1:19" x14ac:dyDescent="0.25">
      <c r="A388" s="221">
        <f t="shared" si="71"/>
        <v>45676</v>
      </c>
      <c r="B388" s="130" t="str">
        <f t="shared" ref="B388:B451" si="74">IF(G388=0,"",C388-"1:00")</f>
        <v/>
      </c>
      <c r="C388" s="217">
        <f t="shared" ref="C388:C451" si="75">Q388</f>
        <v>0</v>
      </c>
      <c r="D388" s="217">
        <f t="shared" ref="D388:D451" si="76">R388</f>
        <v>0</v>
      </c>
      <c r="E388" s="218">
        <f>SUMIF(Consolidado!$A$6:$A$380,'TOTALES DIARIOS'!A388,Consolidado!$E$6:$E$380)</f>
        <v>0</v>
      </c>
      <c r="F388" s="218">
        <f>SUMIF(Consolidado!$A$6:$A$380,'TOTALES DIARIOS'!A388,Consolidado!$F$6:$F$380)</f>
        <v>0</v>
      </c>
      <c r="G388" s="218">
        <f>SUMIF(Consolidado!$A$6:$A$380,'TOTALES DIARIOS'!A388,Consolidado!$G$6:$G$380)</f>
        <v>0</v>
      </c>
      <c r="H388" s="219">
        <f t="shared" ref="H388:H451" si="77">IF(B388="",0,IF(B388&lt;D388,D388-B388+"0:30","24:00"-B388+D388+"0:30"))*24</f>
        <v>0</v>
      </c>
      <c r="I388" s="99">
        <f t="shared" ref="I388:I451" si="78">IF(G388&lt;&gt;0,1,0)</f>
        <v>0</v>
      </c>
      <c r="J388" s="99">
        <f t="shared" ref="J388:J451" si="79">IF(H388=0,0,IF((D388-"3:30")&gt;(C388-"3:30"),1,2))</f>
        <v>0</v>
      </c>
      <c r="K388" s="113">
        <f t="shared" ref="K388:K451" si="80">YEAR(A388)</f>
        <v>2025</v>
      </c>
      <c r="L388" s="113">
        <f t="shared" ref="L388:L451" si="81">MONTH(A388)</f>
        <v>1</v>
      </c>
      <c r="M388" s="115">
        <f t="array" ref="M388">MIN(IF(Consolidado!$A$6:$A$1000='TOTALES DIARIOS'!A388,IF(Consolidado!$C$6:$C$1000&gt;TIMEVALUE("07:00"),Consolidado!$C$6:$C$1000,1)))</f>
        <v>0</v>
      </c>
      <c r="N388" s="115">
        <f t="array" ref="N388">MIN(IF(Consolidado!$A$6:$A$1000='TOTALES DIARIOS'!A388,IF(Consolidado!$C$6:$C$1000&lt;=M388,Consolidado!$C$6:$C$1000,1)))</f>
        <v>0</v>
      </c>
      <c r="O388" s="115">
        <f t="array" ref="O388">MAX(IF(Consolidado!$A$6:$A$1000='TOTALES DIARIOS'!A388,IF(Consolidado!$D$6:$D$1000&gt;=M388,Consolidado!$D$6:$D$1000,0)))</f>
        <v>0</v>
      </c>
      <c r="P388" s="118">
        <f t="array" ref="P388">MAX(IF(Consolidado!$A$6:$A$1000='TOTALES DIARIOS'!A388,IF(Consolidado!$D$6:$D$1000&lt;=M388,Consolidado!$D$6:$D$1000,0)))</f>
        <v>0</v>
      </c>
      <c r="Q388" s="117">
        <f t="shared" si="73"/>
        <v>0</v>
      </c>
      <c r="R388" s="117">
        <f t="shared" si="72"/>
        <v>0</v>
      </c>
      <c r="S388" s="104" t="str">
        <f t="shared" ref="S388:S451" si="82">IF(D388&gt;AB388,"SI","NO")</f>
        <v>NO</v>
      </c>
    </row>
    <row r="389" spans="1:19" x14ac:dyDescent="0.25">
      <c r="A389" s="221">
        <f t="shared" si="71"/>
        <v>45677</v>
      </c>
      <c r="B389" s="130" t="str">
        <f t="shared" si="74"/>
        <v/>
      </c>
      <c r="C389" s="217">
        <f t="shared" si="75"/>
        <v>0</v>
      </c>
      <c r="D389" s="217">
        <f t="shared" si="76"/>
        <v>0</v>
      </c>
      <c r="E389" s="218">
        <f>SUMIF(Consolidado!$A$6:$A$380,'TOTALES DIARIOS'!A389,Consolidado!$E$6:$E$380)</f>
        <v>0</v>
      </c>
      <c r="F389" s="218">
        <f>SUMIF(Consolidado!$A$6:$A$380,'TOTALES DIARIOS'!A389,Consolidado!$F$6:$F$380)</f>
        <v>0</v>
      </c>
      <c r="G389" s="218">
        <f>SUMIF(Consolidado!$A$6:$A$380,'TOTALES DIARIOS'!A389,Consolidado!$G$6:$G$380)</f>
        <v>0</v>
      </c>
      <c r="H389" s="219">
        <f t="shared" si="77"/>
        <v>0</v>
      </c>
      <c r="I389" s="99">
        <f t="shared" si="78"/>
        <v>0</v>
      </c>
      <c r="J389" s="99">
        <f t="shared" si="79"/>
        <v>0</v>
      </c>
      <c r="K389" s="113">
        <f t="shared" si="80"/>
        <v>2025</v>
      </c>
      <c r="L389" s="113">
        <f t="shared" si="81"/>
        <v>1</v>
      </c>
      <c r="M389" s="115">
        <f t="array" ref="M389">MIN(IF(Consolidado!$A$6:$A$1000='TOTALES DIARIOS'!A389,IF(Consolidado!$C$6:$C$1000&gt;TIMEVALUE("07:00"),Consolidado!$C$6:$C$1000,1)))</f>
        <v>0</v>
      </c>
      <c r="N389" s="115">
        <f t="array" ref="N389">MIN(IF(Consolidado!$A$6:$A$1000='TOTALES DIARIOS'!A389,IF(Consolidado!$C$6:$C$1000&lt;=M389,Consolidado!$C$6:$C$1000,1)))</f>
        <v>0</v>
      </c>
      <c r="O389" s="115">
        <f t="array" ref="O389">MAX(IF(Consolidado!$A$6:$A$1000='TOTALES DIARIOS'!A389,IF(Consolidado!$D$6:$D$1000&gt;=M389,Consolidado!$D$6:$D$1000,0)))</f>
        <v>0</v>
      </c>
      <c r="P389" s="118">
        <f t="array" ref="P389">MAX(IF(Consolidado!$A$6:$A$1000='TOTALES DIARIOS'!A389,IF(Consolidado!$D$6:$D$1000&lt;=M389,Consolidado!$D$6:$D$1000,0)))</f>
        <v>0</v>
      </c>
      <c r="Q389" s="117">
        <f t="shared" si="73"/>
        <v>0</v>
      </c>
      <c r="R389" s="117">
        <f t="shared" si="72"/>
        <v>0</v>
      </c>
      <c r="S389" s="104" t="str">
        <f t="shared" si="82"/>
        <v>NO</v>
      </c>
    </row>
    <row r="390" spans="1:19" x14ac:dyDescent="0.25">
      <c r="A390" s="221">
        <f t="shared" ref="A390:A453" si="83">IFERROR(A389+1,"")</f>
        <v>45678</v>
      </c>
      <c r="B390" s="130" t="str">
        <f t="shared" si="74"/>
        <v/>
      </c>
      <c r="C390" s="217">
        <f t="shared" si="75"/>
        <v>0</v>
      </c>
      <c r="D390" s="217">
        <f t="shared" si="76"/>
        <v>0</v>
      </c>
      <c r="E390" s="218">
        <f>SUMIF(Consolidado!$A$6:$A$380,'TOTALES DIARIOS'!A390,Consolidado!$E$6:$E$380)</f>
        <v>0</v>
      </c>
      <c r="F390" s="218">
        <f>SUMIF(Consolidado!$A$6:$A$380,'TOTALES DIARIOS'!A390,Consolidado!$F$6:$F$380)</f>
        <v>0</v>
      </c>
      <c r="G390" s="218">
        <f>SUMIF(Consolidado!$A$6:$A$380,'TOTALES DIARIOS'!A390,Consolidado!$G$6:$G$380)</f>
        <v>0</v>
      </c>
      <c r="H390" s="219">
        <f t="shared" si="77"/>
        <v>0</v>
      </c>
      <c r="I390" s="99">
        <f t="shared" si="78"/>
        <v>0</v>
      </c>
      <c r="J390" s="99">
        <f t="shared" si="79"/>
        <v>0</v>
      </c>
      <c r="K390" s="113">
        <f t="shared" si="80"/>
        <v>2025</v>
      </c>
      <c r="L390" s="113">
        <f t="shared" si="81"/>
        <v>1</v>
      </c>
      <c r="M390" s="115">
        <f t="array" ref="M390">MIN(IF(Consolidado!$A$6:$A$1000='TOTALES DIARIOS'!A390,IF(Consolidado!$C$6:$C$1000&gt;TIMEVALUE("07:00"),Consolidado!$C$6:$C$1000,1)))</f>
        <v>0</v>
      </c>
      <c r="N390" s="115">
        <f t="array" ref="N390">MIN(IF(Consolidado!$A$6:$A$1000='TOTALES DIARIOS'!A390,IF(Consolidado!$C$6:$C$1000&lt;=M390,Consolidado!$C$6:$C$1000,1)))</f>
        <v>0</v>
      </c>
      <c r="O390" s="115">
        <f t="array" ref="O390">MAX(IF(Consolidado!$A$6:$A$1000='TOTALES DIARIOS'!A390,IF(Consolidado!$D$6:$D$1000&gt;=M390,Consolidado!$D$6:$D$1000,0)))</f>
        <v>0</v>
      </c>
      <c r="P390" s="118">
        <f t="array" ref="P390">MAX(IF(Consolidado!$A$6:$A$1000='TOTALES DIARIOS'!A390,IF(Consolidado!$D$6:$D$1000&lt;=M390,Consolidado!$D$6:$D$1000,0)))</f>
        <v>0</v>
      </c>
      <c r="Q390" s="117">
        <f t="shared" si="73"/>
        <v>0</v>
      </c>
      <c r="R390" s="117">
        <f t="shared" si="72"/>
        <v>0</v>
      </c>
      <c r="S390" s="104" t="str">
        <f t="shared" si="82"/>
        <v>NO</v>
      </c>
    </row>
    <row r="391" spans="1:19" x14ac:dyDescent="0.25">
      <c r="A391" s="221">
        <f t="shared" si="83"/>
        <v>45679</v>
      </c>
      <c r="B391" s="130" t="str">
        <f t="shared" si="74"/>
        <v/>
      </c>
      <c r="C391" s="217">
        <f t="shared" si="75"/>
        <v>0</v>
      </c>
      <c r="D391" s="217">
        <f t="shared" si="76"/>
        <v>0</v>
      </c>
      <c r="E391" s="218">
        <f>SUMIF(Consolidado!$A$6:$A$380,'TOTALES DIARIOS'!A391,Consolidado!$E$6:$E$380)</f>
        <v>0</v>
      </c>
      <c r="F391" s="218">
        <f>SUMIF(Consolidado!$A$6:$A$380,'TOTALES DIARIOS'!A391,Consolidado!$F$6:$F$380)</f>
        <v>0</v>
      </c>
      <c r="G391" s="218">
        <f>SUMIF(Consolidado!$A$6:$A$380,'TOTALES DIARIOS'!A391,Consolidado!$G$6:$G$380)</f>
        <v>0</v>
      </c>
      <c r="H391" s="219">
        <f t="shared" si="77"/>
        <v>0</v>
      </c>
      <c r="I391" s="99">
        <f t="shared" si="78"/>
        <v>0</v>
      </c>
      <c r="J391" s="99">
        <f t="shared" si="79"/>
        <v>0</v>
      </c>
      <c r="K391" s="113">
        <f t="shared" si="80"/>
        <v>2025</v>
      </c>
      <c r="L391" s="113">
        <f t="shared" si="81"/>
        <v>1</v>
      </c>
      <c r="M391" s="115">
        <f t="array" ref="M391">MIN(IF(Consolidado!$A$6:$A$1000='TOTALES DIARIOS'!A391,IF(Consolidado!$C$6:$C$1000&gt;TIMEVALUE("07:00"),Consolidado!$C$6:$C$1000,1)))</f>
        <v>0</v>
      </c>
      <c r="N391" s="115">
        <f t="array" ref="N391">MIN(IF(Consolidado!$A$6:$A$1000='TOTALES DIARIOS'!A391,IF(Consolidado!$C$6:$C$1000&lt;=M391,Consolidado!$C$6:$C$1000,1)))</f>
        <v>0</v>
      </c>
      <c r="O391" s="115">
        <f t="array" ref="O391">MAX(IF(Consolidado!$A$6:$A$1000='TOTALES DIARIOS'!A391,IF(Consolidado!$D$6:$D$1000&gt;=M391,Consolidado!$D$6:$D$1000,0)))</f>
        <v>0</v>
      </c>
      <c r="P391" s="118">
        <f t="array" ref="P391">MAX(IF(Consolidado!$A$6:$A$1000='TOTALES DIARIOS'!A391,IF(Consolidado!$D$6:$D$1000&lt;=M391,Consolidado!$D$6:$D$1000,0)))</f>
        <v>0</v>
      </c>
      <c r="Q391" s="117">
        <f t="shared" si="73"/>
        <v>0</v>
      </c>
      <c r="R391" s="117">
        <f t="shared" ref="R391:R454" si="84">IF(O391=0,P391,IF(P391=0,O391,MIN(P391,O391)))</f>
        <v>0</v>
      </c>
      <c r="S391" s="104" t="str">
        <f t="shared" si="82"/>
        <v>NO</v>
      </c>
    </row>
    <row r="392" spans="1:19" x14ac:dyDescent="0.25">
      <c r="A392" s="221">
        <f t="shared" si="83"/>
        <v>45680</v>
      </c>
      <c r="B392" s="130" t="str">
        <f t="shared" si="74"/>
        <v/>
      </c>
      <c r="C392" s="217">
        <f t="shared" si="75"/>
        <v>0</v>
      </c>
      <c r="D392" s="217">
        <f t="shared" si="76"/>
        <v>0</v>
      </c>
      <c r="E392" s="218">
        <f>SUMIF(Consolidado!$A$6:$A$380,'TOTALES DIARIOS'!A392,Consolidado!$E$6:$E$380)</f>
        <v>0</v>
      </c>
      <c r="F392" s="218">
        <f>SUMIF(Consolidado!$A$6:$A$380,'TOTALES DIARIOS'!A392,Consolidado!$F$6:$F$380)</f>
        <v>0</v>
      </c>
      <c r="G392" s="218">
        <f>SUMIF(Consolidado!$A$6:$A$380,'TOTALES DIARIOS'!A392,Consolidado!$G$6:$G$380)</f>
        <v>0</v>
      </c>
      <c r="H392" s="219">
        <f t="shared" si="77"/>
        <v>0</v>
      </c>
      <c r="I392" s="99">
        <f t="shared" si="78"/>
        <v>0</v>
      </c>
      <c r="J392" s="99">
        <f t="shared" si="79"/>
        <v>0</v>
      </c>
      <c r="K392" s="113">
        <f t="shared" si="80"/>
        <v>2025</v>
      </c>
      <c r="L392" s="113">
        <f t="shared" si="81"/>
        <v>1</v>
      </c>
      <c r="M392" s="115">
        <f t="array" ref="M392">MIN(IF(Consolidado!$A$6:$A$1000='TOTALES DIARIOS'!A392,IF(Consolidado!$C$6:$C$1000&gt;TIMEVALUE("07:00"),Consolidado!$C$6:$C$1000,1)))</f>
        <v>0</v>
      </c>
      <c r="N392" s="115">
        <f t="array" ref="N392">MIN(IF(Consolidado!$A$6:$A$1000='TOTALES DIARIOS'!A392,IF(Consolidado!$C$6:$C$1000&lt;=M392,Consolidado!$C$6:$C$1000,1)))</f>
        <v>0</v>
      </c>
      <c r="O392" s="115">
        <f t="array" ref="O392">MAX(IF(Consolidado!$A$6:$A$1000='TOTALES DIARIOS'!A392,IF(Consolidado!$D$6:$D$1000&gt;=M392,Consolidado!$D$6:$D$1000,0)))</f>
        <v>0</v>
      </c>
      <c r="P392" s="118">
        <f t="array" ref="P392">MAX(IF(Consolidado!$A$6:$A$1000='TOTALES DIARIOS'!A392,IF(Consolidado!$D$6:$D$1000&lt;=M392,Consolidado!$D$6:$D$1000,0)))</f>
        <v>0</v>
      </c>
      <c r="Q392" s="117">
        <f t="shared" si="73"/>
        <v>0</v>
      </c>
      <c r="R392" s="117">
        <f t="shared" si="84"/>
        <v>0</v>
      </c>
      <c r="S392" s="104" t="str">
        <f t="shared" si="82"/>
        <v>NO</v>
      </c>
    </row>
    <row r="393" spans="1:19" x14ac:dyDescent="0.25">
      <c r="A393" s="221">
        <f t="shared" si="83"/>
        <v>45681</v>
      </c>
      <c r="B393" s="130" t="str">
        <f t="shared" si="74"/>
        <v/>
      </c>
      <c r="C393" s="217">
        <f t="shared" si="75"/>
        <v>0</v>
      </c>
      <c r="D393" s="217">
        <f t="shared" si="76"/>
        <v>0</v>
      </c>
      <c r="E393" s="218">
        <f>SUMIF(Consolidado!$A$6:$A$380,'TOTALES DIARIOS'!A393,Consolidado!$E$6:$E$380)</f>
        <v>0</v>
      </c>
      <c r="F393" s="218">
        <f>SUMIF(Consolidado!$A$6:$A$380,'TOTALES DIARIOS'!A393,Consolidado!$F$6:$F$380)</f>
        <v>0</v>
      </c>
      <c r="G393" s="218">
        <f>SUMIF(Consolidado!$A$6:$A$380,'TOTALES DIARIOS'!A393,Consolidado!$G$6:$G$380)</f>
        <v>0</v>
      </c>
      <c r="H393" s="219">
        <f t="shared" si="77"/>
        <v>0</v>
      </c>
      <c r="I393" s="99">
        <f t="shared" si="78"/>
        <v>0</v>
      </c>
      <c r="J393" s="99">
        <f t="shared" si="79"/>
        <v>0</v>
      </c>
      <c r="K393" s="113">
        <f t="shared" si="80"/>
        <v>2025</v>
      </c>
      <c r="L393" s="113">
        <f t="shared" si="81"/>
        <v>1</v>
      </c>
      <c r="M393" s="115">
        <f t="array" ref="M393">MIN(IF(Consolidado!$A$6:$A$1000='TOTALES DIARIOS'!A393,IF(Consolidado!$C$6:$C$1000&gt;TIMEVALUE("07:00"),Consolidado!$C$6:$C$1000,1)))</f>
        <v>0</v>
      </c>
      <c r="N393" s="115">
        <f t="array" ref="N393">MIN(IF(Consolidado!$A$6:$A$1000='TOTALES DIARIOS'!A393,IF(Consolidado!$C$6:$C$1000&lt;=M393,Consolidado!$C$6:$C$1000,1)))</f>
        <v>0</v>
      </c>
      <c r="O393" s="115">
        <f t="array" ref="O393">MAX(IF(Consolidado!$A$6:$A$1000='TOTALES DIARIOS'!A393,IF(Consolidado!$D$6:$D$1000&gt;=M393,Consolidado!$D$6:$D$1000,0)))</f>
        <v>0</v>
      </c>
      <c r="P393" s="118">
        <f t="array" ref="P393">MAX(IF(Consolidado!$A$6:$A$1000='TOTALES DIARIOS'!A393,IF(Consolidado!$D$6:$D$1000&lt;=M393,Consolidado!$D$6:$D$1000,0)))</f>
        <v>0</v>
      </c>
      <c r="Q393" s="117">
        <f t="shared" ref="Q393:Q456" si="85">IF(M393&lt;&gt;1,MAX(M393,N393),N393)</f>
        <v>0</v>
      </c>
      <c r="R393" s="117">
        <f t="shared" si="84"/>
        <v>0</v>
      </c>
      <c r="S393" s="104" t="str">
        <f t="shared" si="82"/>
        <v>NO</v>
      </c>
    </row>
    <row r="394" spans="1:19" x14ac:dyDescent="0.25">
      <c r="A394" s="221">
        <f t="shared" si="83"/>
        <v>45682</v>
      </c>
      <c r="B394" s="130" t="str">
        <f t="shared" si="74"/>
        <v/>
      </c>
      <c r="C394" s="217">
        <f t="shared" si="75"/>
        <v>0</v>
      </c>
      <c r="D394" s="217">
        <f t="shared" si="76"/>
        <v>0</v>
      </c>
      <c r="E394" s="218">
        <f>SUMIF(Consolidado!$A$6:$A$380,'TOTALES DIARIOS'!A394,Consolidado!$E$6:$E$380)</f>
        <v>0</v>
      </c>
      <c r="F394" s="218">
        <f>SUMIF(Consolidado!$A$6:$A$380,'TOTALES DIARIOS'!A394,Consolidado!$F$6:$F$380)</f>
        <v>0</v>
      </c>
      <c r="G394" s="218">
        <f>SUMIF(Consolidado!$A$6:$A$380,'TOTALES DIARIOS'!A394,Consolidado!$G$6:$G$380)</f>
        <v>0</v>
      </c>
      <c r="H394" s="219">
        <f t="shared" si="77"/>
        <v>0</v>
      </c>
      <c r="I394" s="99">
        <f t="shared" si="78"/>
        <v>0</v>
      </c>
      <c r="J394" s="99">
        <f t="shared" si="79"/>
        <v>0</v>
      </c>
      <c r="K394" s="113">
        <f t="shared" si="80"/>
        <v>2025</v>
      </c>
      <c r="L394" s="113">
        <f t="shared" si="81"/>
        <v>1</v>
      </c>
      <c r="M394" s="115">
        <f t="array" ref="M394">MIN(IF(Consolidado!$A$6:$A$1000='TOTALES DIARIOS'!A394,IF(Consolidado!$C$6:$C$1000&gt;TIMEVALUE("07:00"),Consolidado!$C$6:$C$1000,1)))</f>
        <v>0</v>
      </c>
      <c r="N394" s="115">
        <f t="array" ref="N394">MIN(IF(Consolidado!$A$6:$A$1000='TOTALES DIARIOS'!A394,IF(Consolidado!$C$6:$C$1000&lt;=M394,Consolidado!$C$6:$C$1000,1)))</f>
        <v>0</v>
      </c>
      <c r="O394" s="115">
        <f t="array" ref="O394">MAX(IF(Consolidado!$A$6:$A$1000='TOTALES DIARIOS'!A394,IF(Consolidado!$D$6:$D$1000&gt;=M394,Consolidado!$D$6:$D$1000,0)))</f>
        <v>0</v>
      </c>
      <c r="P394" s="118">
        <f t="array" ref="P394">MAX(IF(Consolidado!$A$6:$A$1000='TOTALES DIARIOS'!A394,IF(Consolidado!$D$6:$D$1000&lt;=M394,Consolidado!$D$6:$D$1000,0)))</f>
        <v>0</v>
      </c>
      <c r="Q394" s="117">
        <f t="shared" si="85"/>
        <v>0</v>
      </c>
      <c r="R394" s="117">
        <f t="shared" si="84"/>
        <v>0</v>
      </c>
      <c r="S394" s="104" t="str">
        <f t="shared" si="82"/>
        <v>NO</v>
      </c>
    </row>
    <row r="395" spans="1:19" x14ac:dyDescent="0.25">
      <c r="A395" s="221">
        <f t="shared" si="83"/>
        <v>45683</v>
      </c>
      <c r="B395" s="130" t="str">
        <f t="shared" si="74"/>
        <v/>
      </c>
      <c r="C395" s="217">
        <f t="shared" si="75"/>
        <v>0</v>
      </c>
      <c r="D395" s="217">
        <f t="shared" si="76"/>
        <v>0</v>
      </c>
      <c r="E395" s="218">
        <f>SUMIF(Consolidado!$A$6:$A$380,'TOTALES DIARIOS'!A395,Consolidado!$E$6:$E$380)</f>
        <v>0</v>
      </c>
      <c r="F395" s="218">
        <f>SUMIF(Consolidado!$A$6:$A$380,'TOTALES DIARIOS'!A395,Consolidado!$F$6:$F$380)</f>
        <v>0</v>
      </c>
      <c r="G395" s="218">
        <f>SUMIF(Consolidado!$A$6:$A$380,'TOTALES DIARIOS'!A395,Consolidado!$G$6:$G$380)</f>
        <v>0</v>
      </c>
      <c r="H395" s="219">
        <f t="shared" si="77"/>
        <v>0</v>
      </c>
      <c r="I395" s="99">
        <f t="shared" si="78"/>
        <v>0</v>
      </c>
      <c r="J395" s="99">
        <f t="shared" si="79"/>
        <v>0</v>
      </c>
      <c r="K395" s="113">
        <f t="shared" si="80"/>
        <v>2025</v>
      </c>
      <c r="L395" s="113">
        <f t="shared" si="81"/>
        <v>1</v>
      </c>
      <c r="M395" s="115">
        <f t="array" ref="M395">MIN(IF(Consolidado!$A$6:$A$1000='TOTALES DIARIOS'!A395,IF(Consolidado!$C$6:$C$1000&gt;TIMEVALUE("07:00"),Consolidado!$C$6:$C$1000,1)))</f>
        <v>0</v>
      </c>
      <c r="N395" s="115">
        <f t="array" ref="N395">MIN(IF(Consolidado!$A$6:$A$1000='TOTALES DIARIOS'!A395,IF(Consolidado!$C$6:$C$1000&lt;=M395,Consolidado!$C$6:$C$1000,1)))</f>
        <v>0</v>
      </c>
      <c r="O395" s="115">
        <f t="array" ref="O395">MAX(IF(Consolidado!$A$6:$A$1000='TOTALES DIARIOS'!A395,IF(Consolidado!$D$6:$D$1000&gt;=M395,Consolidado!$D$6:$D$1000,0)))</f>
        <v>0</v>
      </c>
      <c r="P395" s="118">
        <f t="array" ref="P395">MAX(IF(Consolidado!$A$6:$A$1000='TOTALES DIARIOS'!A395,IF(Consolidado!$D$6:$D$1000&lt;=M395,Consolidado!$D$6:$D$1000,0)))</f>
        <v>0</v>
      </c>
      <c r="Q395" s="117">
        <f t="shared" si="85"/>
        <v>0</v>
      </c>
      <c r="R395" s="117">
        <f t="shared" si="84"/>
        <v>0</v>
      </c>
      <c r="S395" s="104" t="str">
        <f t="shared" si="82"/>
        <v>NO</v>
      </c>
    </row>
    <row r="396" spans="1:19" x14ac:dyDescent="0.25">
      <c r="A396" s="221">
        <f t="shared" si="83"/>
        <v>45684</v>
      </c>
      <c r="B396" s="130" t="str">
        <f t="shared" si="74"/>
        <v/>
      </c>
      <c r="C396" s="217">
        <f t="shared" si="75"/>
        <v>0</v>
      </c>
      <c r="D396" s="217">
        <f t="shared" si="76"/>
        <v>0</v>
      </c>
      <c r="E396" s="218">
        <f>SUMIF(Consolidado!$A$6:$A$380,'TOTALES DIARIOS'!A396,Consolidado!$E$6:$E$380)</f>
        <v>0</v>
      </c>
      <c r="F396" s="218">
        <f>SUMIF(Consolidado!$A$6:$A$380,'TOTALES DIARIOS'!A396,Consolidado!$F$6:$F$380)</f>
        <v>0</v>
      </c>
      <c r="G396" s="218">
        <f>SUMIF(Consolidado!$A$6:$A$380,'TOTALES DIARIOS'!A396,Consolidado!$G$6:$G$380)</f>
        <v>0</v>
      </c>
      <c r="H396" s="219">
        <f t="shared" si="77"/>
        <v>0</v>
      </c>
      <c r="I396" s="99">
        <f t="shared" si="78"/>
        <v>0</v>
      </c>
      <c r="J396" s="99">
        <f t="shared" si="79"/>
        <v>0</v>
      </c>
      <c r="K396" s="113">
        <f t="shared" si="80"/>
        <v>2025</v>
      </c>
      <c r="L396" s="113">
        <f t="shared" si="81"/>
        <v>1</v>
      </c>
      <c r="M396" s="115">
        <f t="array" ref="M396">MIN(IF(Consolidado!$A$6:$A$1000='TOTALES DIARIOS'!A396,IF(Consolidado!$C$6:$C$1000&gt;TIMEVALUE("07:00"),Consolidado!$C$6:$C$1000,1)))</f>
        <v>0</v>
      </c>
      <c r="N396" s="115">
        <f t="array" ref="N396">MIN(IF(Consolidado!$A$6:$A$1000='TOTALES DIARIOS'!A396,IF(Consolidado!$C$6:$C$1000&lt;=M396,Consolidado!$C$6:$C$1000,1)))</f>
        <v>0</v>
      </c>
      <c r="O396" s="115">
        <f t="array" ref="O396">MAX(IF(Consolidado!$A$6:$A$1000='TOTALES DIARIOS'!A396,IF(Consolidado!$D$6:$D$1000&gt;=M396,Consolidado!$D$6:$D$1000,0)))</f>
        <v>0</v>
      </c>
      <c r="P396" s="118">
        <f t="array" ref="P396">MAX(IF(Consolidado!$A$6:$A$1000='TOTALES DIARIOS'!A396,IF(Consolidado!$D$6:$D$1000&lt;=M396,Consolidado!$D$6:$D$1000,0)))</f>
        <v>0</v>
      </c>
      <c r="Q396" s="117">
        <f t="shared" si="85"/>
        <v>0</v>
      </c>
      <c r="R396" s="117">
        <f t="shared" si="84"/>
        <v>0</v>
      </c>
      <c r="S396" s="104" t="str">
        <f t="shared" si="82"/>
        <v>NO</v>
      </c>
    </row>
    <row r="397" spans="1:19" x14ac:dyDescent="0.25">
      <c r="A397" s="221">
        <f t="shared" si="83"/>
        <v>45685</v>
      </c>
      <c r="B397" s="130" t="str">
        <f t="shared" si="74"/>
        <v/>
      </c>
      <c r="C397" s="217">
        <f t="shared" si="75"/>
        <v>0</v>
      </c>
      <c r="D397" s="217">
        <f t="shared" si="76"/>
        <v>0</v>
      </c>
      <c r="E397" s="218">
        <f>SUMIF(Consolidado!$A$6:$A$380,'TOTALES DIARIOS'!A397,Consolidado!$E$6:$E$380)</f>
        <v>0</v>
      </c>
      <c r="F397" s="218">
        <f>SUMIF(Consolidado!$A$6:$A$380,'TOTALES DIARIOS'!A397,Consolidado!$F$6:$F$380)</f>
        <v>0</v>
      </c>
      <c r="G397" s="218">
        <f>SUMIF(Consolidado!$A$6:$A$380,'TOTALES DIARIOS'!A397,Consolidado!$G$6:$G$380)</f>
        <v>0</v>
      </c>
      <c r="H397" s="219">
        <f t="shared" si="77"/>
        <v>0</v>
      </c>
      <c r="I397" s="99">
        <f t="shared" si="78"/>
        <v>0</v>
      </c>
      <c r="J397" s="99">
        <f t="shared" si="79"/>
        <v>0</v>
      </c>
      <c r="K397" s="113">
        <f t="shared" si="80"/>
        <v>2025</v>
      </c>
      <c r="L397" s="113">
        <f t="shared" si="81"/>
        <v>1</v>
      </c>
      <c r="M397" s="115">
        <f t="array" ref="M397">MIN(IF(Consolidado!$A$6:$A$1000='TOTALES DIARIOS'!A397,IF(Consolidado!$C$6:$C$1000&gt;TIMEVALUE("07:00"),Consolidado!$C$6:$C$1000,1)))</f>
        <v>0</v>
      </c>
      <c r="N397" s="115">
        <f t="array" ref="N397">MIN(IF(Consolidado!$A$6:$A$1000='TOTALES DIARIOS'!A397,IF(Consolidado!$C$6:$C$1000&lt;=M397,Consolidado!$C$6:$C$1000,1)))</f>
        <v>0</v>
      </c>
      <c r="O397" s="115">
        <f t="array" ref="O397">MAX(IF(Consolidado!$A$6:$A$1000='TOTALES DIARIOS'!A397,IF(Consolidado!$D$6:$D$1000&gt;=M397,Consolidado!$D$6:$D$1000,0)))</f>
        <v>0</v>
      </c>
      <c r="P397" s="118">
        <f t="array" ref="P397">MAX(IF(Consolidado!$A$6:$A$1000='TOTALES DIARIOS'!A397,IF(Consolidado!$D$6:$D$1000&lt;=M397,Consolidado!$D$6:$D$1000,0)))</f>
        <v>0</v>
      </c>
      <c r="Q397" s="117">
        <f t="shared" si="85"/>
        <v>0</v>
      </c>
      <c r="R397" s="117">
        <f t="shared" si="84"/>
        <v>0</v>
      </c>
      <c r="S397" s="104" t="str">
        <f t="shared" si="82"/>
        <v>NO</v>
      </c>
    </row>
    <row r="398" spans="1:19" x14ac:dyDescent="0.25">
      <c r="A398" s="221">
        <f t="shared" si="83"/>
        <v>45686</v>
      </c>
      <c r="B398" s="130" t="str">
        <f t="shared" si="74"/>
        <v/>
      </c>
      <c r="C398" s="217">
        <f t="shared" si="75"/>
        <v>0</v>
      </c>
      <c r="D398" s="217">
        <f t="shared" si="76"/>
        <v>0</v>
      </c>
      <c r="E398" s="218">
        <f>SUMIF(Consolidado!$A$6:$A$380,'TOTALES DIARIOS'!A398,Consolidado!$E$6:$E$380)</f>
        <v>0</v>
      </c>
      <c r="F398" s="218">
        <f>SUMIF(Consolidado!$A$6:$A$380,'TOTALES DIARIOS'!A398,Consolidado!$F$6:$F$380)</f>
        <v>0</v>
      </c>
      <c r="G398" s="218">
        <f>SUMIF(Consolidado!$A$6:$A$380,'TOTALES DIARIOS'!A398,Consolidado!$G$6:$G$380)</f>
        <v>0</v>
      </c>
      <c r="H398" s="219">
        <f t="shared" si="77"/>
        <v>0</v>
      </c>
      <c r="I398" s="99">
        <f t="shared" si="78"/>
        <v>0</v>
      </c>
      <c r="J398" s="99">
        <f t="shared" si="79"/>
        <v>0</v>
      </c>
      <c r="K398" s="113">
        <f t="shared" si="80"/>
        <v>2025</v>
      </c>
      <c r="L398" s="113">
        <f t="shared" si="81"/>
        <v>1</v>
      </c>
      <c r="M398" s="115">
        <f t="array" ref="M398">MIN(IF(Consolidado!$A$6:$A$1000='TOTALES DIARIOS'!A398,IF(Consolidado!$C$6:$C$1000&gt;TIMEVALUE("07:00"),Consolidado!$C$6:$C$1000,1)))</f>
        <v>0</v>
      </c>
      <c r="N398" s="115">
        <f t="array" ref="N398">MIN(IF(Consolidado!$A$6:$A$1000='TOTALES DIARIOS'!A398,IF(Consolidado!$C$6:$C$1000&lt;=M398,Consolidado!$C$6:$C$1000,1)))</f>
        <v>0</v>
      </c>
      <c r="O398" s="115">
        <f t="array" ref="O398">MAX(IF(Consolidado!$A$6:$A$1000='TOTALES DIARIOS'!A398,IF(Consolidado!$D$6:$D$1000&gt;=M398,Consolidado!$D$6:$D$1000,0)))</f>
        <v>0</v>
      </c>
      <c r="P398" s="118">
        <f t="array" ref="P398">MAX(IF(Consolidado!$A$6:$A$1000='TOTALES DIARIOS'!A398,IF(Consolidado!$D$6:$D$1000&lt;=M398,Consolidado!$D$6:$D$1000,0)))</f>
        <v>0</v>
      </c>
      <c r="Q398" s="117">
        <f t="shared" si="85"/>
        <v>0</v>
      </c>
      <c r="R398" s="117">
        <f t="shared" si="84"/>
        <v>0</v>
      </c>
      <c r="S398" s="104" t="str">
        <f t="shared" si="82"/>
        <v>NO</v>
      </c>
    </row>
    <row r="399" spans="1:19" x14ac:dyDescent="0.25">
      <c r="A399" s="221">
        <f t="shared" si="83"/>
        <v>45687</v>
      </c>
      <c r="B399" s="130" t="str">
        <f t="shared" si="74"/>
        <v/>
      </c>
      <c r="C399" s="217">
        <f t="shared" si="75"/>
        <v>0</v>
      </c>
      <c r="D399" s="217">
        <f t="shared" si="76"/>
        <v>0</v>
      </c>
      <c r="E399" s="218">
        <f>SUMIF(Consolidado!$A$6:$A$380,'TOTALES DIARIOS'!A399,Consolidado!$E$6:$E$380)</f>
        <v>0</v>
      </c>
      <c r="F399" s="218">
        <f>SUMIF(Consolidado!$A$6:$A$380,'TOTALES DIARIOS'!A399,Consolidado!$F$6:$F$380)</f>
        <v>0</v>
      </c>
      <c r="G399" s="218">
        <f>SUMIF(Consolidado!$A$6:$A$380,'TOTALES DIARIOS'!A399,Consolidado!$G$6:$G$380)</f>
        <v>0</v>
      </c>
      <c r="H399" s="219">
        <f t="shared" si="77"/>
        <v>0</v>
      </c>
      <c r="I399" s="99">
        <f t="shared" si="78"/>
        <v>0</v>
      </c>
      <c r="J399" s="99">
        <f t="shared" si="79"/>
        <v>0</v>
      </c>
      <c r="K399" s="113">
        <f t="shared" si="80"/>
        <v>2025</v>
      </c>
      <c r="L399" s="113">
        <f t="shared" si="81"/>
        <v>1</v>
      </c>
      <c r="M399" s="115">
        <f t="array" ref="M399">MIN(IF(Consolidado!$A$6:$A$1000='TOTALES DIARIOS'!A399,IF(Consolidado!$C$6:$C$1000&gt;TIMEVALUE("07:00"),Consolidado!$C$6:$C$1000,1)))</f>
        <v>0</v>
      </c>
      <c r="N399" s="115">
        <f t="array" ref="N399">MIN(IF(Consolidado!$A$6:$A$1000='TOTALES DIARIOS'!A399,IF(Consolidado!$C$6:$C$1000&lt;=M399,Consolidado!$C$6:$C$1000,1)))</f>
        <v>0</v>
      </c>
      <c r="O399" s="115">
        <f t="array" ref="O399">MAX(IF(Consolidado!$A$6:$A$1000='TOTALES DIARIOS'!A399,IF(Consolidado!$D$6:$D$1000&gt;=M399,Consolidado!$D$6:$D$1000,0)))</f>
        <v>0</v>
      </c>
      <c r="P399" s="118">
        <f t="array" ref="P399">MAX(IF(Consolidado!$A$6:$A$1000='TOTALES DIARIOS'!A399,IF(Consolidado!$D$6:$D$1000&lt;=M399,Consolidado!$D$6:$D$1000,0)))</f>
        <v>0</v>
      </c>
      <c r="Q399" s="117">
        <f t="shared" si="85"/>
        <v>0</v>
      </c>
      <c r="R399" s="117">
        <f t="shared" si="84"/>
        <v>0</v>
      </c>
      <c r="S399" s="104" t="str">
        <f t="shared" si="82"/>
        <v>NO</v>
      </c>
    </row>
    <row r="400" spans="1:19" x14ac:dyDescent="0.25">
      <c r="A400" s="221">
        <f t="shared" si="83"/>
        <v>45688</v>
      </c>
      <c r="B400" s="130" t="str">
        <f t="shared" si="74"/>
        <v/>
      </c>
      <c r="C400" s="217">
        <f t="shared" si="75"/>
        <v>0</v>
      </c>
      <c r="D400" s="217">
        <f t="shared" si="76"/>
        <v>0</v>
      </c>
      <c r="E400" s="218">
        <f>SUMIF(Consolidado!$A$6:$A$380,'TOTALES DIARIOS'!A400,Consolidado!$E$6:$E$380)</f>
        <v>0</v>
      </c>
      <c r="F400" s="218">
        <f>SUMIF(Consolidado!$A$6:$A$380,'TOTALES DIARIOS'!A400,Consolidado!$F$6:$F$380)</f>
        <v>0</v>
      </c>
      <c r="G400" s="218">
        <f>SUMIF(Consolidado!$A$6:$A$380,'TOTALES DIARIOS'!A400,Consolidado!$G$6:$G$380)</f>
        <v>0</v>
      </c>
      <c r="H400" s="219">
        <f t="shared" si="77"/>
        <v>0</v>
      </c>
      <c r="I400" s="99">
        <f t="shared" si="78"/>
        <v>0</v>
      </c>
      <c r="J400" s="99">
        <f t="shared" si="79"/>
        <v>0</v>
      </c>
      <c r="K400" s="113">
        <f t="shared" si="80"/>
        <v>2025</v>
      </c>
      <c r="L400" s="113">
        <f t="shared" si="81"/>
        <v>1</v>
      </c>
      <c r="M400" s="115">
        <f t="array" ref="M400">MIN(IF(Consolidado!$A$6:$A$1000='TOTALES DIARIOS'!A400,IF(Consolidado!$C$6:$C$1000&gt;TIMEVALUE("07:00"),Consolidado!$C$6:$C$1000,1)))</f>
        <v>0</v>
      </c>
      <c r="N400" s="115">
        <f t="array" ref="N400">MIN(IF(Consolidado!$A$6:$A$1000='TOTALES DIARIOS'!A400,IF(Consolidado!$C$6:$C$1000&lt;=M400,Consolidado!$C$6:$C$1000,1)))</f>
        <v>0</v>
      </c>
      <c r="O400" s="115">
        <f t="array" ref="O400">MAX(IF(Consolidado!$A$6:$A$1000='TOTALES DIARIOS'!A400,IF(Consolidado!$D$6:$D$1000&gt;=M400,Consolidado!$D$6:$D$1000,0)))</f>
        <v>0</v>
      </c>
      <c r="P400" s="118">
        <f t="array" ref="P400">MAX(IF(Consolidado!$A$6:$A$1000='TOTALES DIARIOS'!A400,IF(Consolidado!$D$6:$D$1000&lt;=M400,Consolidado!$D$6:$D$1000,0)))</f>
        <v>0</v>
      </c>
      <c r="Q400" s="117">
        <f t="shared" si="85"/>
        <v>0</v>
      </c>
      <c r="R400" s="117">
        <f t="shared" si="84"/>
        <v>0</v>
      </c>
      <c r="S400" s="104" t="str">
        <f t="shared" si="82"/>
        <v>NO</v>
      </c>
    </row>
    <row r="401" spans="1:19" x14ac:dyDescent="0.25">
      <c r="A401" s="221">
        <f t="shared" si="83"/>
        <v>45689</v>
      </c>
      <c r="B401" s="130" t="str">
        <f t="shared" si="74"/>
        <v/>
      </c>
      <c r="C401" s="217">
        <f t="shared" si="75"/>
        <v>0</v>
      </c>
      <c r="D401" s="217">
        <f t="shared" si="76"/>
        <v>0</v>
      </c>
      <c r="E401" s="218">
        <f>SUMIF(Consolidado!$A$6:$A$380,'TOTALES DIARIOS'!A401,Consolidado!$E$6:$E$380)</f>
        <v>0</v>
      </c>
      <c r="F401" s="218">
        <f>SUMIF(Consolidado!$A$6:$A$380,'TOTALES DIARIOS'!A401,Consolidado!$F$6:$F$380)</f>
        <v>0</v>
      </c>
      <c r="G401" s="218">
        <f>SUMIF(Consolidado!$A$6:$A$380,'TOTALES DIARIOS'!A401,Consolidado!$G$6:$G$380)</f>
        <v>0</v>
      </c>
      <c r="H401" s="219">
        <f t="shared" si="77"/>
        <v>0</v>
      </c>
      <c r="I401" s="99">
        <f t="shared" si="78"/>
        <v>0</v>
      </c>
      <c r="J401" s="99">
        <f t="shared" si="79"/>
        <v>0</v>
      </c>
      <c r="K401" s="113">
        <f t="shared" si="80"/>
        <v>2025</v>
      </c>
      <c r="L401" s="113">
        <f t="shared" si="81"/>
        <v>2</v>
      </c>
      <c r="M401" s="115">
        <f t="array" ref="M401">MIN(IF(Consolidado!$A$6:$A$1000='TOTALES DIARIOS'!A401,IF(Consolidado!$C$6:$C$1000&gt;TIMEVALUE("07:00"),Consolidado!$C$6:$C$1000,1)))</f>
        <v>0</v>
      </c>
      <c r="N401" s="115">
        <f t="array" ref="N401">MIN(IF(Consolidado!$A$6:$A$1000='TOTALES DIARIOS'!A401,IF(Consolidado!$C$6:$C$1000&lt;=M401,Consolidado!$C$6:$C$1000,1)))</f>
        <v>0</v>
      </c>
      <c r="O401" s="115">
        <f t="array" ref="O401">MAX(IF(Consolidado!$A$6:$A$1000='TOTALES DIARIOS'!A401,IF(Consolidado!$D$6:$D$1000&gt;=M401,Consolidado!$D$6:$D$1000,0)))</f>
        <v>0</v>
      </c>
      <c r="P401" s="118">
        <f t="array" ref="P401">MAX(IF(Consolidado!$A$6:$A$1000='TOTALES DIARIOS'!A401,IF(Consolidado!$D$6:$D$1000&lt;=M401,Consolidado!$D$6:$D$1000,0)))</f>
        <v>0</v>
      </c>
      <c r="Q401" s="117">
        <f t="shared" si="85"/>
        <v>0</v>
      </c>
      <c r="R401" s="117">
        <f t="shared" si="84"/>
        <v>0</v>
      </c>
      <c r="S401" s="104" t="str">
        <f t="shared" si="82"/>
        <v>NO</v>
      </c>
    </row>
    <row r="402" spans="1:19" x14ac:dyDescent="0.25">
      <c r="A402" s="221">
        <f t="shared" si="83"/>
        <v>45690</v>
      </c>
      <c r="B402" s="130" t="str">
        <f t="shared" si="74"/>
        <v/>
      </c>
      <c r="C402" s="217">
        <f t="shared" si="75"/>
        <v>0</v>
      </c>
      <c r="D402" s="217">
        <f t="shared" si="76"/>
        <v>0</v>
      </c>
      <c r="E402" s="218">
        <f>SUMIF(Consolidado!$A$6:$A$380,'TOTALES DIARIOS'!A402,Consolidado!$E$6:$E$380)</f>
        <v>0</v>
      </c>
      <c r="F402" s="218">
        <f>SUMIF(Consolidado!$A$6:$A$380,'TOTALES DIARIOS'!A402,Consolidado!$F$6:$F$380)</f>
        <v>0</v>
      </c>
      <c r="G402" s="218">
        <f>SUMIF(Consolidado!$A$6:$A$380,'TOTALES DIARIOS'!A402,Consolidado!$G$6:$G$380)</f>
        <v>0</v>
      </c>
      <c r="H402" s="219">
        <f t="shared" si="77"/>
        <v>0</v>
      </c>
      <c r="I402" s="99">
        <f t="shared" si="78"/>
        <v>0</v>
      </c>
      <c r="J402" s="99">
        <f t="shared" si="79"/>
        <v>0</v>
      </c>
      <c r="K402" s="113">
        <f t="shared" si="80"/>
        <v>2025</v>
      </c>
      <c r="L402" s="113">
        <f t="shared" si="81"/>
        <v>2</v>
      </c>
      <c r="M402" s="115">
        <f t="array" ref="M402">MIN(IF(Consolidado!$A$6:$A$1000='TOTALES DIARIOS'!A402,IF(Consolidado!$C$6:$C$1000&gt;TIMEVALUE("07:00"),Consolidado!$C$6:$C$1000,1)))</f>
        <v>0</v>
      </c>
      <c r="N402" s="115">
        <f t="array" ref="N402">MIN(IF(Consolidado!$A$6:$A$1000='TOTALES DIARIOS'!A402,IF(Consolidado!$C$6:$C$1000&lt;=M402,Consolidado!$C$6:$C$1000,1)))</f>
        <v>0</v>
      </c>
      <c r="O402" s="115">
        <f t="array" ref="O402">MAX(IF(Consolidado!$A$6:$A$1000='TOTALES DIARIOS'!A402,IF(Consolidado!$D$6:$D$1000&gt;=M402,Consolidado!$D$6:$D$1000,0)))</f>
        <v>0</v>
      </c>
      <c r="P402" s="118">
        <f t="array" ref="P402">MAX(IF(Consolidado!$A$6:$A$1000='TOTALES DIARIOS'!A402,IF(Consolidado!$D$6:$D$1000&lt;=M402,Consolidado!$D$6:$D$1000,0)))</f>
        <v>0</v>
      </c>
      <c r="Q402" s="117">
        <f t="shared" si="85"/>
        <v>0</v>
      </c>
      <c r="R402" s="117">
        <f t="shared" si="84"/>
        <v>0</v>
      </c>
      <c r="S402" s="104" t="str">
        <f t="shared" si="82"/>
        <v>NO</v>
      </c>
    </row>
    <row r="403" spans="1:19" x14ac:dyDescent="0.25">
      <c r="A403" s="221">
        <f t="shared" si="83"/>
        <v>45691</v>
      </c>
      <c r="B403" s="130" t="str">
        <f t="shared" si="74"/>
        <v/>
      </c>
      <c r="C403" s="217">
        <f t="shared" si="75"/>
        <v>0</v>
      </c>
      <c r="D403" s="217">
        <f t="shared" si="76"/>
        <v>0</v>
      </c>
      <c r="E403" s="218">
        <f>SUMIF(Consolidado!$A$6:$A$380,'TOTALES DIARIOS'!A403,Consolidado!$E$6:$E$380)</f>
        <v>0</v>
      </c>
      <c r="F403" s="218">
        <f>SUMIF(Consolidado!$A$6:$A$380,'TOTALES DIARIOS'!A403,Consolidado!$F$6:$F$380)</f>
        <v>0</v>
      </c>
      <c r="G403" s="218">
        <f>SUMIF(Consolidado!$A$6:$A$380,'TOTALES DIARIOS'!A403,Consolidado!$G$6:$G$380)</f>
        <v>0</v>
      </c>
      <c r="H403" s="219">
        <f t="shared" si="77"/>
        <v>0</v>
      </c>
      <c r="I403" s="99">
        <f t="shared" si="78"/>
        <v>0</v>
      </c>
      <c r="J403" s="99">
        <f t="shared" si="79"/>
        <v>0</v>
      </c>
      <c r="K403" s="113">
        <f t="shared" si="80"/>
        <v>2025</v>
      </c>
      <c r="L403" s="113">
        <f t="shared" si="81"/>
        <v>2</v>
      </c>
      <c r="M403" s="115">
        <f t="array" ref="M403">MIN(IF(Consolidado!$A$6:$A$1000='TOTALES DIARIOS'!A403,IF(Consolidado!$C$6:$C$1000&gt;TIMEVALUE("07:00"),Consolidado!$C$6:$C$1000,1)))</f>
        <v>0</v>
      </c>
      <c r="N403" s="115">
        <f t="array" ref="N403">MIN(IF(Consolidado!$A$6:$A$1000='TOTALES DIARIOS'!A403,IF(Consolidado!$C$6:$C$1000&lt;=M403,Consolidado!$C$6:$C$1000,1)))</f>
        <v>0</v>
      </c>
      <c r="O403" s="115">
        <f t="array" ref="O403">MAX(IF(Consolidado!$A$6:$A$1000='TOTALES DIARIOS'!A403,IF(Consolidado!$D$6:$D$1000&gt;=M403,Consolidado!$D$6:$D$1000,0)))</f>
        <v>0</v>
      </c>
      <c r="P403" s="118">
        <f t="array" ref="P403">MAX(IF(Consolidado!$A$6:$A$1000='TOTALES DIARIOS'!A403,IF(Consolidado!$D$6:$D$1000&lt;=M403,Consolidado!$D$6:$D$1000,0)))</f>
        <v>0</v>
      </c>
      <c r="Q403" s="117">
        <f t="shared" si="85"/>
        <v>0</v>
      </c>
      <c r="R403" s="117">
        <f t="shared" si="84"/>
        <v>0</v>
      </c>
      <c r="S403" s="104" t="str">
        <f t="shared" si="82"/>
        <v>NO</v>
      </c>
    </row>
    <row r="404" spans="1:19" x14ac:dyDescent="0.25">
      <c r="A404" s="221">
        <f t="shared" si="83"/>
        <v>45692</v>
      </c>
      <c r="B404" s="130" t="str">
        <f t="shared" si="74"/>
        <v/>
      </c>
      <c r="C404" s="217">
        <f t="shared" si="75"/>
        <v>0</v>
      </c>
      <c r="D404" s="217">
        <f t="shared" si="76"/>
        <v>0</v>
      </c>
      <c r="E404" s="218">
        <f>SUMIF(Consolidado!$A$6:$A$380,'TOTALES DIARIOS'!A404,Consolidado!$E$6:$E$380)</f>
        <v>0</v>
      </c>
      <c r="F404" s="218">
        <f>SUMIF(Consolidado!$A$6:$A$380,'TOTALES DIARIOS'!A404,Consolidado!$F$6:$F$380)</f>
        <v>0</v>
      </c>
      <c r="G404" s="218">
        <f>SUMIF(Consolidado!$A$6:$A$380,'TOTALES DIARIOS'!A404,Consolidado!$G$6:$G$380)</f>
        <v>0</v>
      </c>
      <c r="H404" s="219">
        <f t="shared" si="77"/>
        <v>0</v>
      </c>
      <c r="I404" s="99">
        <f t="shared" si="78"/>
        <v>0</v>
      </c>
      <c r="J404" s="99">
        <f t="shared" si="79"/>
        <v>0</v>
      </c>
      <c r="K404" s="113">
        <f t="shared" si="80"/>
        <v>2025</v>
      </c>
      <c r="L404" s="113">
        <f t="shared" si="81"/>
        <v>2</v>
      </c>
      <c r="M404" s="115">
        <f t="array" ref="M404">MIN(IF(Consolidado!$A$6:$A$1000='TOTALES DIARIOS'!A404,IF(Consolidado!$C$6:$C$1000&gt;TIMEVALUE("07:00"),Consolidado!$C$6:$C$1000,1)))</f>
        <v>0</v>
      </c>
      <c r="N404" s="115">
        <f t="array" ref="N404">MIN(IF(Consolidado!$A$6:$A$1000='TOTALES DIARIOS'!A404,IF(Consolidado!$C$6:$C$1000&lt;=M404,Consolidado!$C$6:$C$1000,1)))</f>
        <v>0</v>
      </c>
      <c r="O404" s="115">
        <f t="array" ref="O404">MAX(IF(Consolidado!$A$6:$A$1000='TOTALES DIARIOS'!A404,IF(Consolidado!$D$6:$D$1000&gt;=M404,Consolidado!$D$6:$D$1000,0)))</f>
        <v>0</v>
      </c>
      <c r="P404" s="118">
        <f t="array" ref="P404">MAX(IF(Consolidado!$A$6:$A$1000='TOTALES DIARIOS'!A404,IF(Consolidado!$D$6:$D$1000&lt;=M404,Consolidado!$D$6:$D$1000,0)))</f>
        <v>0</v>
      </c>
      <c r="Q404" s="117">
        <f t="shared" si="85"/>
        <v>0</v>
      </c>
      <c r="R404" s="117">
        <f t="shared" si="84"/>
        <v>0</v>
      </c>
      <c r="S404" s="104" t="str">
        <f t="shared" si="82"/>
        <v>NO</v>
      </c>
    </row>
    <row r="405" spans="1:19" x14ac:dyDescent="0.25">
      <c r="A405" s="221">
        <f t="shared" si="83"/>
        <v>45693</v>
      </c>
      <c r="B405" s="130" t="str">
        <f t="shared" si="74"/>
        <v/>
      </c>
      <c r="C405" s="217">
        <f t="shared" si="75"/>
        <v>0</v>
      </c>
      <c r="D405" s="217">
        <f t="shared" si="76"/>
        <v>0</v>
      </c>
      <c r="E405" s="218">
        <f>SUMIF(Consolidado!$A$6:$A$380,'TOTALES DIARIOS'!A405,Consolidado!$E$6:$E$380)</f>
        <v>0</v>
      </c>
      <c r="F405" s="218">
        <f>SUMIF(Consolidado!$A$6:$A$380,'TOTALES DIARIOS'!A405,Consolidado!$F$6:$F$380)</f>
        <v>0</v>
      </c>
      <c r="G405" s="218">
        <f>SUMIF(Consolidado!$A$6:$A$380,'TOTALES DIARIOS'!A405,Consolidado!$G$6:$G$380)</f>
        <v>0</v>
      </c>
      <c r="H405" s="219">
        <f t="shared" si="77"/>
        <v>0</v>
      </c>
      <c r="I405" s="99">
        <f t="shared" si="78"/>
        <v>0</v>
      </c>
      <c r="J405" s="99">
        <f t="shared" si="79"/>
        <v>0</v>
      </c>
      <c r="K405" s="113">
        <f t="shared" si="80"/>
        <v>2025</v>
      </c>
      <c r="L405" s="113">
        <f t="shared" si="81"/>
        <v>2</v>
      </c>
      <c r="M405" s="115">
        <f t="array" ref="M405">MIN(IF(Consolidado!$A$6:$A$1000='TOTALES DIARIOS'!A405,IF(Consolidado!$C$6:$C$1000&gt;TIMEVALUE("07:00"),Consolidado!$C$6:$C$1000,1)))</f>
        <v>0</v>
      </c>
      <c r="N405" s="115">
        <f t="array" ref="N405">MIN(IF(Consolidado!$A$6:$A$1000='TOTALES DIARIOS'!A405,IF(Consolidado!$C$6:$C$1000&lt;=M405,Consolidado!$C$6:$C$1000,1)))</f>
        <v>0</v>
      </c>
      <c r="O405" s="115">
        <f t="array" ref="O405">MAX(IF(Consolidado!$A$6:$A$1000='TOTALES DIARIOS'!A405,IF(Consolidado!$D$6:$D$1000&gt;=M405,Consolidado!$D$6:$D$1000,0)))</f>
        <v>0</v>
      </c>
      <c r="P405" s="118">
        <f t="array" ref="P405">MAX(IF(Consolidado!$A$6:$A$1000='TOTALES DIARIOS'!A405,IF(Consolidado!$D$6:$D$1000&lt;=M405,Consolidado!$D$6:$D$1000,0)))</f>
        <v>0</v>
      </c>
      <c r="Q405" s="117">
        <f t="shared" si="85"/>
        <v>0</v>
      </c>
      <c r="R405" s="117">
        <f t="shared" si="84"/>
        <v>0</v>
      </c>
      <c r="S405" s="104" t="str">
        <f t="shared" si="82"/>
        <v>NO</v>
      </c>
    </row>
    <row r="406" spans="1:19" x14ac:dyDescent="0.25">
      <c r="A406" s="221">
        <f t="shared" si="83"/>
        <v>45694</v>
      </c>
      <c r="B406" s="130" t="str">
        <f t="shared" si="74"/>
        <v/>
      </c>
      <c r="C406" s="217">
        <f t="shared" si="75"/>
        <v>0</v>
      </c>
      <c r="D406" s="217">
        <f t="shared" si="76"/>
        <v>0</v>
      </c>
      <c r="E406" s="218">
        <f>SUMIF(Consolidado!$A$6:$A$380,'TOTALES DIARIOS'!A406,Consolidado!$E$6:$E$380)</f>
        <v>0</v>
      </c>
      <c r="F406" s="218">
        <f>SUMIF(Consolidado!$A$6:$A$380,'TOTALES DIARIOS'!A406,Consolidado!$F$6:$F$380)</f>
        <v>0</v>
      </c>
      <c r="G406" s="218">
        <f>SUMIF(Consolidado!$A$6:$A$380,'TOTALES DIARIOS'!A406,Consolidado!$G$6:$G$380)</f>
        <v>0</v>
      </c>
      <c r="H406" s="219">
        <f t="shared" si="77"/>
        <v>0</v>
      </c>
      <c r="I406" s="99">
        <f t="shared" si="78"/>
        <v>0</v>
      </c>
      <c r="J406" s="99">
        <f t="shared" si="79"/>
        <v>0</v>
      </c>
      <c r="K406" s="113">
        <f t="shared" si="80"/>
        <v>2025</v>
      </c>
      <c r="L406" s="113">
        <f t="shared" si="81"/>
        <v>2</v>
      </c>
      <c r="M406" s="115">
        <f t="array" ref="M406">MIN(IF(Consolidado!$A$6:$A$1000='TOTALES DIARIOS'!A406,IF(Consolidado!$C$6:$C$1000&gt;TIMEVALUE("07:00"),Consolidado!$C$6:$C$1000,1)))</f>
        <v>0</v>
      </c>
      <c r="N406" s="115">
        <f t="array" ref="N406">MIN(IF(Consolidado!$A$6:$A$1000='TOTALES DIARIOS'!A406,IF(Consolidado!$C$6:$C$1000&lt;=M406,Consolidado!$C$6:$C$1000,1)))</f>
        <v>0</v>
      </c>
      <c r="O406" s="115">
        <f t="array" ref="O406">MAX(IF(Consolidado!$A$6:$A$1000='TOTALES DIARIOS'!A406,IF(Consolidado!$D$6:$D$1000&gt;=M406,Consolidado!$D$6:$D$1000,0)))</f>
        <v>0</v>
      </c>
      <c r="P406" s="118">
        <f t="array" ref="P406">MAX(IF(Consolidado!$A$6:$A$1000='TOTALES DIARIOS'!A406,IF(Consolidado!$D$6:$D$1000&lt;=M406,Consolidado!$D$6:$D$1000,0)))</f>
        <v>0</v>
      </c>
      <c r="Q406" s="117">
        <f t="shared" si="85"/>
        <v>0</v>
      </c>
      <c r="R406" s="117">
        <f t="shared" si="84"/>
        <v>0</v>
      </c>
      <c r="S406" s="104" t="str">
        <f t="shared" si="82"/>
        <v>NO</v>
      </c>
    </row>
    <row r="407" spans="1:19" x14ac:dyDescent="0.25">
      <c r="A407" s="221">
        <f t="shared" si="83"/>
        <v>45695</v>
      </c>
      <c r="B407" s="130" t="str">
        <f t="shared" si="74"/>
        <v/>
      </c>
      <c r="C407" s="217">
        <f t="shared" si="75"/>
        <v>0</v>
      </c>
      <c r="D407" s="217">
        <f t="shared" si="76"/>
        <v>0</v>
      </c>
      <c r="E407" s="218">
        <f>SUMIF(Consolidado!$A$6:$A$380,'TOTALES DIARIOS'!A407,Consolidado!$E$6:$E$380)</f>
        <v>0</v>
      </c>
      <c r="F407" s="218">
        <f>SUMIF(Consolidado!$A$6:$A$380,'TOTALES DIARIOS'!A407,Consolidado!$F$6:$F$380)</f>
        <v>0</v>
      </c>
      <c r="G407" s="218">
        <f>SUMIF(Consolidado!$A$6:$A$380,'TOTALES DIARIOS'!A407,Consolidado!$G$6:$G$380)</f>
        <v>0</v>
      </c>
      <c r="H407" s="219">
        <f t="shared" si="77"/>
        <v>0</v>
      </c>
      <c r="I407" s="99">
        <f t="shared" si="78"/>
        <v>0</v>
      </c>
      <c r="J407" s="99">
        <f t="shared" si="79"/>
        <v>0</v>
      </c>
      <c r="K407" s="113">
        <f t="shared" si="80"/>
        <v>2025</v>
      </c>
      <c r="L407" s="113">
        <f t="shared" si="81"/>
        <v>2</v>
      </c>
      <c r="M407" s="115">
        <f t="array" ref="M407">MIN(IF(Consolidado!$A$6:$A$1000='TOTALES DIARIOS'!A407,IF(Consolidado!$C$6:$C$1000&gt;TIMEVALUE("07:00"),Consolidado!$C$6:$C$1000,1)))</f>
        <v>0</v>
      </c>
      <c r="N407" s="115">
        <f t="array" ref="N407">MIN(IF(Consolidado!$A$6:$A$1000='TOTALES DIARIOS'!A407,IF(Consolidado!$C$6:$C$1000&lt;=M407,Consolidado!$C$6:$C$1000,1)))</f>
        <v>0</v>
      </c>
      <c r="O407" s="115">
        <f t="array" ref="O407">MAX(IF(Consolidado!$A$6:$A$1000='TOTALES DIARIOS'!A407,IF(Consolidado!$D$6:$D$1000&gt;=M407,Consolidado!$D$6:$D$1000,0)))</f>
        <v>0</v>
      </c>
      <c r="P407" s="118">
        <f t="array" ref="P407">MAX(IF(Consolidado!$A$6:$A$1000='TOTALES DIARIOS'!A407,IF(Consolidado!$D$6:$D$1000&lt;=M407,Consolidado!$D$6:$D$1000,0)))</f>
        <v>0</v>
      </c>
      <c r="Q407" s="117">
        <f t="shared" si="85"/>
        <v>0</v>
      </c>
      <c r="R407" s="117">
        <f t="shared" si="84"/>
        <v>0</v>
      </c>
      <c r="S407" s="104" t="str">
        <f t="shared" si="82"/>
        <v>NO</v>
      </c>
    </row>
    <row r="408" spans="1:19" x14ac:dyDescent="0.25">
      <c r="A408" s="221">
        <f t="shared" si="83"/>
        <v>45696</v>
      </c>
      <c r="B408" s="130" t="str">
        <f t="shared" si="74"/>
        <v/>
      </c>
      <c r="C408" s="217">
        <f t="shared" si="75"/>
        <v>0</v>
      </c>
      <c r="D408" s="217">
        <f t="shared" si="76"/>
        <v>0</v>
      </c>
      <c r="E408" s="218">
        <f>SUMIF(Consolidado!$A$6:$A$380,'TOTALES DIARIOS'!A408,Consolidado!$E$6:$E$380)</f>
        <v>0</v>
      </c>
      <c r="F408" s="218">
        <f>SUMIF(Consolidado!$A$6:$A$380,'TOTALES DIARIOS'!A408,Consolidado!$F$6:$F$380)</f>
        <v>0</v>
      </c>
      <c r="G408" s="218">
        <f>SUMIF(Consolidado!$A$6:$A$380,'TOTALES DIARIOS'!A408,Consolidado!$G$6:$G$380)</f>
        <v>0</v>
      </c>
      <c r="H408" s="219">
        <f t="shared" si="77"/>
        <v>0</v>
      </c>
      <c r="I408" s="99">
        <f t="shared" si="78"/>
        <v>0</v>
      </c>
      <c r="J408" s="99">
        <f t="shared" si="79"/>
        <v>0</v>
      </c>
      <c r="K408" s="113">
        <f t="shared" si="80"/>
        <v>2025</v>
      </c>
      <c r="L408" s="113">
        <f t="shared" si="81"/>
        <v>2</v>
      </c>
      <c r="M408" s="115">
        <f t="array" ref="M408">MIN(IF(Consolidado!$A$6:$A$1000='TOTALES DIARIOS'!A408,IF(Consolidado!$C$6:$C$1000&gt;TIMEVALUE("07:00"),Consolidado!$C$6:$C$1000,1)))</f>
        <v>0</v>
      </c>
      <c r="N408" s="115">
        <f t="array" ref="N408">MIN(IF(Consolidado!$A$6:$A$1000='TOTALES DIARIOS'!A408,IF(Consolidado!$C$6:$C$1000&lt;=M408,Consolidado!$C$6:$C$1000,1)))</f>
        <v>0</v>
      </c>
      <c r="O408" s="115">
        <f t="array" ref="O408">MAX(IF(Consolidado!$A$6:$A$1000='TOTALES DIARIOS'!A408,IF(Consolidado!$D$6:$D$1000&gt;=M408,Consolidado!$D$6:$D$1000,0)))</f>
        <v>0</v>
      </c>
      <c r="P408" s="118">
        <f t="array" ref="P408">MAX(IF(Consolidado!$A$6:$A$1000='TOTALES DIARIOS'!A408,IF(Consolidado!$D$6:$D$1000&lt;=M408,Consolidado!$D$6:$D$1000,0)))</f>
        <v>0</v>
      </c>
      <c r="Q408" s="117">
        <f t="shared" si="85"/>
        <v>0</v>
      </c>
      <c r="R408" s="117">
        <f t="shared" si="84"/>
        <v>0</v>
      </c>
      <c r="S408" s="104" t="str">
        <f t="shared" si="82"/>
        <v>NO</v>
      </c>
    </row>
    <row r="409" spans="1:19" x14ac:dyDescent="0.25">
      <c r="A409" s="221">
        <f t="shared" si="83"/>
        <v>45697</v>
      </c>
      <c r="B409" s="130" t="str">
        <f t="shared" si="74"/>
        <v/>
      </c>
      <c r="C409" s="217">
        <f t="shared" si="75"/>
        <v>0</v>
      </c>
      <c r="D409" s="217">
        <f t="shared" si="76"/>
        <v>0</v>
      </c>
      <c r="E409" s="218">
        <f>SUMIF(Consolidado!$A$6:$A$380,'TOTALES DIARIOS'!A409,Consolidado!$E$6:$E$380)</f>
        <v>0</v>
      </c>
      <c r="F409" s="218">
        <f>SUMIF(Consolidado!$A$6:$A$380,'TOTALES DIARIOS'!A409,Consolidado!$F$6:$F$380)</f>
        <v>0</v>
      </c>
      <c r="G409" s="218">
        <f>SUMIF(Consolidado!$A$6:$A$380,'TOTALES DIARIOS'!A409,Consolidado!$G$6:$G$380)</f>
        <v>0</v>
      </c>
      <c r="H409" s="219">
        <f t="shared" si="77"/>
        <v>0</v>
      </c>
      <c r="I409" s="99">
        <f t="shared" si="78"/>
        <v>0</v>
      </c>
      <c r="J409" s="99">
        <f t="shared" si="79"/>
        <v>0</v>
      </c>
      <c r="K409" s="113">
        <f t="shared" si="80"/>
        <v>2025</v>
      </c>
      <c r="L409" s="113">
        <f t="shared" si="81"/>
        <v>2</v>
      </c>
      <c r="M409" s="115">
        <f t="array" ref="M409">MIN(IF(Consolidado!$A$6:$A$1000='TOTALES DIARIOS'!A409,IF(Consolidado!$C$6:$C$1000&gt;TIMEVALUE("07:00"),Consolidado!$C$6:$C$1000,1)))</f>
        <v>0</v>
      </c>
      <c r="N409" s="115">
        <f t="array" ref="N409">MIN(IF(Consolidado!$A$6:$A$1000='TOTALES DIARIOS'!A409,IF(Consolidado!$C$6:$C$1000&lt;=M409,Consolidado!$C$6:$C$1000,1)))</f>
        <v>0</v>
      </c>
      <c r="O409" s="115">
        <f t="array" ref="O409">MAX(IF(Consolidado!$A$6:$A$1000='TOTALES DIARIOS'!A409,IF(Consolidado!$D$6:$D$1000&gt;=M409,Consolidado!$D$6:$D$1000,0)))</f>
        <v>0</v>
      </c>
      <c r="P409" s="118">
        <f t="array" ref="P409">MAX(IF(Consolidado!$A$6:$A$1000='TOTALES DIARIOS'!A409,IF(Consolidado!$D$6:$D$1000&lt;=M409,Consolidado!$D$6:$D$1000,0)))</f>
        <v>0</v>
      </c>
      <c r="Q409" s="117">
        <f t="shared" si="85"/>
        <v>0</v>
      </c>
      <c r="R409" s="117">
        <f t="shared" si="84"/>
        <v>0</v>
      </c>
      <c r="S409" s="104" t="str">
        <f t="shared" si="82"/>
        <v>NO</v>
      </c>
    </row>
    <row r="410" spans="1:19" x14ac:dyDescent="0.25">
      <c r="A410" s="221">
        <f t="shared" si="83"/>
        <v>45698</v>
      </c>
      <c r="B410" s="130" t="str">
        <f t="shared" si="74"/>
        <v/>
      </c>
      <c r="C410" s="217">
        <f t="shared" si="75"/>
        <v>0</v>
      </c>
      <c r="D410" s="217">
        <f t="shared" si="76"/>
        <v>0</v>
      </c>
      <c r="E410" s="218">
        <f>SUMIF(Consolidado!$A$6:$A$380,'TOTALES DIARIOS'!A410,Consolidado!$E$6:$E$380)</f>
        <v>0</v>
      </c>
      <c r="F410" s="218">
        <f>SUMIF(Consolidado!$A$6:$A$380,'TOTALES DIARIOS'!A410,Consolidado!$F$6:$F$380)</f>
        <v>0</v>
      </c>
      <c r="G410" s="218">
        <f>SUMIF(Consolidado!$A$6:$A$380,'TOTALES DIARIOS'!A410,Consolidado!$G$6:$G$380)</f>
        <v>0</v>
      </c>
      <c r="H410" s="219">
        <f t="shared" si="77"/>
        <v>0</v>
      </c>
      <c r="I410" s="99">
        <f t="shared" si="78"/>
        <v>0</v>
      </c>
      <c r="J410" s="99">
        <f t="shared" si="79"/>
        <v>0</v>
      </c>
      <c r="K410" s="113">
        <f t="shared" si="80"/>
        <v>2025</v>
      </c>
      <c r="L410" s="113">
        <f t="shared" si="81"/>
        <v>2</v>
      </c>
      <c r="M410" s="115">
        <f t="array" ref="M410">MIN(IF(Consolidado!$A$6:$A$1000='TOTALES DIARIOS'!A410,IF(Consolidado!$C$6:$C$1000&gt;TIMEVALUE("07:00"),Consolidado!$C$6:$C$1000,1)))</f>
        <v>0</v>
      </c>
      <c r="N410" s="115">
        <f t="array" ref="N410">MIN(IF(Consolidado!$A$6:$A$1000='TOTALES DIARIOS'!A410,IF(Consolidado!$C$6:$C$1000&lt;=M410,Consolidado!$C$6:$C$1000,1)))</f>
        <v>0</v>
      </c>
      <c r="O410" s="115">
        <f t="array" ref="O410">MAX(IF(Consolidado!$A$6:$A$1000='TOTALES DIARIOS'!A410,IF(Consolidado!$D$6:$D$1000&gt;=M410,Consolidado!$D$6:$D$1000,0)))</f>
        <v>0</v>
      </c>
      <c r="P410" s="118">
        <f t="array" ref="P410">MAX(IF(Consolidado!$A$6:$A$1000='TOTALES DIARIOS'!A410,IF(Consolidado!$D$6:$D$1000&lt;=M410,Consolidado!$D$6:$D$1000,0)))</f>
        <v>0</v>
      </c>
      <c r="Q410" s="117">
        <f t="shared" si="85"/>
        <v>0</v>
      </c>
      <c r="R410" s="117">
        <f t="shared" si="84"/>
        <v>0</v>
      </c>
      <c r="S410" s="104" t="str">
        <f t="shared" si="82"/>
        <v>NO</v>
      </c>
    </row>
    <row r="411" spans="1:19" x14ac:dyDescent="0.25">
      <c r="A411" s="221">
        <f t="shared" si="83"/>
        <v>45699</v>
      </c>
      <c r="B411" s="130" t="str">
        <f t="shared" si="74"/>
        <v/>
      </c>
      <c r="C411" s="217">
        <f t="shared" si="75"/>
        <v>0</v>
      </c>
      <c r="D411" s="217">
        <f t="shared" si="76"/>
        <v>0</v>
      </c>
      <c r="E411" s="218">
        <f>SUMIF(Consolidado!$A$6:$A$380,'TOTALES DIARIOS'!A411,Consolidado!$E$6:$E$380)</f>
        <v>0</v>
      </c>
      <c r="F411" s="218">
        <f>SUMIF(Consolidado!$A$6:$A$380,'TOTALES DIARIOS'!A411,Consolidado!$F$6:$F$380)</f>
        <v>0</v>
      </c>
      <c r="G411" s="218">
        <f>SUMIF(Consolidado!$A$6:$A$380,'TOTALES DIARIOS'!A411,Consolidado!$G$6:$G$380)</f>
        <v>0</v>
      </c>
      <c r="H411" s="219">
        <f t="shared" si="77"/>
        <v>0</v>
      </c>
      <c r="I411" s="99">
        <f t="shared" si="78"/>
        <v>0</v>
      </c>
      <c r="J411" s="99">
        <f t="shared" si="79"/>
        <v>0</v>
      </c>
      <c r="K411" s="113">
        <f t="shared" si="80"/>
        <v>2025</v>
      </c>
      <c r="L411" s="113">
        <f t="shared" si="81"/>
        <v>2</v>
      </c>
      <c r="M411" s="115">
        <f t="array" ref="M411">MIN(IF(Consolidado!$A$6:$A$1000='TOTALES DIARIOS'!A411,IF(Consolidado!$C$6:$C$1000&gt;TIMEVALUE("07:00"),Consolidado!$C$6:$C$1000,1)))</f>
        <v>0</v>
      </c>
      <c r="N411" s="115">
        <f t="array" ref="N411">MIN(IF(Consolidado!$A$6:$A$1000='TOTALES DIARIOS'!A411,IF(Consolidado!$C$6:$C$1000&lt;=M411,Consolidado!$C$6:$C$1000,1)))</f>
        <v>0</v>
      </c>
      <c r="O411" s="115">
        <f t="array" ref="O411">MAX(IF(Consolidado!$A$6:$A$1000='TOTALES DIARIOS'!A411,IF(Consolidado!$D$6:$D$1000&gt;=M411,Consolidado!$D$6:$D$1000,0)))</f>
        <v>0</v>
      </c>
      <c r="P411" s="118">
        <f t="array" ref="P411">MAX(IF(Consolidado!$A$6:$A$1000='TOTALES DIARIOS'!A411,IF(Consolidado!$D$6:$D$1000&lt;=M411,Consolidado!$D$6:$D$1000,0)))</f>
        <v>0</v>
      </c>
      <c r="Q411" s="117">
        <f t="shared" si="85"/>
        <v>0</v>
      </c>
      <c r="R411" s="117">
        <f t="shared" si="84"/>
        <v>0</v>
      </c>
      <c r="S411" s="104" t="str">
        <f t="shared" si="82"/>
        <v>NO</v>
      </c>
    </row>
    <row r="412" spans="1:19" x14ac:dyDescent="0.25">
      <c r="A412" s="221">
        <f t="shared" si="83"/>
        <v>45700</v>
      </c>
      <c r="B412" s="130" t="str">
        <f t="shared" si="74"/>
        <v/>
      </c>
      <c r="C412" s="217">
        <f t="shared" si="75"/>
        <v>0</v>
      </c>
      <c r="D412" s="217">
        <f t="shared" si="76"/>
        <v>0</v>
      </c>
      <c r="E412" s="218">
        <f>SUMIF(Consolidado!$A$6:$A$380,'TOTALES DIARIOS'!A412,Consolidado!$E$6:$E$380)</f>
        <v>0</v>
      </c>
      <c r="F412" s="218">
        <f>SUMIF(Consolidado!$A$6:$A$380,'TOTALES DIARIOS'!A412,Consolidado!$F$6:$F$380)</f>
        <v>0</v>
      </c>
      <c r="G412" s="218">
        <f>SUMIF(Consolidado!$A$6:$A$380,'TOTALES DIARIOS'!A412,Consolidado!$G$6:$G$380)</f>
        <v>0</v>
      </c>
      <c r="H412" s="219">
        <f t="shared" si="77"/>
        <v>0</v>
      </c>
      <c r="I412" s="99">
        <f t="shared" si="78"/>
        <v>0</v>
      </c>
      <c r="J412" s="99">
        <f t="shared" si="79"/>
        <v>0</v>
      </c>
      <c r="K412" s="113">
        <f t="shared" si="80"/>
        <v>2025</v>
      </c>
      <c r="L412" s="113">
        <f t="shared" si="81"/>
        <v>2</v>
      </c>
      <c r="M412" s="115">
        <f t="array" ref="M412">MIN(IF(Consolidado!$A$6:$A$1000='TOTALES DIARIOS'!A412,IF(Consolidado!$C$6:$C$1000&gt;TIMEVALUE("07:00"),Consolidado!$C$6:$C$1000,1)))</f>
        <v>0</v>
      </c>
      <c r="N412" s="115">
        <f t="array" ref="N412">MIN(IF(Consolidado!$A$6:$A$1000='TOTALES DIARIOS'!A412,IF(Consolidado!$C$6:$C$1000&lt;=M412,Consolidado!$C$6:$C$1000,1)))</f>
        <v>0</v>
      </c>
      <c r="O412" s="115">
        <f t="array" ref="O412">MAX(IF(Consolidado!$A$6:$A$1000='TOTALES DIARIOS'!A412,IF(Consolidado!$D$6:$D$1000&gt;=M412,Consolidado!$D$6:$D$1000,0)))</f>
        <v>0</v>
      </c>
      <c r="P412" s="118">
        <f t="array" ref="P412">MAX(IF(Consolidado!$A$6:$A$1000='TOTALES DIARIOS'!A412,IF(Consolidado!$D$6:$D$1000&lt;=M412,Consolidado!$D$6:$D$1000,0)))</f>
        <v>0</v>
      </c>
      <c r="Q412" s="117">
        <f t="shared" si="85"/>
        <v>0</v>
      </c>
      <c r="R412" s="117">
        <f t="shared" si="84"/>
        <v>0</v>
      </c>
      <c r="S412" s="104" t="str">
        <f t="shared" si="82"/>
        <v>NO</v>
      </c>
    </row>
    <row r="413" spans="1:19" x14ac:dyDescent="0.25">
      <c r="A413" s="221">
        <f t="shared" si="83"/>
        <v>45701</v>
      </c>
      <c r="B413" s="130" t="str">
        <f t="shared" si="74"/>
        <v/>
      </c>
      <c r="C413" s="217">
        <f t="shared" si="75"/>
        <v>0</v>
      </c>
      <c r="D413" s="217">
        <f t="shared" si="76"/>
        <v>0</v>
      </c>
      <c r="E413" s="218">
        <f>SUMIF(Consolidado!$A$6:$A$380,'TOTALES DIARIOS'!A413,Consolidado!$E$6:$E$380)</f>
        <v>0</v>
      </c>
      <c r="F413" s="218">
        <f>SUMIF(Consolidado!$A$6:$A$380,'TOTALES DIARIOS'!A413,Consolidado!$F$6:$F$380)</f>
        <v>0</v>
      </c>
      <c r="G413" s="218">
        <f>SUMIF(Consolidado!$A$6:$A$380,'TOTALES DIARIOS'!A413,Consolidado!$G$6:$G$380)</f>
        <v>0</v>
      </c>
      <c r="H413" s="219">
        <f t="shared" si="77"/>
        <v>0</v>
      </c>
      <c r="I413" s="99">
        <f t="shared" si="78"/>
        <v>0</v>
      </c>
      <c r="J413" s="99">
        <f t="shared" si="79"/>
        <v>0</v>
      </c>
      <c r="K413" s="113">
        <f t="shared" si="80"/>
        <v>2025</v>
      </c>
      <c r="L413" s="113">
        <f t="shared" si="81"/>
        <v>2</v>
      </c>
      <c r="M413" s="115">
        <f t="array" ref="M413">MIN(IF(Consolidado!$A$6:$A$1000='TOTALES DIARIOS'!A413,IF(Consolidado!$C$6:$C$1000&gt;TIMEVALUE("07:00"),Consolidado!$C$6:$C$1000,1)))</f>
        <v>0</v>
      </c>
      <c r="N413" s="115">
        <f t="array" ref="N413">MIN(IF(Consolidado!$A$6:$A$1000='TOTALES DIARIOS'!A413,IF(Consolidado!$C$6:$C$1000&lt;=M413,Consolidado!$C$6:$C$1000,1)))</f>
        <v>0</v>
      </c>
      <c r="O413" s="115">
        <f t="array" ref="O413">MAX(IF(Consolidado!$A$6:$A$1000='TOTALES DIARIOS'!A413,IF(Consolidado!$D$6:$D$1000&gt;=M413,Consolidado!$D$6:$D$1000,0)))</f>
        <v>0</v>
      </c>
      <c r="P413" s="118">
        <f t="array" ref="P413">MAX(IF(Consolidado!$A$6:$A$1000='TOTALES DIARIOS'!A413,IF(Consolidado!$D$6:$D$1000&lt;=M413,Consolidado!$D$6:$D$1000,0)))</f>
        <v>0</v>
      </c>
      <c r="Q413" s="117">
        <f t="shared" si="85"/>
        <v>0</v>
      </c>
      <c r="R413" s="117">
        <f t="shared" si="84"/>
        <v>0</v>
      </c>
      <c r="S413" s="104" t="str">
        <f t="shared" si="82"/>
        <v>NO</v>
      </c>
    </row>
    <row r="414" spans="1:19" x14ac:dyDescent="0.25">
      <c r="A414" s="221">
        <f t="shared" si="83"/>
        <v>45702</v>
      </c>
      <c r="B414" s="130" t="str">
        <f t="shared" si="74"/>
        <v/>
      </c>
      <c r="C414" s="217">
        <f t="shared" si="75"/>
        <v>0</v>
      </c>
      <c r="D414" s="217">
        <f t="shared" si="76"/>
        <v>0</v>
      </c>
      <c r="E414" s="218">
        <f>SUMIF(Consolidado!$A$6:$A$380,'TOTALES DIARIOS'!A414,Consolidado!$E$6:$E$380)</f>
        <v>0</v>
      </c>
      <c r="F414" s="218">
        <f>SUMIF(Consolidado!$A$6:$A$380,'TOTALES DIARIOS'!A414,Consolidado!$F$6:$F$380)</f>
        <v>0</v>
      </c>
      <c r="G414" s="218">
        <f>SUMIF(Consolidado!$A$6:$A$380,'TOTALES DIARIOS'!A414,Consolidado!$G$6:$G$380)</f>
        <v>0</v>
      </c>
      <c r="H414" s="219">
        <f t="shared" si="77"/>
        <v>0</v>
      </c>
      <c r="I414" s="99">
        <f t="shared" si="78"/>
        <v>0</v>
      </c>
      <c r="J414" s="99">
        <f t="shared" si="79"/>
        <v>0</v>
      </c>
      <c r="K414" s="113">
        <f t="shared" si="80"/>
        <v>2025</v>
      </c>
      <c r="L414" s="113">
        <f t="shared" si="81"/>
        <v>2</v>
      </c>
      <c r="M414" s="115">
        <f t="array" ref="M414">MIN(IF(Consolidado!$A$6:$A$1000='TOTALES DIARIOS'!A414,IF(Consolidado!$C$6:$C$1000&gt;TIMEVALUE("07:00"),Consolidado!$C$6:$C$1000,1)))</f>
        <v>0</v>
      </c>
      <c r="N414" s="115">
        <f t="array" ref="N414">MIN(IF(Consolidado!$A$6:$A$1000='TOTALES DIARIOS'!A414,IF(Consolidado!$C$6:$C$1000&lt;=M414,Consolidado!$C$6:$C$1000,1)))</f>
        <v>0</v>
      </c>
      <c r="O414" s="115">
        <f t="array" ref="O414">MAX(IF(Consolidado!$A$6:$A$1000='TOTALES DIARIOS'!A414,IF(Consolidado!$D$6:$D$1000&gt;=M414,Consolidado!$D$6:$D$1000,0)))</f>
        <v>0</v>
      </c>
      <c r="P414" s="118">
        <f t="array" ref="P414">MAX(IF(Consolidado!$A$6:$A$1000='TOTALES DIARIOS'!A414,IF(Consolidado!$D$6:$D$1000&lt;=M414,Consolidado!$D$6:$D$1000,0)))</f>
        <v>0</v>
      </c>
      <c r="Q414" s="117">
        <f t="shared" si="85"/>
        <v>0</v>
      </c>
      <c r="R414" s="117">
        <f t="shared" si="84"/>
        <v>0</v>
      </c>
      <c r="S414" s="104" t="str">
        <f t="shared" si="82"/>
        <v>NO</v>
      </c>
    </row>
    <row r="415" spans="1:19" x14ac:dyDescent="0.25">
      <c r="A415" s="221">
        <f t="shared" si="83"/>
        <v>45703</v>
      </c>
      <c r="B415" s="130" t="str">
        <f t="shared" si="74"/>
        <v/>
      </c>
      <c r="C415" s="217">
        <f t="shared" si="75"/>
        <v>0</v>
      </c>
      <c r="D415" s="217">
        <f t="shared" si="76"/>
        <v>0</v>
      </c>
      <c r="E415" s="218">
        <f>SUMIF(Consolidado!$A$6:$A$380,'TOTALES DIARIOS'!A415,Consolidado!$E$6:$E$380)</f>
        <v>0</v>
      </c>
      <c r="F415" s="218">
        <f>SUMIF(Consolidado!$A$6:$A$380,'TOTALES DIARIOS'!A415,Consolidado!$F$6:$F$380)</f>
        <v>0</v>
      </c>
      <c r="G415" s="218">
        <f>SUMIF(Consolidado!$A$6:$A$380,'TOTALES DIARIOS'!A415,Consolidado!$G$6:$G$380)</f>
        <v>0</v>
      </c>
      <c r="H415" s="219">
        <f t="shared" si="77"/>
        <v>0</v>
      </c>
      <c r="I415" s="99">
        <f t="shared" si="78"/>
        <v>0</v>
      </c>
      <c r="J415" s="99">
        <f t="shared" si="79"/>
        <v>0</v>
      </c>
      <c r="K415" s="113">
        <f t="shared" si="80"/>
        <v>2025</v>
      </c>
      <c r="L415" s="113">
        <f t="shared" si="81"/>
        <v>2</v>
      </c>
      <c r="M415" s="115">
        <f t="array" ref="M415">MIN(IF(Consolidado!$A$6:$A$1000='TOTALES DIARIOS'!A415,IF(Consolidado!$C$6:$C$1000&gt;TIMEVALUE("07:00"),Consolidado!$C$6:$C$1000,1)))</f>
        <v>0</v>
      </c>
      <c r="N415" s="115">
        <f t="array" ref="N415">MIN(IF(Consolidado!$A$6:$A$1000='TOTALES DIARIOS'!A415,IF(Consolidado!$C$6:$C$1000&lt;=M415,Consolidado!$C$6:$C$1000,1)))</f>
        <v>0</v>
      </c>
      <c r="O415" s="115">
        <f t="array" ref="O415">MAX(IF(Consolidado!$A$6:$A$1000='TOTALES DIARIOS'!A415,IF(Consolidado!$D$6:$D$1000&gt;=M415,Consolidado!$D$6:$D$1000,0)))</f>
        <v>0</v>
      </c>
      <c r="P415" s="118">
        <f t="array" ref="P415">MAX(IF(Consolidado!$A$6:$A$1000='TOTALES DIARIOS'!A415,IF(Consolidado!$D$6:$D$1000&lt;=M415,Consolidado!$D$6:$D$1000,0)))</f>
        <v>0</v>
      </c>
      <c r="Q415" s="117">
        <f t="shared" si="85"/>
        <v>0</v>
      </c>
      <c r="R415" s="117">
        <f t="shared" si="84"/>
        <v>0</v>
      </c>
      <c r="S415" s="104" t="str">
        <f t="shared" si="82"/>
        <v>NO</v>
      </c>
    </row>
    <row r="416" spans="1:19" x14ac:dyDescent="0.25">
      <c r="A416" s="221">
        <f t="shared" si="83"/>
        <v>45704</v>
      </c>
      <c r="B416" s="130" t="str">
        <f t="shared" si="74"/>
        <v/>
      </c>
      <c r="C416" s="217">
        <f t="shared" si="75"/>
        <v>0</v>
      </c>
      <c r="D416" s="217">
        <f t="shared" si="76"/>
        <v>0</v>
      </c>
      <c r="E416" s="218">
        <f>SUMIF(Consolidado!$A$6:$A$380,'TOTALES DIARIOS'!A416,Consolidado!$E$6:$E$380)</f>
        <v>0</v>
      </c>
      <c r="F416" s="218">
        <f>SUMIF(Consolidado!$A$6:$A$380,'TOTALES DIARIOS'!A416,Consolidado!$F$6:$F$380)</f>
        <v>0</v>
      </c>
      <c r="G416" s="218">
        <f>SUMIF(Consolidado!$A$6:$A$380,'TOTALES DIARIOS'!A416,Consolidado!$G$6:$G$380)</f>
        <v>0</v>
      </c>
      <c r="H416" s="219">
        <f t="shared" si="77"/>
        <v>0</v>
      </c>
      <c r="I416" s="99">
        <f t="shared" si="78"/>
        <v>0</v>
      </c>
      <c r="J416" s="99">
        <f t="shared" si="79"/>
        <v>0</v>
      </c>
      <c r="K416" s="113">
        <f t="shared" si="80"/>
        <v>2025</v>
      </c>
      <c r="L416" s="113">
        <f t="shared" si="81"/>
        <v>2</v>
      </c>
      <c r="M416" s="115">
        <f t="array" ref="M416">MIN(IF(Consolidado!$A$6:$A$1000='TOTALES DIARIOS'!A416,IF(Consolidado!$C$6:$C$1000&gt;TIMEVALUE("07:00"),Consolidado!$C$6:$C$1000,1)))</f>
        <v>0</v>
      </c>
      <c r="N416" s="115">
        <f t="array" ref="N416">MIN(IF(Consolidado!$A$6:$A$1000='TOTALES DIARIOS'!A416,IF(Consolidado!$C$6:$C$1000&lt;=M416,Consolidado!$C$6:$C$1000,1)))</f>
        <v>0</v>
      </c>
      <c r="O416" s="115">
        <f t="array" ref="O416">MAX(IF(Consolidado!$A$6:$A$1000='TOTALES DIARIOS'!A416,IF(Consolidado!$D$6:$D$1000&gt;=M416,Consolidado!$D$6:$D$1000,0)))</f>
        <v>0</v>
      </c>
      <c r="P416" s="118">
        <f t="array" ref="P416">MAX(IF(Consolidado!$A$6:$A$1000='TOTALES DIARIOS'!A416,IF(Consolidado!$D$6:$D$1000&lt;=M416,Consolidado!$D$6:$D$1000,0)))</f>
        <v>0</v>
      </c>
      <c r="Q416" s="117">
        <f t="shared" si="85"/>
        <v>0</v>
      </c>
      <c r="R416" s="117">
        <f t="shared" si="84"/>
        <v>0</v>
      </c>
      <c r="S416" s="104" t="str">
        <f t="shared" si="82"/>
        <v>NO</v>
      </c>
    </row>
    <row r="417" spans="1:19" x14ac:dyDescent="0.25">
      <c r="A417" s="221">
        <f t="shared" si="83"/>
        <v>45705</v>
      </c>
      <c r="B417" s="130" t="str">
        <f t="shared" si="74"/>
        <v/>
      </c>
      <c r="C417" s="217">
        <f t="shared" si="75"/>
        <v>0</v>
      </c>
      <c r="D417" s="217">
        <f t="shared" si="76"/>
        <v>0</v>
      </c>
      <c r="E417" s="218">
        <f>SUMIF(Consolidado!$A$6:$A$380,'TOTALES DIARIOS'!A417,Consolidado!$E$6:$E$380)</f>
        <v>0</v>
      </c>
      <c r="F417" s="218">
        <f>SUMIF(Consolidado!$A$6:$A$380,'TOTALES DIARIOS'!A417,Consolidado!$F$6:$F$380)</f>
        <v>0</v>
      </c>
      <c r="G417" s="218">
        <f>SUMIF(Consolidado!$A$6:$A$380,'TOTALES DIARIOS'!A417,Consolidado!$G$6:$G$380)</f>
        <v>0</v>
      </c>
      <c r="H417" s="219">
        <f t="shared" si="77"/>
        <v>0</v>
      </c>
      <c r="I417" s="99">
        <f t="shared" si="78"/>
        <v>0</v>
      </c>
      <c r="J417" s="99">
        <f t="shared" si="79"/>
        <v>0</v>
      </c>
      <c r="K417" s="113">
        <f t="shared" si="80"/>
        <v>2025</v>
      </c>
      <c r="L417" s="113">
        <f t="shared" si="81"/>
        <v>2</v>
      </c>
      <c r="M417" s="115">
        <f t="array" ref="M417">MIN(IF(Consolidado!$A$6:$A$1000='TOTALES DIARIOS'!A417,IF(Consolidado!$C$6:$C$1000&gt;TIMEVALUE("07:00"),Consolidado!$C$6:$C$1000,1)))</f>
        <v>0</v>
      </c>
      <c r="N417" s="115">
        <f t="array" ref="N417">MIN(IF(Consolidado!$A$6:$A$1000='TOTALES DIARIOS'!A417,IF(Consolidado!$C$6:$C$1000&lt;=M417,Consolidado!$C$6:$C$1000,1)))</f>
        <v>0</v>
      </c>
      <c r="O417" s="115">
        <f t="array" ref="O417">MAX(IF(Consolidado!$A$6:$A$1000='TOTALES DIARIOS'!A417,IF(Consolidado!$D$6:$D$1000&gt;=M417,Consolidado!$D$6:$D$1000,0)))</f>
        <v>0</v>
      </c>
      <c r="P417" s="118">
        <f t="array" ref="P417">MAX(IF(Consolidado!$A$6:$A$1000='TOTALES DIARIOS'!A417,IF(Consolidado!$D$6:$D$1000&lt;=M417,Consolidado!$D$6:$D$1000,0)))</f>
        <v>0</v>
      </c>
      <c r="Q417" s="117">
        <f t="shared" si="85"/>
        <v>0</v>
      </c>
      <c r="R417" s="117">
        <f t="shared" si="84"/>
        <v>0</v>
      </c>
      <c r="S417" s="104" t="str">
        <f t="shared" si="82"/>
        <v>NO</v>
      </c>
    </row>
    <row r="418" spans="1:19" x14ac:dyDescent="0.25">
      <c r="A418" s="221">
        <f t="shared" si="83"/>
        <v>45706</v>
      </c>
      <c r="B418" s="130" t="str">
        <f t="shared" si="74"/>
        <v/>
      </c>
      <c r="C418" s="217">
        <f t="shared" si="75"/>
        <v>0</v>
      </c>
      <c r="D418" s="217">
        <f t="shared" si="76"/>
        <v>0</v>
      </c>
      <c r="E418" s="218">
        <f>SUMIF(Consolidado!$A$6:$A$380,'TOTALES DIARIOS'!A418,Consolidado!$E$6:$E$380)</f>
        <v>0</v>
      </c>
      <c r="F418" s="218">
        <f>SUMIF(Consolidado!$A$6:$A$380,'TOTALES DIARIOS'!A418,Consolidado!$F$6:$F$380)</f>
        <v>0</v>
      </c>
      <c r="G418" s="218">
        <f>SUMIF(Consolidado!$A$6:$A$380,'TOTALES DIARIOS'!A418,Consolidado!$G$6:$G$380)</f>
        <v>0</v>
      </c>
      <c r="H418" s="219">
        <f t="shared" si="77"/>
        <v>0</v>
      </c>
      <c r="I418" s="99">
        <f t="shared" si="78"/>
        <v>0</v>
      </c>
      <c r="J418" s="99">
        <f t="shared" si="79"/>
        <v>0</v>
      </c>
      <c r="K418" s="113">
        <f t="shared" si="80"/>
        <v>2025</v>
      </c>
      <c r="L418" s="113">
        <f t="shared" si="81"/>
        <v>2</v>
      </c>
      <c r="M418" s="115">
        <f t="array" ref="M418">MIN(IF(Consolidado!$A$6:$A$1000='TOTALES DIARIOS'!A418,IF(Consolidado!$C$6:$C$1000&gt;TIMEVALUE("07:00"),Consolidado!$C$6:$C$1000,1)))</f>
        <v>0</v>
      </c>
      <c r="N418" s="115">
        <f t="array" ref="N418">MIN(IF(Consolidado!$A$6:$A$1000='TOTALES DIARIOS'!A418,IF(Consolidado!$C$6:$C$1000&lt;=M418,Consolidado!$C$6:$C$1000,1)))</f>
        <v>0</v>
      </c>
      <c r="O418" s="115">
        <f t="array" ref="O418">MAX(IF(Consolidado!$A$6:$A$1000='TOTALES DIARIOS'!A418,IF(Consolidado!$D$6:$D$1000&gt;=M418,Consolidado!$D$6:$D$1000,0)))</f>
        <v>0</v>
      </c>
      <c r="P418" s="118">
        <f t="array" ref="P418">MAX(IF(Consolidado!$A$6:$A$1000='TOTALES DIARIOS'!A418,IF(Consolidado!$D$6:$D$1000&lt;=M418,Consolidado!$D$6:$D$1000,0)))</f>
        <v>0</v>
      </c>
      <c r="Q418" s="117">
        <f t="shared" si="85"/>
        <v>0</v>
      </c>
      <c r="R418" s="117">
        <f t="shared" si="84"/>
        <v>0</v>
      </c>
      <c r="S418" s="104" t="str">
        <f t="shared" si="82"/>
        <v>NO</v>
      </c>
    </row>
    <row r="419" spans="1:19" x14ac:dyDescent="0.25">
      <c r="A419" s="221">
        <f t="shared" si="83"/>
        <v>45707</v>
      </c>
      <c r="B419" s="130" t="str">
        <f t="shared" si="74"/>
        <v/>
      </c>
      <c r="C419" s="217">
        <f t="shared" si="75"/>
        <v>0</v>
      </c>
      <c r="D419" s="217">
        <f t="shared" si="76"/>
        <v>0</v>
      </c>
      <c r="E419" s="218">
        <f>SUMIF(Consolidado!$A$6:$A$380,'TOTALES DIARIOS'!A419,Consolidado!$E$6:$E$380)</f>
        <v>0</v>
      </c>
      <c r="F419" s="218">
        <f>SUMIF(Consolidado!$A$6:$A$380,'TOTALES DIARIOS'!A419,Consolidado!$F$6:$F$380)</f>
        <v>0</v>
      </c>
      <c r="G419" s="218">
        <f>SUMIF(Consolidado!$A$6:$A$380,'TOTALES DIARIOS'!A419,Consolidado!$G$6:$G$380)</f>
        <v>0</v>
      </c>
      <c r="H419" s="219">
        <f t="shared" si="77"/>
        <v>0</v>
      </c>
      <c r="I419" s="99">
        <f t="shared" si="78"/>
        <v>0</v>
      </c>
      <c r="J419" s="99">
        <f t="shared" si="79"/>
        <v>0</v>
      </c>
      <c r="K419" s="113">
        <f t="shared" si="80"/>
        <v>2025</v>
      </c>
      <c r="L419" s="113">
        <f t="shared" si="81"/>
        <v>2</v>
      </c>
      <c r="M419" s="115">
        <f t="array" ref="M419">MIN(IF(Consolidado!$A$6:$A$1000='TOTALES DIARIOS'!A419,IF(Consolidado!$C$6:$C$1000&gt;TIMEVALUE("07:00"),Consolidado!$C$6:$C$1000,1)))</f>
        <v>0</v>
      </c>
      <c r="N419" s="115">
        <f t="array" ref="N419">MIN(IF(Consolidado!$A$6:$A$1000='TOTALES DIARIOS'!A419,IF(Consolidado!$C$6:$C$1000&lt;=M419,Consolidado!$C$6:$C$1000,1)))</f>
        <v>0</v>
      </c>
      <c r="O419" s="115">
        <f t="array" ref="O419">MAX(IF(Consolidado!$A$6:$A$1000='TOTALES DIARIOS'!A419,IF(Consolidado!$D$6:$D$1000&gt;=M419,Consolidado!$D$6:$D$1000,0)))</f>
        <v>0</v>
      </c>
      <c r="P419" s="118">
        <f t="array" ref="P419">MAX(IF(Consolidado!$A$6:$A$1000='TOTALES DIARIOS'!A419,IF(Consolidado!$D$6:$D$1000&lt;=M419,Consolidado!$D$6:$D$1000,0)))</f>
        <v>0</v>
      </c>
      <c r="Q419" s="117">
        <f t="shared" si="85"/>
        <v>0</v>
      </c>
      <c r="R419" s="117">
        <f t="shared" si="84"/>
        <v>0</v>
      </c>
      <c r="S419" s="104" t="str">
        <f t="shared" si="82"/>
        <v>NO</v>
      </c>
    </row>
    <row r="420" spans="1:19" x14ac:dyDescent="0.25">
      <c r="A420" s="221">
        <f t="shared" si="83"/>
        <v>45708</v>
      </c>
      <c r="B420" s="130" t="str">
        <f t="shared" si="74"/>
        <v/>
      </c>
      <c r="C420" s="217">
        <f t="shared" si="75"/>
        <v>0</v>
      </c>
      <c r="D420" s="217">
        <f t="shared" si="76"/>
        <v>0</v>
      </c>
      <c r="E420" s="218">
        <f>SUMIF(Consolidado!$A$6:$A$380,'TOTALES DIARIOS'!A420,Consolidado!$E$6:$E$380)</f>
        <v>0</v>
      </c>
      <c r="F420" s="218">
        <f>SUMIF(Consolidado!$A$6:$A$380,'TOTALES DIARIOS'!A420,Consolidado!$F$6:$F$380)</f>
        <v>0</v>
      </c>
      <c r="G420" s="218">
        <f>SUMIF(Consolidado!$A$6:$A$380,'TOTALES DIARIOS'!A420,Consolidado!$G$6:$G$380)</f>
        <v>0</v>
      </c>
      <c r="H420" s="219">
        <f t="shared" si="77"/>
        <v>0</v>
      </c>
      <c r="I420" s="99">
        <f t="shared" si="78"/>
        <v>0</v>
      </c>
      <c r="J420" s="99">
        <f t="shared" si="79"/>
        <v>0</v>
      </c>
      <c r="K420" s="113">
        <f t="shared" si="80"/>
        <v>2025</v>
      </c>
      <c r="L420" s="113">
        <f t="shared" si="81"/>
        <v>2</v>
      </c>
      <c r="M420" s="115">
        <f t="array" ref="M420">MIN(IF(Consolidado!$A$6:$A$1000='TOTALES DIARIOS'!A420,IF(Consolidado!$C$6:$C$1000&gt;TIMEVALUE("07:00"),Consolidado!$C$6:$C$1000,1)))</f>
        <v>0</v>
      </c>
      <c r="N420" s="115">
        <f t="array" ref="N420">MIN(IF(Consolidado!$A$6:$A$1000='TOTALES DIARIOS'!A420,IF(Consolidado!$C$6:$C$1000&lt;=M420,Consolidado!$C$6:$C$1000,1)))</f>
        <v>0</v>
      </c>
      <c r="O420" s="115">
        <f t="array" ref="O420">MAX(IF(Consolidado!$A$6:$A$1000='TOTALES DIARIOS'!A420,IF(Consolidado!$D$6:$D$1000&gt;=M420,Consolidado!$D$6:$D$1000,0)))</f>
        <v>0</v>
      </c>
      <c r="P420" s="118">
        <f t="array" ref="P420">MAX(IF(Consolidado!$A$6:$A$1000='TOTALES DIARIOS'!A420,IF(Consolidado!$D$6:$D$1000&lt;=M420,Consolidado!$D$6:$D$1000,0)))</f>
        <v>0</v>
      </c>
      <c r="Q420" s="117">
        <f t="shared" si="85"/>
        <v>0</v>
      </c>
      <c r="R420" s="117">
        <f t="shared" si="84"/>
        <v>0</v>
      </c>
      <c r="S420" s="104" t="str">
        <f t="shared" si="82"/>
        <v>NO</v>
      </c>
    </row>
    <row r="421" spans="1:19" x14ac:dyDescent="0.25">
      <c r="A421" s="221">
        <f t="shared" si="83"/>
        <v>45709</v>
      </c>
      <c r="B421" s="130" t="str">
        <f t="shared" si="74"/>
        <v/>
      </c>
      <c r="C421" s="217">
        <f t="shared" si="75"/>
        <v>0</v>
      </c>
      <c r="D421" s="217">
        <f t="shared" si="76"/>
        <v>0</v>
      </c>
      <c r="E421" s="218">
        <f>SUMIF(Consolidado!$A$6:$A$380,'TOTALES DIARIOS'!A421,Consolidado!$E$6:$E$380)</f>
        <v>0</v>
      </c>
      <c r="F421" s="218">
        <f>SUMIF(Consolidado!$A$6:$A$380,'TOTALES DIARIOS'!A421,Consolidado!$F$6:$F$380)</f>
        <v>0</v>
      </c>
      <c r="G421" s="218">
        <f>SUMIF(Consolidado!$A$6:$A$380,'TOTALES DIARIOS'!A421,Consolidado!$G$6:$G$380)</f>
        <v>0</v>
      </c>
      <c r="H421" s="219">
        <f t="shared" si="77"/>
        <v>0</v>
      </c>
      <c r="I421" s="99">
        <f t="shared" si="78"/>
        <v>0</v>
      </c>
      <c r="J421" s="99">
        <f t="shared" si="79"/>
        <v>0</v>
      </c>
      <c r="K421" s="113">
        <f t="shared" si="80"/>
        <v>2025</v>
      </c>
      <c r="L421" s="113">
        <f t="shared" si="81"/>
        <v>2</v>
      </c>
      <c r="M421" s="115">
        <f t="array" ref="M421">MIN(IF(Consolidado!$A$6:$A$1000='TOTALES DIARIOS'!A421,IF(Consolidado!$C$6:$C$1000&gt;TIMEVALUE("07:00"),Consolidado!$C$6:$C$1000,1)))</f>
        <v>0</v>
      </c>
      <c r="N421" s="115">
        <f t="array" ref="N421">MIN(IF(Consolidado!$A$6:$A$1000='TOTALES DIARIOS'!A421,IF(Consolidado!$C$6:$C$1000&lt;=M421,Consolidado!$C$6:$C$1000,1)))</f>
        <v>0</v>
      </c>
      <c r="O421" s="115">
        <f t="array" ref="O421">MAX(IF(Consolidado!$A$6:$A$1000='TOTALES DIARIOS'!A421,IF(Consolidado!$D$6:$D$1000&gt;=M421,Consolidado!$D$6:$D$1000,0)))</f>
        <v>0</v>
      </c>
      <c r="P421" s="118">
        <f t="array" ref="P421">MAX(IF(Consolidado!$A$6:$A$1000='TOTALES DIARIOS'!A421,IF(Consolidado!$D$6:$D$1000&lt;=M421,Consolidado!$D$6:$D$1000,0)))</f>
        <v>0</v>
      </c>
      <c r="Q421" s="117">
        <f t="shared" si="85"/>
        <v>0</v>
      </c>
      <c r="R421" s="117">
        <f t="shared" si="84"/>
        <v>0</v>
      </c>
      <c r="S421" s="104" t="str">
        <f t="shared" si="82"/>
        <v>NO</v>
      </c>
    </row>
    <row r="422" spans="1:19" x14ac:dyDescent="0.25">
      <c r="A422" s="221">
        <f t="shared" si="83"/>
        <v>45710</v>
      </c>
      <c r="B422" s="130" t="str">
        <f t="shared" si="74"/>
        <v/>
      </c>
      <c r="C422" s="217">
        <f t="shared" si="75"/>
        <v>0</v>
      </c>
      <c r="D422" s="217">
        <f t="shared" si="76"/>
        <v>0</v>
      </c>
      <c r="E422" s="218">
        <f>SUMIF(Consolidado!$A$6:$A$380,'TOTALES DIARIOS'!A422,Consolidado!$E$6:$E$380)</f>
        <v>0</v>
      </c>
      <c r="F422" s="218">
        <f>SUMIF(Consolidado!$A$6:$A$380,'TOTALES DIARIOS'!A422,Consolidado!$F$6:$F$380)</f>
        <v>0</v>
      </c>
      <c r="G422" s="218">
        <f>SUMIF(Consolidado!$A$6:$A$380,'TOTALES DIARIOS'!A422,Consolidado!$G$6:$G$380)</f>
        <v>0</v>
      </c>
      <c r="H422" s="219">
        <f t="shared" si="77"/>
        <v>0</v>
      </c>
      <c r="I422" s="99">
        <f t="shared" si="78"/>
        <v>0</v>
      </c>
      <c r="J422" s="99">
        <f t="shared" si="79"/>
        <v>0</v>
      </c>
      <c r="K422" s="113">
        <f t="shared" si="80"/>
        <v>2025</v>
      </c>
      <c r="L422" s="113">
        <f t="shared" si="81"/>
        <v>2</v>
      </c>
      <c r="M422" s="115">
        <f t="array" ref="M422">MIN(IF(Consolidado!$A$6:$A$1000='TOTALES DIARIOS'!A422,IF(Consolidado!$C$6:$C$1000&gt;TIMEVALUE("07:00"),Consolidado!$C$6:$C$1000,1)))</f>
        <v>0</v>
      </c>
      <c r="N422" s="115">
        <f t="array" ref="N422">MIN(IF(Consolidado!$A$6:$A$1000='TOTALES DIARIOS'!A422,IF(Consolidado!$C$6:$C$1000&lt;=M422,Consolidado!$C$6:$C$1000,1)))</f>
        <v>0</v>
      </c>
      <c r="O422" s="115">
        <f t="array" ref="O422">MAX(IF(Consolidado!$A$6:$A$1000='TOTALES DIARIOS'!A422,IF(Consolidado!$D$6:$D$1000&gt;=M422,Consolidado!$D$6:$D$1000,0)))</f>
        <v>0</v>
      </c>
      <c r="P422" s="118">
        <f t="array" ref="P422">MAX(IF(Consolidado!$A$6:$A$1000='TOTALES DIARIOS'!A422,IF(Consolidado!$D$6:$D$1000&lt;=M422,Consolidado!$D$6:$D$1000,0)))</f>
        <v>0</v>
      </c>
      <c r="Q422" s="117">
        <f t="shared" si="85"/>
        <v>0</v>
      </c>
      <c r="R422" s="117">
        <f t="shared" si="84"/>
        <v>0</v>
      </c>
      <c r="S422" s="104" t="str">
        <f t="shared" si="82"/>
        <v>NO</v>
      </c>
    </row>
    <row r="423" spans="1:19" x14ac:dyDescent="0.25">
      <c r="A423" s="221">
        <f t="shared" si="83"/>
        <v>45711</v>
      </c>
      <c r="B423" s="130" t="str">
        <f t="shared" si="74"/>
        <v/>
      </c>
      <c r="C423" s="217">
        <f t="shared" si="75"/>
        <v>0</v>
      </c>
      <c r="D423" s="217">
        <f t="shared" si="76"/>
        <v>0</v>
      </c>
      <c r="E423" s="218">
        <f>SUMIF(Consolidado!$A$6:$A$380,'TOTALES DIARIOS'!A423,Consolidado!$E$6:$E$380)</f>
        <v>0</v>
      </c>
      <c r="F423" s="218">
        <f>SUMIF(Consolidado!$A$6:$A$380,'TOTALES DIARIOS'!A423,Consolidado!$F$6:$F$380)</f>
        <v>0</v>
      </c>
      <c r="G423" s="218">
        <f>SUMIF(Consolidado!$A$6:$A$380,'TOTALES DIARIOS'!A423,Consolidado!$G$6:$G$380)</f>
        <v>0</v>
      </c>
      <c r="H423" s="219">
        <f t="shared" si="77"/>
        <v>0</v>
      </c>
      <c r="I423" s="99">
        <f t="shared" si="78"/>
        <v>0</v>
      </c>
      <c r="J423" s="99">
        <f t="shared" si="79"/>
        <v>0</v>
      </c>
      <c r="K423" s="113">
        <f t="shared" si="80"/>
        <v>2025</v>
      </c>
      <c r="L423" s="113">
        <f t="shared" si="81"/>
        <v>2</v>
      </c>
      <c r="M423" s="115">
        <f t="array" ref="M423">MIN(IF(Consolidado!$A$6:$A$1000='TOTALES DIARIOS'!A423,IF(Consolidado!$C$6:$C$1000&gt;TIMEVALUE("07:00"),Consolidado!$C$6:$C$1000,1)))</f>
        <v>0</v>
      </c>
      <c r="N423" s="115">
        <f t="array" ref="N423">MIN(IF(Consolidado!$A$6:$A$1000='TOTALES DIARIOS'!A423,IF(Consolidado!$C$6:$C$1000&lt;=M423,Consolidado!$C$6:$C$1000,1)))</f>
        <v>0</v>
      </c>
      <c r="O423" s="115">
        <f t="array" ref="O423">MAX(IF(Consolidado!$A$6:$A$1000='TOTALES DIARIOS'!A423,IF(Consolidado!$D$6:$D$1000&gt;=M423,Consolidado!$D$6:$D$1000,0)))</f>
        <v>0</v>
      </c>
      <c r="P423" s="118">
        <f t="array" ref="P423">MAX(IF(Consolidado!$A$6:$A$1000='TOTALES DIARIOS'!A423,IF(Consolidado!$D$6:$D$1000&lt;=M423,Consolidado!$D$6:$D$1000,0)))</f>
        <v>0</v>
      </c>
      <c r="Q423" s="117">
        <f t="shared" si="85"/>
        <v>0</v>
      </c>
      <c r="R423" s="117">
        <f t="shared" si="84"/>
        <v>0</v>
      </c>
      <c r="S423" s="104" t="str">
        <f t="shared" si="82"/>
        <v>NO</v>
      </c>
    </row>
    <row r="424" spans="1:19" x14ac:dyDescent="0.25">
      <c r="A424" s="221">
        <f t="shared" si="83"/>
        <v>45712</v>
      </c>
      <c r="B424" s="130" t="str">
        <f t="shared" si="74"/>
        <v/>
      </c>
      <c r="C424" s="217">
        <f t="shared" si="75"/>
        <v>0</v>
      </c>
      <c r="D424" s="217">
        <f t="shared" si="76"/>
        <v>0</v>
      </c>
      <c r="E424" s="218">
        <f>SUMIF(Consolidado!$A$6:$A$380,'TOTALES DIARIOS'!A424,Consolidado!$E$6:$E$380)</f>
        <v>0</v>
      </c>
      <c r="F424" s="218">
        <f>SUMIF(Consolidado!$A$6:$A$380,'TOTALES DIARIOS'!A424,Consolidado!$F$6:$F$380)</f>
        <v>0</v>
      </c>
      <c r="G424" s="218">
        <f>SUMIF(Consolidado!$A$6:$A$380,'TOTALES DIARIOS'!A424,Consolidado!$G$6:$G$380)</f>
        <v>0</v>
      </c>
      <c r="H424" s="219">
        <f t="shared" si="77"/>
        <v>0</v>
      </c>
      <c r="I424" s="99">
        <f t="shared" si="78"/>
        <v>0</v>
      </c>
      <c r="J424" s="99">
        <f t="shared" si="79"/>
        <v>0</v>
      </c>
      <c r="K424" s="113">
        <f t="shared" si="80"/>
        <v>2025</v>
      </c>
      <c r="L424" s="113">
        <f t="shared" si="81"/>
        <v>2</v>
      </c>
      <c r="M424" s="115">
        <f t="array" ref="M424">MIN(IF(Consolidado!$A$6:$A$1000='TOTALES DIARIOS'!A424,IF(Consolidado!$C$6:$C$1000&gt;TIMEVALUE("07:00"),Consolidado!$C$6:$C$1000,1)))</f>
        <v>0</v>
      </c>
      <c r="N424" s="115">
        <f t="array" ref="N424">MIN(IF(Consolidado!$A$6:$A$1000='TOTALES DIARIOS'!A424,IF(Consolidado!$C$6:$C$1000&lt;=M424,Consolidado!$C$6:$C$1000,1)))</f>
        <v>0</v>
      </c>
      <c r="O424" s="115">
        <f t="array" ref="O424">MAX(IF(Consolidado!$A$6:$A$1000='TOTALES DIARIOS'!A424,IF(Consolidado!$D$6:$D$1000&gt;=M424,Consolidado!$D$6:$D$1000,0)))</f>
        <v>0</v>
      </c>
      <c r="P424" s="118">
        <f t="array" ref="P424">MAX(IF(Consolidado!$A$6:$A$1000='TOTALES DIARIOS'!A424,IF(Consolidado!$D$6:$D$1000&lt;=M424,Consolidado!$D$6:$D$1000,0)))</f>
        <v>0</v>
      </c>
      <c r="Q424" s="117">
        <f t="shared" si="85"/>
        <v>0</v>
      </c>
      <c r="R424" s="117">
        <f t="shared" si="84"/>
        <v>0</v>
      </c>
      <c r="S424" s="104" t="str">
        <f t="shared" si="82"/>
        <v>NO</v>
      </c>
    </row>
    <row r="425" spans="1:19" x14ac:dyDescent="0.25">
      <c r="A425" s="221">
        <f t="shared" si="83"/>
        <v>45713</v>
      </c>
      <c r="B425" s="130" t="str">
        <f t="shared" si="74"/>
        <v/>
      </c>
      <c r="C425" s="217">
        <f t="shared" si="75"/>
        <v>0</v>
      </c>
      <c r="D425" s="217">
        <f t="shared" si="76"/>
        <v>0</v>
      </c>
      <c r="E425" s="218">
        <f>SUMIF(Consolidado!$A$6:$A$380,'TOTALES DIARIOS'!A425,Consolidado!$E$6:$E$380)</f>
        <v>0</v>
      </c>
      <c r="F425" s="218">
        <f>SUMIF(Consolidado!$A$6:$A$380,'TOTALES DIARIOS'!A425,Consolidado!$F$6:$F$380)</f>
        <v>0</v>
      </c>
      <c r="G425" s="218">
        <f>SUMIF(Consolidado!$A$6:$A$380,'TOTALES DIARIOS'!A425,Consolidado!$G$6:$G$380)</f>
        <v>0</v>
      </c>
      <c r="H425" s="219">
        <f t="shared" si="77"/>
        <v>0</v>
      </c>
      <c r="I425" s="99">
        <f t="shared" si="78"/>
        <v>0</v>
      </c>
      <c r="J425" s="99">
        <f t="shared" si="79"/>
        <v>0</v>
      </c>
      <c r="K425" s="113">
        <f t="shared" si="80"/>
        <v>2025</v>
      </c>
      <c r="L425" s="113">
        <f t="shared" si="81"/>
        <v>2</v>
      </c>
      <c r="M425" s="115">
        <f t="array" ref="M425">MIN(IF(Consolidado!$A$6:$A$1000='TOTALES DIARIOS'!A425,IF(Consolidado!$C$6:$C$1000&gt;TIMEVALUE("07:00"),Consolidado!$C$6:$C$1000,1)))</f>
        <v>0</v>
      </c>
      <c r="N425" s="115">
        <f t="array" ref="N425">MIN(IF(Consolidado!$A$6:$A$1000='TOTALES DIARIOS'!A425,IF(Consolidado!$C$6:$C$1000&lt;=M425,Consolidado!$C$6:$C$1000,1)))</f>
        <v>0</v>
      </c>
      <c r="O425" s="115">
        <f t="array" ref="O425">MAX(IF(Consolidado!$A$6:$A$1000='TOTALES DIARIOS'!A425,IF(Consolidado!$D$6:$D$1000&gt;=M425,Consolidado!$D$6:$D$1000,0)))</f>
        <v>0</v>
      </c>
      <c r="P425" s="118">
        <f t="array" ref="P425">MAX(IF(Consolidado!$A$6:$A$1000='TOTALES DIARIOS'!A425,IF(Consolidado!$D$6:$D$1000&lt;=M425,Consolidado!$D$6:$D$1000,0)))</f>
        <v>0</v>
      </c>
      <c r="Q425" s="117">
        <f t="shared" si="85"/>
        <v>0</v>
      </c>
      <c r="R425" s="117">
        <f t="shared" si="84"/>
        <v>0</v>
      </c>
      <c r="S425" s="104" t="str">
        <f t="shared" si="82"/>
        <v>NO</v>
      </c>
    </row>
    <row r="426" spans="1:19" x14ac:dyDescent="0.25">
      <c r="A426" s="221">
        <f t="shared" si="83"/>
        <v>45714</v>
      </c>
      <c r="B426" s="130" t="str">
        <f t="shared" si="74"/>
        <v/>
      </c>
      <c r="C426" s="217">
        <f t="shared" si="75"/>
        <v>0</v>
      </c>
      <c r="D426" s="217">
        <f t="shared" si="76"/>
        <v>0</v>
      </c>
      <c r="E426" s="218">
        <f>SUMIF(Consolidado!$A$6:$A$380,'TOTALES DIARIOS'!A426,Consolidado!$E$6:$E$380)</f>
        <v>0</v>
      </c>
      <c r="F426" s="218">
        <f>SUMIF(Consolidado!$A$6:$A$380,'TOTALES DIARIOS'!A426,Consolidado!$F$6:$F$380)</f>
        <v>0</v>
      </c>
      <c r="G426" s="218">
        <f>SUMIF(Consolidado!$A$6:$A$380,'TOTALES DIARIOS'!A426,Consolidado!$G$6:$G$380)</f>
        <v>0</v>
      </c>
      <c r="H426" s="219">
        <f t="shared" si="77"/>
        <v>0</v>
      </c>
      <c r="I426" s="99">
        <f t="shared" si="78"/>
        <v>0</v>
      </c>
      <c r="J426" s="99">
        <f t="shared" si="79"/>
        <v>0</v>
      </c>
      <c r="K426" s="113">
        <f t="shared" si="80"/>
        <v>2025</v>
      </c>
      <c r="L426" s="113">
        <f t="shared" si="81"/>
        <v>2</v>
      </c>
      <c r="M426" s="115">
        <f t="array" ref="M426">MIN(IF(Consolidado!$A$6:$A$1000='TOTALES DIARIOS'!A426,IF(Consolidado!$C$6:$C$1000&gt;TIMEVALUE("07:00"),Consolidado!$C$6:$C$1000,1)))</f>
        <v>0</v>
      </c>
      <c r="N426" s="115">
        <f t="array" ref="N426">MIN(IF(Consolidado!$A$6:$A$1000='TOTALES DIARIOS'!A426,IF(Consolidado!$C$6:$C$1000&lt;=M426,Consolidado!$C$6:$C$1000,1)))</f>
        <v>0</v>
      </c>
      <c r="O426" s="115">
        <f t="array" ref="O426">MAX(IF(Consolidado!$A$6:$A$1000='TOTALES DIARIOS'!A426,IF(Consolidado!$D$6:$D$1000&gt;=M426,Consolidado!$D$6:$D$1000,0)))</f>
        <v>0</v>
      </c>
      <c r="P426" s="118">
        <f t="array" ref="P426">MAX(IF(Consolidado!$A$6:$A$1000='TOTALES DIARIOS'!A426,IF(Consolidado!$D$6:$D$1000&lt;=M426,Consolidado!$D$6:$D$1000,0)))</f>
        <v>0</v>
      </c>
      <c r="Q426" s="117">
        <f t="shared" si="85"/>
        <v>0</v>
      </c>
      <c r="R426" s="117">
        <f t="shared" si="84"/>
        <v>0</v>
      </c>
      <c r="S426" s="104" t="str">
        <f t="shared" si="82"/>
        <v>NO</v>
      </c>
    </row>
    <row r="427" spans="1:19" x14ac:dyDescent="0.25">
      <c r="A427" s="221">
        <f t="shared" si="83"/>
        <v>45715</v>
      </c>
      <c r="B427" s="130" t="str">
        <f t="shared" si="74"/>
        <v/>
      </c>
      <c r="C427" s="217">
        <f t="shared" si="75"/>
        <v>0</v>
      </c>
      <c r="D427" s="217">
        <f t="shared" si="76"/>
        <v>0</v>
      </c>
      <c r="E427" s="218">
        <f>SUMIF(Consolidado!$A$6:$A$380,'TOTALES DIARIOS'!A427,Consolidado!$E$6:$E$380)</f>
        <v>0</v>
      </c>
      <c r="F427" s="218">
        <f>SUMIF(Consolidado!$A$6:$A$380,'TOTALES DIARIOS'!A427,Consolidado!$F$6:$F$380)</f>
        <v>0</v>
      </c>
      <c r="G427" s="218">
        <f>SUMIF(Consolidado!$A$6:$A$380,'TOTALES DIARIOS'!A427,Consolidado!$G$6:$G$380)</f>
        <v>0</v>
      </c>
      <c r="H427" s="219">
        <f t="shared" si="77"/>
        <v>0</v>
      </c>
      <c r="I427" s="99">
        <f t="shared" si="78"/>
        <v>0</v>
      </c>
      <c r="J427" s="99">
        <f t="shared" si="79"/>
        <v>0</v>
      </c>
      <c r="K427" s="113">
        <f t="shared" si="80"/>
        <v>2025</v>
      </c>
      <c r="L427" s="113">
        <f t="shared" si="81"/>
        <v>2</v>
      </c>
      <c r="M427" s="115">
        <f t="array" ref="M427">MIN(IF(Consolidado!$A$6:$A$1000='TOTALES DIARIOS'!A427,IF(Consolidado!$C$6:$C$1000&gt;TIMEVALUE("07:00"),Consolidado!$C$6:$C$1000,1)))</f>
        <v>0</v>
      </c>
      <c r="N427" s="115">
        <f t="array" ref="N427">MIN(IF(Consolidado!$A$6:$A$1000='TOTALES DIARIOS'!A427,IF(Consolidado!$C$6:$C$1000&lt;=M427,Consolidado!$C$6:$C$1000,1)))</f>
        <v>0</v>
      </c>
      <c r="O427" s="115">
        <f t="array" ref="O427">MAX(IF(Consolidado!$A$6:$A$1000='TOTALES DIARIOS'!A427,IF(Consolidado!$D$6:$D$1000&gt;=M427,Consolidado!$D$6:$D$1000,0)))</f>
        <v>0</v>
      </c>
      <c r="P427" s="118">
        <f t="array" ref="P427">MAX(IF(Consolidado!$A$6:$A$1000='TOTALES DIARIOS'!A427,IF(Consolidado!$D$6:$D$1000&lt;=M427,Consolidado!$D$6:$D$1000,0)))</f>
        <v>0</v>
      </c>
      <c r="Q427" s="117">
        <f t="shared" si="85"/>
        <v>0</v>
      </c>
      <c r="R427" s="117">
        <f t="shared" si="84"/>
        <v>0</v>
      </c>
      <c r="S427" s="104" t="str">
        <f t="shared" si="82"/>
        <v>NO</v>
      </c>
    </row>
    <row r="428" spans="1:19" x14ac:dyDescent="0.25">
      <c r="A428" s="221">
        <f t="shared" si="83"/>
        <v>45716</v>
      </c>
      <c r="B428" s="130" t="str">
        <f t="shared" si="74"/>
        <v/>
      </c>
      <c r="C428" s="217">
        <f t="shared" si="75"/>
        <v>0</v>
      </c>
      <c r="D428" s="217">
        <f t="shared" si="76"/>
        <v>0</v>
      </c>
      <c r="E428" s="218">
        <f>SUMIF(Consolidado!$A$6:$A$380,'TOTALES DIARIOS'!A428,Consolidado!$E$6:$E$380)</f>
        <v>0</v>
      </c>
      <c r="F428" s="218">
        <f>SUMIF(Consolidado!$A$6:$A$380,'TOTALES DIARIOS'!A428,Consolidado!$F$6:$F$380)</f>
        <v>0</v>
      </c>
      <c r="G428" s="218">
        <f>SUMIF(Consolidado!$A$6:$A$380,'TOTALES DIARIOS'!A428,Consolidado!$G$6:$G$380)</f>
        <v>0</v>
      </c>
      <c r="H428" s="219">
        <f t="shared" si="77"/>
        <v>0</v>
      </c>
      <c r="I428" s="99">
        <f t="shared" si="78"/>
        <v>0</v>
      </c>
      <c r="J428" s="99">
        <f t="shared" si="79"/>
        <v>0</v>
      </c>
      <c r="K428" s="113">
        <f t="shared" si="80"/>
        <v>2025</v>
      </c>
      <c r="L428" s="113">
        <f t="shared" si="81"/>
        <v>2</v>
      </c>
      <c r="M428" s="115">
        <f t="array" ref="M428">MIN(IF(Consolidado!$A$6:$A$1000='TOTALES DIARIOS'!A428,IF(Consolidado!$C$6:$C$1000&gt;TIMEVALUE("07:00"),Consolidado!$C$6:$C$1000,1)))</f>
        <v>0</v>
      </c>
      <c r="N428" s="115">
        <f t="array" ref="N428">MIN(IF(Consolidado!$A$6:$A$1000='TOTALES DIARIOS'!A428,IF(Consolidado!$C$6:$C$1000&lt;=M428,Consolidado!$C$6:$C$1000,1)))</f>
        <v>0</v>
      </c>
      <c r="O428" s="115">
        <f t="array" ref="O428">MAX(IF(Consolidado!$A$6:$A$1000='TOTALES DIARIOS'!A428,IF(Consolidado!$D$6:$D$1000&gt;=M428,Consolidado!$D$6:$D$1000,0)))</f>
        <v>0</v>
      </c>
      <c r="P428" s="118">
        <f t="array" ref="P428">MAX(IF(Consolidado!$A$6:$A$1000='TOTALES DIARIOS'!A428,IF(Consolidado!$D$6:$D$1000&lt;=M428,Consolidado!$D$6:$D$1000,0)))</f>
        <v>0</v>
      </c>
      <c r="Q428" s="117">
        <f t="shared" si="85"/>
        <v>0</v>
      </c>
      <c r="R428" s="117">
        <f t="shared" si="84"/>
        <v>0</v>
      </c>
      <c r="S428" s="104" t="str">
        <f t="shared" si="82"/>
        <v>NO</v>
      </c>
    </row>
    <row r="429" spans="1:19" x14ac:dyDescent="0.25">
      <c r="A429" s="221">
        <f t="shared" si="83"/>
        <v>45717</v>
      </c>
      <c r="B429" s="130" t="str">
        <f t="shared" si="74"/>
        <v/>
      </c>
      <c r="C429" s="217">
        <f t="shared" si="75"/>
        <v>0</v>
      </c>
      <c r="D429" s="217">
        <f t="shared" si="76"/>
        <v>0</v>
      </c>
      <c r="E429" s="218">
        <f>SUMIF(Consolidado!$A$6:$A$380,'TOTALES DIARIOS'!A429,Consolidado!$E$6:$E$380)</f>
        <v>0</v>
      </c>
      <c r="F429" s="218">
        <f>SUMIF(Consolidado!$A$6:$A$380,'TOTALES DIARIOS'!A429,Consolidado!$F$6:$F$380)</f>
        <v>0</v>
      </c>
      <c r="G429" s="218">
        <f>SUMIF(Consolidado!$A$6:$A$380,'TOTALES DIARIOS'!A429,Consolidado!$G$6:$G$380)</f>
        <v>0</v>
      </c>
      <c r="H429" s="219">
        <f t="shared" si="77"/>
        <v>0</v>
      </c>
      <c r="I429" s="99">
        <f t="shared" si="78"/>
        <v>0</v>
      </c>
      <c r="J429" s="99">
        <f t="shared" si="79"/>
        <v>0</v>
      </c>
      <c r="K429" s="113">
        <f t="shared" si="80"/>
        <v>2025</v>
      </c>
      <c r="L429" s="113">
        <f t="shared" si="81"/>
        <v>3</v>
      </c>
      <c r="M429" s="115">
        <f t="array" ref="M429">MIN(IF(Consolidado!$A$6:$A$1000='TOTALES DIARIOS'!A429,IF(Consolidado!$C$6:$C$1000&gt;TIMEVALUE("07:00"),Consolidado!$C$6:$C$1000,1)))</f>
        <v>0</v>
      </c>
      <c r="N429" s="115">
        <f t="array" ref="N429">MIN(IF(Consolidado!$A$6:$A$1000='TOTALES DIARIOS'!A429,IF(Consolidado!$C$6:$C$1000&lt;=M429,Consolidado!$C$6:$C$1000,1)))</f>
        <v>0</v>
      </c>
      <c r="O429" s="115">
        <f t="array" ref="O429">MAX(IF(Consolidado!$A$6:$A$1000='TOTALES DIARIOS'!A429,IF(Consolidado!$D$6:$D$1000&gt;=M429,Consolidado!$D$6:$D$1000,0)))</f>
        <v>0</v>
      </c>
      <c r="P429" s="118">
        <f t="array" ref="P429">MAX(IF(Consolidado!$A$6:$A$1000='TOTALES DIARIOS'!A429,IF(Consolidado!$D$6:$D$1000&lt;=M429,Consolidado!$D$6:$D$1000,0)))</f>
        <v>0</v>
      </c>
      <c r="Q429" s="117">
        <f t="shared" si="85"/>
        <v>0</v>
      </c>
      <c r="R429" s="117">
        <f t="shared" si="84"/>
        <v>0</v>
      </c>
      <c r="S429" s="104" t="str">
        <f t="shared" si="82"/>
        <v>NO</v>
      </c>
    </row>
    <row r="430" spans="1:19" x14ac:dyDescent="0.25">
      <c r="A430" s="221">
        <f t="shared" si="83"/>
        <v>45718</v>
      </c>
      <c r="B430" s="130" t="str">
        <f t="shared" si="74"/>
        <v/>
      </c>
      <c r="C430" s="217">
        <f t="shared" si="75"/>
        <v>0</v>
      </c>
      <c r="D430" s="217">
        <f t="shared" si="76"/>
        <v>0</v>
      </c>
      <c r="E430" s="218">
        <f>SUMIF(Consolidado!$A$6:$A$380,'TOTALES DIARIOS'!A430,Consolidado!$E$6:$E$380)</f>
        <v>0</v>
      </c>
      <c r="F430" s="218">
        <f>SUMIF(Consolidado!$A$6:$A$380,'TOTALES DIARIOS'!A430,Consolidado!$F$6:$F$380)</f>
        <v>0</v>
      </c>
      <c r="G430" s="218">
        <f>SUMIF(Consolidado!$A$6:$A$380,'TOTALES DIARIOS'!A430,Consolidado!$G$6:$G$380)</f>
        <v>0</v>
      </c>
      <c r="H430" s="219">
        <f t="shared" si="77"/>
        <v>0</v>
      </c>
      <c r="I430" s="99">
        <f t="shared" si="78"/>
        <v>0</v>
      </c>
      <c r="J430" s="99">
        <f t="shared" si="79"/>
        <v>0</v>
      </c>
      <c r="K430" s="113">
        <f t="shared" si="80"/>
        <v>2025</v>
      </c>
      <c r="L430" s="113">
        <f t="shared" si="81"/>
        <v>3</v>
      </c>
      <c r="M430" s="115">
        <f t="array" ref="M430">MIN(IF(Consolidado!$A$6:$A$1000='TOTALES DIARIOS'!A430,IF(Consolidado!$C$6:$C$1000&gt;TIMEVALUE("07:00"),Consolidado!$C$6:$C$1000,1)))</f>
        <v>0</v>
      </c>
      <c r="N430" s="115">
        <f t="array" ref="N430">MIN(IF(Consolidado!$A$6:$A$1000='TOTALES DIARIOS'!A430,IF(Consolidado!$C$6:$C$1000&lt;=M430,Consolidado!$C$6:$C$1000,1)))</f>
        <v>0</v>
      </c>
      <c r="O430" s="115">
        <f t="array" ref="O430">MAX(IF(Consolidado!$A$6:$A$1000='TOTALES DIARIOS'!A430,IF(Consolidado!$D$6:$D$1000&gt;=M430,Consolidado!$D$6:$D$1000,0)))</f>
        <v>0</v>
      </c>
      <c r="P430" s="118">
        <f t="array" ref="P430">MAX(IF(Consolidado!$A$6:$A$1000='TOTALES DIARIOS'!A430,IF(Consolidado!$D$6:$D$1000&lt;=M430,Consolidado!$D$6:$D$1000,0)))</f>
        <v>0</v>
      </c>
      <c r="Q430" s="117">
        <f t="shared" si="85"/>
        <v>0</v>
      </c>
      <c r="R430" s="117">
        <f t="shared" si="84"/>
        <v>0</v>
      </c>
      <c r="S430" s="104" t="str">
        <f t="shared" si="82"/>
        <v>NO</v>
      </c>
    </row>
    <row r="431" spans="1:19" x14ac:dyDescent="0.25">
      <c r="A431" s="221">
        <f t="shared" si="83"/>
        <v>45719</v>
      </c>
      <c r="B431" s="130" t="str">
        <f t="shared" si="74"/>
        <v/>
      </c>
      <c r="C431" s="217">
        <f t="shared" si="75"/>
        <v>0</v>
      </c>
      <c r="D431" s="217">
        <f t="shared" si="76"/>
        <v>0</v>
      </c>
      <c r="E431" s="218">
        <f>SUMIF(Consolidado!$A$6:$A$380,'TOTALES DIARIOS'!A431,Consolidado!$E$6:$E$380)</f>
        <v>0</v>
      </c>
      <c r="F431" s="218">
        <f>SUMIF(Consolidado!$A$6:$A$380,'TOTALES DIARIOS'!A431,Consolidado!$F$6:$F$380)</f>
        <v>0</v>
      </c>
      <c r="G431" s="218">
        <f>SUMIF(Consolidado!$A$6:$A$380,'TOTALES DIARIOS'!A431,Consolidado!$G$6:$G$380)</f>
        <v>0</v>
      </c>
      <c r="H431" s="219">
        <f t="shared" si="77"/>
        <v>0</v>
      </c>
      <c r="I431" s="99">
        <f t="shared" si="78"/>
        <v>0</v>
      </c>
      <c r="J431" s="99">
        <f t="shared" si="79"/>
        <v>0</v>
      </c>
      <c r="K431" s="113">
        <f t="shared" si="80"/>
        <v>2025</v>
      </c>
      <c r="L431" s="113">
        <f t="shared" si="81"/>
        <v>3</v>
      </c>
      <c r="M431" s="115">
        <f t="array" ref="M431">MIN(IF(Consolidado!$A$6:$A$1000='TOTALES DIARIOS'!A431,IF(Consolidado!$C$6:$C$1000&gt;TIMEVALUE("07:00"),Consolidado!$C$6:$C$1000,1)))</f>
        <v>0</v>
      </c>
      <c r="N431" s="115">
        <f t="array" ref="N431">MIN(IF(Consolidado!$A$6:$A$1000='TOTALES DIARIOS'!A431,IF(Consolidado!$C$6:$C$1000&lt;=M431,Consolidado!$C$6:$C$1000,1)))</f>
        <v>0</v>
      </c>
      <c r="O431" s="115">
        <f t="array" ref="O431">MAX(IF(Consolidado!$A$6:$A$1000='TOTALES DIARIOS'!A431,IF(Consolidado!$D$6:$D$1000&gt;=M431,Consolidado!$D$6:$D$1000,0)))</f>
        <v>0</v>
      </c>
      <c r="P431" s="118">
        <f t="array" ref="P431">MAX(IF(Consolidado!$A$6:$A$1000='TOTALES DIARIOS'!A431,IF(Consolidado!$D$6:$D$1000&lt;=M431,Consolidado!$D$6:$D$1000,0)))</f>
        <v>0</v>
      </c>
      <c r="Q431" s="117">
        <f t="shared" si="85"/>
        <v>0</v>
      </c>
      <c r="R431" s="117">
        <f t="shared" si="84"/>
        <v>0</v>
      </c>
      <c r="S431" s="104" t="str">
        <f t="shared" si="82"/>
        <v>NO</v>
      </c>
    </row>
    <row r="432" spans="1:19" x14ac:dyDescent="0.25">
      <c r="A432" s="221">
        <f t="shared" si="83"/>
        <v>45720</v>
      </c>
      <c r="B432" s="130" t="str">
        <f t="shared" si="74"/>
        <v/>
      </c>
      <c r="C432" s="217">
        <f t="shared" si="75"/>
        <v>0</v>
      </c>
      <c r="D432" s="217">
        <f t="shared" si="76"/>
        <v>0</v>
      </c>
      <c r="E432" s="218">
        <f>SUMIF(Consolidado!$A$6:$A$380,'TOTALES DIARIOS'!A432,Consolidado!$E$6:$E$380)</f>
        <v>0</v>
      </c>
      <c r="F432" s="218">
        <f>SUMIF(Consolidado!$A$6:$A$380,'TOTALES DIARIOS'!A432,Consolidado!$F$6:$F$380)</f>
        <v>0</v>
      </c>
      <c r="G432" s="218">
        <f>SUMIF(Consolidado!$A$6:$A$380,'TOTALES DIARIOS'!A432,Consolidado!$G$6:$G$380)</f>
        <v>0</v>
      </c>
      <c r="H432" s="219">
        <f t="shared" si="77"/>
        <v>0</v>
      </c>
      <c r="I432" s="99">
        <f t="shared" si="78"/>
        <v>0</v>
      </c>
      <c r="J432" s="99">
        <f t="shared" si="79"/>
        <v>0</v>
      </c>
      <c r="K432" s="113">
        <f t="shared" si="80"/>
        <v>2025</v>
      </c>
      <c r="L432" s="113">
        <f t="shared" si="81"/>
        <v>3</v>
      </c>
      <c r="M432" s="115">
        <f t="array" ref="M432">MIN(IF(Consolidado!$A$6:$A$1000='TOTALES DIARIOS'!A432,IF(Consolidado!$C$6:$C$1000&gt;TIMEVALUE("07:00"),Consolidado!$C$6:$C$1000,1)))</f>
        <v>0</v>
      </c>
      <c r="N432" s="115">
        <f t="array" ref="N432">MIN(IF(Consolidado!$A$6:$A$1000='TOTALES DIARIOS'!A432,IF(Consolidado!$C$6:$C$1000&lt;=M432,Consolidado!$C$6:$C$1000,1)))</f>
        <v>0</v>
      </c>
      <c r="O432" s="115">
        <f t="array" ref="O432">MAX(IF(Consolidado!$A$6:$A$1000='TOTALES DIARIOS'!A432,IF(Consolidado!$D$6:$D$1000&gt;=M432,Consolidado!$D$6:$D$1000,0)))</f>
        <v>0</v>
      </c>
      <c r="P432" s="118">
        <f t="array" ref="P432">MAX(IF(Consolidado!$A$6:$A$1000='TOTALES DIARIOS'!A432,IF(Consolidado!$D$6:$D$1000&lt;=M432,Consolidado!$D$6:$D$1000,0)))</f>
        <v>0</v>
      </c>
      <c r="Q432" s="117">
        <f t="shared" si="85"/>
        <v>0</v>
      </c>
      <c r="R432" s="117">
        <f t="shared" si="84"/>
        <v>0</v>
      </c>
      <c r="S432" s="104" t="str">
        <f t="shared" si="82"/>
        <v>NO</v>
      </c>
    </row>
    <row r="433" spans="1:19" x14ac:dyDescent="0.25">
      <c r="A433" s="221">
        <f t="shared" si="83"/>
        <v>45721</v>
      </c>
      <c r="B433" s="130" t="str">
        <f t="shared" si="74"/>
        <v/>
      </c>
      <c r="C433" s="217">
        <f t="shared" si="75"/>
        <v>0</v>
      </c>
      <c r="D433" s="217">
        <f t="shared" si="76"/>
        <v>0</v>
      </c>
      <c r="E433" s="218">
        <f>SUMIF(Consolidado!$A$6:$A$380,'TOTALES DIARIOS'!A433,Consolidado!$E$6:$E$380)</f>
        <v>0</v>
      </c>
      <c r="F433" s="218">
        <f>SUMIF(Consolidado!$A$6:$A$380,'TOTALES DIARIOS'!A433,Consolidado!$F$6:$F$380)</f>
        <v>0</v>
      </c>
      <c r="G433" s="218">
        <f>SUMIF(Consolidado!$A$6:$A$380,'TOTALES DIARIOS'!A433,Consolidado!$G$6:$G$380)</f>
        <v>0</v>
      </c>
      <c r="H433" s="219">
        <f t="shared" si="77"/>
        <v>0</v>
      </c>
      <c r="I433" s="99">
        <f t="shared" si="78"/>
        <v>0</v>
      </c>
      <c r="J433" s="99">
        <f t="shared" si="79"/>
        <v>0</v>
      </c>
      <c r="K433" s="113">
        <f t="shared" si="80"/>
        <v>2025</v>
      </c>
      <c r="L433" s="113">
        <f t="shared" si="81"/>
        <v>3</v>
      </c>
      <c r="M433" s="115">
        <f t="array" ref="M433">MIN(IF(Consolidado!$A$6:$A$1000='TOTALES DIARIOS'!A433,IF(Consolidado!$C$6:$C$1000&gt;TIMEVALUE("07:00"),Consolidado!$C$6:$C$1000,1)))</f>
        <v>0</v>
      </c>
      <c r="N433" s="115">
        <f t="array" ref="N433">MIN(IF(Consolidado!$A$6:$A$1000='TOTALES DIARIOS'!A433,IF(Consolidado!$C$6:$C$1000&lt;=M433,Consolidado!$C$6:$C$1000,1)))</f>
        <v>0</v>
      </c>
      <c r="O433" s="115">
        <f t="array" ref="O433">MAX(IF(Consolidado!$A$6:$A$1000='TOTALES DIARIOS'!A433,IF(Consolidado!$D$6:$D$1000&gt;=M433,Consolidado!$D$6:$D$1000,0)))</f>
        <v>0</v>
      </c>
      <c r="P433" s="118">
        <f t="array" ref="P433">MAX(IF(Consolidado!$A$6:$A$1000='TOTALES DIARIOS'!A433,IF(Consolidado!$D$6:$D$1000&lt;=M433,Consolidado!$D$6:$D$1000,0)))</f>
        <v>0</v>
      </c>
      <c r="Q433" s="117">
        <f t="shared" si="85"/>
        <v>0</v>
      </c>
      <c r="R433" s="117">
        <f t="shared" si="84"/>
        <v>0</v>
      </c>
      <c r="S433" s="104" t="str">
        <f t="shared" si="82"/>
        <v>NO</v>
      </c>
    </row>
    <row r="434" spans="1:19" x14ac:dyDescent="0.25">
      <c r="A434" s="221">
        <f t="shared" si="83"/>
        <v>45722</v>
      </c>
      <c r="B434" s="130" t="str">
        <f t="shared" si="74"/>
        <v/>
      </c>
      <c r="C434" s="217">
        <f t="shared" si="75"/>
        <v>0</v>
      </c>
      <c r="D434" s="217">
        <f t="shared" si="76"/>
        <v>0</v>
      </c>
      <c r="E434" s="218">
        <f>SUMIF(Consolidado!$A$6:$A$380,'TOTALES DIARIOS'!A434,Consolidado!$E$6:$E$380)</f>
        <v>0</v>
      </c>
      <c r="F434" s="218">
        <f>SUMIF(Consolidado!$A$6:$A$380,'TOTALES DIARIOS'!A434,Consolidado!$F$6:$F$380)</f>
        <v>0</v>
      </c>
      <c r="G434" s="218">
        <f>SUMIF(Consolidado!$A$6:$A$380,'TOTALES DIARIOS'!A434,Consolidado!$G$6:$G$380)</f>
        <v>0</v>
      </c>
      <c r="H434" s="219">
        <f t="shared" si="77"/>
        <v>0</v>
      </c>
      <c r="I434" s="99">
        <f t="shared" si="78"/>
        <v>0</v>
      </c>
      <c r="J434" s="99">
        <f t="shared" si="79"/>
        <v>0</v>
      </c>
      <c r="K434" s="113">
        <f t="shared" si="80"/>
        <v>2025</v>
      </c>
      <c r="L434" s="113">
        <f t="shared" si="81"/>
        <v>3</v>
      </c>
      <c r="M434" s="115">
        <f t="array" ref="M434">MIN(IF(Consolidado!$A$6:$A$1000='TOTALES DIARIOS'!A434,IF(Consolidado!$C$6:$C$1000&gt;TIMEVALUE("07:00"),Consolidado!$C$6:$C$1000,1)))</f>
        <v>0</v>
      </c>
      <c r="N434" s="115">
        <f t="array" ref="N434">MIN(IF(Consolidado!$A$6:$A$1000='TOTALES DIARIOS'!A434,IF(Consolidado!$C$6:$C$1000&lt;=M434,Consolidado!$C$6:$C$1000,1)))</f>
        <v>0</v>
      </c>
      <c r="O434" s="115">
        <f t="array" ref="O434">MAX(IF(Consolidado!$A$6:$A$1000='TOTALES DIARIOS'!A434,IF(Consolidado!$D$6:$D$1000&gt;=M434,Consolidado!$D$6:$D$1000,0)))</f>
        <v>0</v>
      </c>
      <c r="P434" s="118">
        <f t="array" ref="P434">MAX(IF(Consolidado!$A$6:$A$1000='TOTALES DIARIOS'!A434,IF(Consolidado!$D$6:$D$1000&lt;=M434,Consolidado!$D$6:$D$1000,0)))</f>
        <v>0</v>
      </c>
      <c r="Q434" s="117">
        <f t="shared" si="85"/>
        <v>0</v>
      </c>
      <c r="R434" s="117">
        <f t="shared" si="84"/>
        <v>0</v>
      </c>
      <c r="S434" s="104" t="str">
        <f t="shared" si="82"/>
        <v>NO</v>
      </c>
    </row>
    <row r="435" spans="1:19" x14ac:dyDescent="0.25">
      <c r="A435" s="221">
        <f t="shared" si="83"/>
        <v>45723</v>
      </c>
      <c r="B435" s="130" t="str">
        <f t="shared" si="74"/>
        <v/>
      </c>
      <c r="C435" s="217">
        <f t="shared" si="75"/>
        <v>0</v>
      </c>
      <c r="D435" s="217">
        <f t="shared" si="76"/>
        <v>0</v>
      </c>
      <c r="E435" s="218">
        <f>SUMIF(Consolidado!$A$6:$A$380,'TOTALES DIARIOS'!A435,Consolidado!$E$6:$E$380)</f>
        <v>0</v>
      </c>
      <c r="F435" s="218">
        <f>SUMIF(Consolidado!$A$6:$A$380,'TOTALES DIARIOS'!A435,Consolidado!$F$6:$F$380)</f>
        <v>0</v>
      </c>
      <c r="G435" s="218">
        <f>SUMIF(Consolidado!$A$6:$A$380,'TOTALES DIARIOS'!A435,Consolidado!$G$6:$G$380)</f>
        <v>0</v>
      </c>
      <c r="H435" s="219">
        <f t="shared" si="77"/>
        <v>0</v>
      </c>
      <c r="I435" s="99">
        <f t="shared" si="78"/>
        <v>0</v>
      </c>
      <c r="J435" s="99">
        <f t="shared" si="79"/>
        <v>0</v>
      </c>
      <c r="K435" s="113">
        <f t="shared" si="80"/>
        <v>2025</v>
      </c>
      <c r="L435" s="113">
        <f t="shared" si="81"/>
        <v>3</v>
      </c>
      <c r="M435" s="115">
        <f t="array" ref="M435">MIN(IF(Consolidado!$A$6:$A$1000='TOTALES DIARIOS'!A435,IF(Consolidado!$C$6:$C$1000&gt;TIMEVALUE("07:00"),Consolidado!$C$6:$C$1000,1)))</f>
        <v>0</v>
      </c>
      <c r="N435" s="115">
        <f t="array" ref="N435">MIN(IF(Consolidado!$A$6:$A$1000='TOTALES DIARIOS'!A435,IF(Consolidado!$C$6:$C$1000&lt;=M435,Consolidado!$C$6:$C$1000,1)))</f>
        <v>0</v>
      </c>
      <c r="O435" s="115">
        <f t="array" ref="O435">MAX(IF(Consolidado!$A$6:$A$1000='TOTALES DIARIOS'!A435,IF(Consolidado!$D$6:$D$1000&gt;=M435,Consolidado!$D$6:$D$1000,0)))</f>
        <v>0</v>
      </c>
      <c r="P435" s="118">
        <f t="array" ref="P435">MAX(IF(Consolidado!$A$6:$A$1000='TOTALES DIARIOS'!A435,IF(Consolidado!$D$6:$D$1000&lt;=M435,Consolidado!$D$6:$D$1000,0)))</f>
        <v>0</v>
      </c>
      <c r="Q435" s="117">
        <f t="shared" si="85"/>
        <v>0</v>
      </c>
      <c r="R435" s="117">
        <f t="shared" si="84"/>
        <v>0</v>
      </c>
      <c r="S435" s="104" t="str">
        <f t="shared" si="82"/>
        <v>NO</v>
      </c>
    </row>
    <row r="436" spans="1:19" x14ac:dyDescent="0.25">
      <c r="A436" s="221">
        <f t="shared" si="83"/>
        <v>45724</v>
      </c>
      <c r="B436" s="130" t="str">
        <f t="shared" si="74"/>
        <v/>
      </c>
      <c r="C436" s="217">
        <f t="shared" si="75"/>
        <v>0</v>
      </c>
      <c r="D436" s="217">
        <f t="shared" si="76"/>
        <v>0</v>
      </c>
      <c r="E436" s="218">
        <f>SUMIF(Consolidado!$A$6:$A$380,'TOTALES DIARIOS'!A436,Consolidado!$E$6:$E$380)</f>
        <v>0</v>
      </c>
      <c r="F436" s="218">
        <f>SUMIF(Consolidado!$A$6:$A$380,'TOTALES DIARIOS'!A436,Consolidado!$F$6:$F$380)</f>
        <v>0</v>
      </c>
      <c r="G436" s="218">
        <f>SUMIF(Consolidado!$A$6:$A$380,'TOTALES DIARIOS'!A436,Consolidado!$G$6:$G$380)</f>
        <v>0</v>
      </c>
      <c r="H436" s="219">
        <f t="shared" si="77"/>
        <v>0</v>
      </c>
      <c r="I436" s="99">
        <f t="shared" si="78"/>
        <v>0</v>
      </c>
      <c r="J436" s="99">
        <f t="shared" si="79"/>
        <v>0</v>
      </c>
      <c r="K436" s="113">
        <f t="shared" si="80"/>
        <v>2025</v>
      </c>
      <c r="L436" s="113">
        <f t="shared" si="81"/>
        <v>3</v>
      </c>
      <c r="M436" s="115">
        <f t="array" ref="M436">MIN(IF(Consolidado!$A$6:$A$1000='TOTALES DIARIOS'!A436,IF(Consolidado!$C$6:$C$1000&gt;TIMEVALUE("07:00"),Consolidado!$C$6:$C$1000,1)))</f>
        <v>0</v>
      </c>
      <c r="N436" s="115">
        <f t="array" ref="N436">MIN(IF(Consolidado!$A$6:$A$1000='TOTALES DIARIOS'!A436,IF(Consolidado!$C$6:$C$1000&lt;=M436,Consolidado!$C$6:$C$1000,1)))</f>
        <v>0</v>
      </c>
      <c r="O436" s="115">
        <f t="array" ref="O436">MAX(IF(Consolidado!$A$6:$A$1000='TOTALES DIARIOS'!A436,IF(Consolidado!$D$6:$D$1000&gt;=M436,Consolidado!$D$6:$D$1000,0)))</f>
        <v>0</v>
      </c>
      <c r="P436" s="118">
        <f t="array" ref="P436">MAX(IF(Consolidado!$A$6:$A$1000='TOTALES DIARIOS'!A436,IF(Consolidado!$D$6:$D$1000&lt;=M436,Consolidado!$D$6:$D$1000,0)))</f>
        <v>0</v>
      </c>
      <c r="Q436" s="117">
        <f t="shared" si="85"/>
        <v>0</v>
      </c>
      <c r="R436" s="117">
        <f t="shared" si="84"/>
        <v>0</v>
      </c>
      <c r="S436" s="104" t="str">
        <f t="shared" si="82"/>
        <v>NO</v>
      </c>
    </row>
    <row r="437" spans="1:19" x14ac:dyDescent="0.25">
      <c r="A437" s="221">
        <f t="shared" si="83"/>
        <v>45725</v>
      </c>
      <c r="B437" s="130" t="str">
        <f t="shared" si="74"/>
        <v/>
      </c>
      <c r="C437" s="217">
        <f t="shared" si="75"/>
        <v>0</v>
      </c>
      <c r="D437" s="217">
        <f t="shared" si="76"/>
        <v>0</v>
      </c>
      <c r="E437" s="218">
        <f>SUMIF(Consolidado!$A$6:$A$380,'TOTALES DIARIOS'!A437,Consolidado!$E$6:$E$380)</f>
        <v>0</v>
      </c>
      <c r="F437" s="218">
        <f>SUMIF(Consolidado!$A$6:$A$380,'TOTALES DIARIOS'!A437,Consolidado!$F$6:$F$380)</f>
        <v>0</v>
      </c>
      <c r="G437" s="218">
        <f>SUMIF(Consolidado!$A$6:$A$380,'TOTALES DIARIOS'!A437,Consolidado!$G$6:$G$380)</f>
        <v>0</v>
      </c>
      <c r="H437" s="219">
        <f t="shared" si="77"/>
        <v>0</v>
      </c>
      <c r="I437" s="99">
        <f t="shared" si="78"/>
        <v>0</v>
      </c>
      <c r="J437" s="99">
        <f t="shared" si="79"/>
        <v>0</v>
      </c>
      <c r="K437" s="113">
        <f t="shared" si="80"/>
        <v>2025</v>
      </c>
      <c r="L437" s="113">
        <f t="shared" si="81"/>
        <v>3</v>
      </c>
      <c r="M437" s="115">
        <f t="array" ref="M437">MIN(IF(Consolidado!$A$6:$A$1000='TOTALES DIARIOS'!A437,IF(Consolidado!$C$6:$C$1000&gt;TIMEVALUE("07:00"),Consolidado!$C$6:$C$1000,1)))</f>
        <v>0</v>
      </c>
      <c r="N437" s="115">
        <f t="array" ref="N437">MIN(IF(Consolidado!$A$6:$A$1000='TOTALES DIARIOS'!A437,IF(Consolidado!$C$6:$C$1000&lt;=M437,Consolidado!$C$6:$C$1000,1)))</f>
        <v>0</v>
      </c>
      <c r="O437" s="115">
        <f t="array" ref="O437">MAX(IF(Consolidado!$A$6:$A$1000='TOTALES DIARIOS'!A437,IF(Consolidado!$D$6:$D$1000&gt;=M437,Consolidado!$D$6:$D$1000,0)))</f>
        <v>0</v>
      </c>
      <c r="P437" s="118">
        <f t="array" ref="P437">MAX(IF(Consolidado!$A$6:$A$1000='TOTALES DIARIOS'!A437,IF(Consolidado!$D$6:$D$1000&lt;=M437,Consolidado!$D$6:$D$1000,0)))</f>
        <v>0</v>
      </c>
      <c r="Q437" s="117">
        <f t="shared" si="85"/>
        <v>0</v>
      </c>
      <c r="R437" s="117">
        <f t="shared" si="84"/>
        <v>0</v>
      </c>
      <c r="S437" s="104" t="str">
        <f t="shared" si="82"/>
        <v>NO</v>
      </c>
    </row>
    <row r="438" spans="1:19" x14ac:dyDescent="0.25">
      <c r="A438" s="221">
        <f t="shared" si="83"/>
        <v>45726</v>
      </c>
      <c r="B438" s="130" t="str">
        <f t="shared" si="74"/>
        <v/>
      </c>
      <c r="C438" s="217">
        <f t="shared" si="75"/>
        <v>0</v>
      </c>
      <c r="D438" s="217">
        <f t="shared" si="76"/>
        <v>0</v>
      </c>
      <c r="E438" s="218">
        <f>SUMIF(Consolidado!$A$6:$A$380,'TOTALES DIARIOS'!A438,Consolidado!$E$6:$E$380)</f>
        <v>0</v>
      </c>
      <c r="F438" s="218">
        <f>SUMIF(Consolidado!$A$6:$A$380,'TOTALES DIARIOS'!A438,Consolidado!$F$6:$F$380)</f>
        <v>0</v>
      </c>
      <c r="G438" s="218">
        <f>SUMIF(Consolidado!$A$6:$A$380,'TOTALES DIARIOS'!A438,Consolidado!$G$6:$G$380)</f>
        <v>0</v>
      </c>
      <c r="H438" s="219">
        <f t="shared" si="77"/>
        <v>0</v>
      </c>
      <c r="I438" s="99">
        <f t="shared" si="78"/>
        <v>0</v>
      </c>
      <c r="J438" s="99">
        <f t="shared" si="79"/>
        <v>0</v>
      </c>
      <c r="K438" s="113">
        <f t="shared" si="80"/>
        <v>2025</v>
      </c>
      <c r="L438" s="113">
        <f t="shared" si="81"/>
        <v>3</v>
      </c>
      <c r="M438" s="115">
        <f t="array" ref="M438">MIN(IF(Consolidado!$A$6:$A$1000='TOTALES DIARIOS'!A438,IF(Consolidado!$C$6:$C$1000&gt;TIMEVALUE("07:00"),Consolidado!$C$6:$C$1000,1)))</f>
        <v>0</v>
      </c>
      <c r="N438" s="115">
        <f t="array" ref="N438">MIN(IF(Consolidado!$A$6:$A$1000='TOTALES DIARIOS'!A438,IF(Consolidado!$C$6:$C$1000&lt;=M438,Consolidado!$C$6:$C$1000,1)))</f>
        <v>0</v>
      </c>
      <c r="O438" s="115">
        <f t="array" ref="O438">MAX(IF(Consolidado!$A$6:$A$1000='TOTALES DIARIOS'!A438,IF(Consolidado!$D$6:$D$1000&gt;=M438,Consolidado!$D$6:$D$1000,0)))</f>
        <v>0</v>
      </c>
      <c r="P438" s="118">
        <f t="array" ref="P438">MAX(IF(Consolidado!$A$6:$A$1000='TOTALES DIARIOS'!A438,IF(Consolidado!$D$6:$D$1000&lt;=M438,Consolidado!$D$6:$D$1000,0)))</f>
        <v>0</v>
      </c>
      <c r="Q438" s="117">
        <f t="shared" si="85"/>
        <v>0</v>
      </c>
      <c r="R438" s="117">
        <f t="shared" si="84"/>
        <v>0</v>
      </c>
      <c r="S438" s="104" t="str">
        <f t="shared" si="82"/>
        <v>NO</v>
      </c>
    </row>
    <row r="439" spans="1:19" x14ac:dyDescent="0.25">
      <c r="A439" s="221">
        <f t="shared" si="83"/>
        <v>45727</v>
      </c>
      <c r="B439" s="130" t="str">
        <f t="shared" si="74"/>
        <v/>
      </c>
      <c r="C439" s="217">
        <f t="shared" si="75"/>
        <v>0</v>
      </c>
      <c r="D439" s="217">
        <f t="shared" si="76"/>
        <v>0</v>
      </c>
      <c r="E439" s="218">
        <f>SUMIF(Consolidado!$A$6:$A$380,'TOTALES DIARIOS'!A439,Consolidado!$E$6:$E$380)</f>
        <v>0</v>
      </c>
      <c r="F439" s="218">
        <f>SUMIF(Consolidado!$A$6:$A$380,'TOTALES DIARIOS'!A439,Consolidado!$F$6:$F$380)</f>
        <v>0</v>
      </c>
      <c r="G439" s="218">
        <f>SUMIF(Consolidado!$A$6:$A$380,'TOTALES DIARIOS'!A439,Consolidado!$G$6:$G$380)</f>
        <v>0</v>
      </c>
      <c r="H439" s="219">
        <f t="shared" si="77"/>
        <v>0</v>
      </c>
      <c r="I439" s="99">
        <f t="shared" si="78"/>
        <v>0</v>
      </c>
      <c r="J439" s="99">
        <f t="shared" si="79"/>
        <v>0</v>
      </c>
      <c r="K439" s="113">
        <f t="shared" si="80"/>
        <v>2025</v>
      </c>
      <c r="L439" s="113">
        <f t="shared" si="81"/>
        <v>3</v>
      </c>
      <c r="M439" s="115">
        <f t="array" ref="M439">MIN(IF(Consolidado!$A$6:$A$1000='TOTALES DIARIOS'!A439,IF(Consolidado!$C$6:$C$1000&gt;TIMEVALUE("07:00"),Consolidado!$C$6:$C$1000,1)))</f>
        <v>0</v>
      </c>
      <c r="N439" s="115">
        <f t="array" ref="N439">MIN(IF(Consolidado!$A$6:$A$1000='TOTALES DIARIOS'!A439,IF(Consolidado!$C$6:$C$1000&lt;=M439,Consolidado!$C$6:$C$1000,1)))</f>
        <v>0</v>
      </c>
      <c r="O439" s="115">
        <f t="array" ref="O439">MAX(IF(Consolidado!$A$6:$A$1000='TOTALES DIARIOS'!A439,IF(Consolidado!$D$6:$D$1000&gt;=M439,Consolidado!$D$6:$D$1000,0)))</f>
        <v>0</v>
      </c>
      <c r="P439" s="118">
        <f t="array" ref="P439">MAX(IF(Consolidado!$A$6:$A$1000='TOTALES DIARIOS'!A439,IF(Consolidado!$D$6:$D$1000&lt;=M439,Consolidado!$D$6:$D$1000,0)))</f>
        <v>0</v>
      </c>
      <c r="Q439" s="117">
        <f t="shared" si="85"/>
        <v>0</v>
      </c>
      <c r="R439" s="117">
        <f t="shared" si="84"/>
        <v>0</v>
      </c>
      <c r="S439" s="104" t="str">
        <f t="shared" si="82"/>
        <v>NO</v>
      </c>
    </row>
    <row r="440" spans="1:19" x14ac:dyDescent="0.25">
      <c r="A440" s="221">
        <f t="shared" si="83"/>
        <v>45728</v>
      </c>
      <c r="B440" s="130" t="str">
        <f t="shared" si="74"/>
        <v/>
      </c>
      <c r="C440" s="217">
        <f t="shared" si="75"/>
        <v>0</v>
      </c>
      <c r="D440" s="217">
        <f t="shared" si="76"/>
        <v>0</v>
      </c>
      <c r="E440" s="218">
        <f>SUMIF(Consolidado!$A$6:$A$380,'TOTALES DIARIOS'!A440,Consolidado!$E$6:$E$380)</f>
        <v>0</v>
      </c>
      <c r="F440" s="218">
        <f>SUMIF(Consolidado!$A$6:$A$380,'TOTALES DIARIOS'!A440,Consolidado!$F$6:$F$380)</f>
        <v>0</v>
      </c>
      <c r="G440" s="218">
        <f>SUMIF(Consolidado!$A$6:$A$380,'TOTALES DIARIOS'!A440,Consolidado!$G$6:$G$380)</f>
        <v>0</v>
      </c>
      <c r="H440" s="219">
        <f t="shared" si="77"/>
        <v>0</v>
      </c>
      <c r="I440" s="99">
        <f t="shared" si="78"/>
        <v>0</v>
      </c>
      <c r="J440" s="99">
        <f t="shared" si="79"/>
        <v>0</v>
      </c>
      <c r="K440" s="113">
        <f t="shared" si="80"/>
        <v>2025</v>
      </c>
      <c r="L440" s="113">
        <f t="shared" si="81"/>
        <v>3</v>
      </c>
      <c r="M440" s="115">
        <f t="array" ref="M440">MIN(IF(Consolidado!$A$6:$A$1000='TOTALES DIARIOS'!A440,IF(Consolidado!$C$6:$C$1000&gt;TIMEVALUE("07:00"),Consolidado!$C$6:$C$1000,1)))</f>
        <v>0</v>
      </c>
      <c r="N440" s="115">
        <f t="array" ref="N440">MIN(IF(Consolidado!$A$6:$A$1000='TOTALES DIARIOS'!A440,IF(Consolidado!$C$6:$C$1000&lt;=M440,Consolidado!$C$6:$C$1000,1)))</f>
        <v>0</v>
      </c>
      <c r="O440" s="115">
        <f t="array" ref="O440">MAX(IF(Consolidado!$A$6:$A$1000='TOTALES DIARIOS'!A440,IF(Consolidado!$D$6:$D$1000&gt;=M440,Consolidado!$D$6:$D$1000,0)))</f>
        <v>0</v>
      </c>
      <c r="P440" s="118">
        <f t="array" ref="P440">MAX(IF(Consolidado!$A$6:$A$1000='TOTALES DIARIOS'!A440,IF(Consolidado!$D$6:$D$1000&lt;=M440,Consolidado!$D$6:$D$1000,0)))</f>
        <v>0</v>
      </c>
      <c r="Q440" s="117">
        <f t="shared" si="85"/>
        <v>0</v>
      </c>
      <c r="R440" s="117">
        <f t="shared" si="84"/>
        <v>0</v>
      </c>
      <c r="S440" s="104" t="str">
        <f t="shared" si="82"/>
        <v>NO</v>
      </c>
    </row>
    <row r="441" spans="1:19" x14ac:dyDescent="0.25">
      <c r="A441" s="221">
        <f t="shared" si="83"/>
        <v>45729</v>
      </c>
      <c r="B441" s="130" t="str">
        <f t="shared" si="74"/>
        <v/>
      </c>
      <c r="C441" s="217">
        <f t="shared" si="75"/>
        <v>0</v>
      </c>
      <c r="D441" s="217">
        <f t="shared" si="76"/>
        <v>0</v>
      </c>
      <c r="E441" s="218">
        <f>SUMIF(Consolidado!$A$6:$A$380,'TOTALES DIARIOS'!A441,Consolidado!$E$6:$E$380)</f>
        <v>0</v>
      </c>
      <c r="F441" s="218">
        <f>SUMIF(Consolidado!$A$6:$A$380,'TOTALES DIARIOS'!A441,Consolidado!$F$6:$F$380)</f>
        <v>0</v>
      </c>
      <c r="G441" s="218">
        <f>SUMIF(Consolidado!$A$6:$A$380,'TOTALES DIARIOS'!A441,Consolidado!$G$6:$G$380)</f>
        <v>0</v>
      </c>
      <c r="H441" s="219">
        <f t="shared" si="77"/>
        <v>0</v>
      </c>
      <c r="I441" s="99">
        <f t="shared" si="78"/>
        <v>0</v>
      </c>
      <c r="J441" s="99">
        <f t="shared" si="79"/>
        <v>0</v>
      </c>
      <c r="K441" s="113">
        <f t="shared" si="80"/>
        <v>2025</v>
      </c>
      <c r="L441" s="113">
        <f t="shared" si="81"/>
        <v>3</v>
      </c>
      <c r="M441" s="115">
        <f t="array" ref="M441">MIN(IF(Consolidado!$A$6:$A$1000='TOTALES DIARIOS'!A441,IF(Consolidado!$C$6:$C$1000&gt;TIMEVALUE("07:00"),Consolidado!$C$6:$C$1000,1)))</f>
        <v>0</v>
      </c>
      <c r="N441" s="115">
        <f t="array" ref="N441">MIN(IF(Consolidado!$A$6:$A$1000='TOTALES DIARIOS'!A441,IF(Consolidado!$C$6:$C$1000&lt;=M441,Consolidado!$C$6:$C$1000,1)))</f>
        <v>0</v>
      </c>
      <c r="O441" s="115">
        <f t="array" ref="O441">MAX(IF(Consolidado!$A$6:$A$1000='TOTALES DIARIOS'!A441,IF(Consolidado!$D$6:$D$1000&gt;=M441,Consolidado!$D$6:$D$1000,0)))</f>
        <v>0</v>
      </c>
      <c r="P441" s="118">
        <f t="array" ref="P441">MAX(IF(Consolidado!$A$6:$A$1000='TOTALES DIARIOS'!A441,IF(Consolidado!$D$6:$D$1000&lt;=M441,Consolidado!$D$6:$D$1000,0)))</f>
        <v>0</v>
      </c>
      <c r="Q441" s="117">
        <f t="shared" si="85"/>
        <v>0</v>
      </c>
      <c r="R441" s="117">
        <f t="shared" si="84"/>
        <v>0</v>
      </c>
      <c r="S441" s="104" t="str">
        <f t="shared" si="82"/>
        <v>NO</v>
      </c>
    </row>
    <row r="442" spans="1:19" x14ac:dyDescent="0.25">
      <c r="A442" s="221">
        <f t="shared" si="83"/>
        <v>45730</v>
      </c>
      <c r="B442" s="130" t="str">
        <f t="shared" si="74"/>
        <v/>
      </c>
      <c r="C442" s="217">
        <f t="shared" si="75"/>
        <v>0</v>
      </c>
      <c r="D442" s="217">
        <f t="shared" si="76"/>
        <v>0</v>
      </c>
      <c r="E442" s="218">
        <f>SUMIF(Consolidado!$A$6:$A$380,'TOTALES DIARIOS'!A442,Consolidado!$E$6:$E$380)</f>
        <v>0</v>
      </c>
      <c r="F442" s="218">
        <f>SUMIF(Consolidado!$A$6:$A$380,'TOTALES DIARIOS'!A442,Consolidado!$F$6:$F$380)</f>
        <v>0</v>
      </c>
      <c r="G442" s="218">
        <f>SUMIF(Consolidado!$A$6:$A$380,'TOTALES DIARIOS'!A442,Consolidado!$G$6:$G$380)</f>
        <v>0</v>
      </c>
      <c r="H442" s="219">
        <f t="shared" si="77"/>
        <v>0</v>
      </c>
      <c r="I442" s="99">
        <f t="shared" si="78"/>
        <v>0</v>
      </c>
      <c r="J442" s="99">
        <f t="shared" si="79"/>
        <v>0</v>
      </c>
      <c r="K442" s="113">
        <f t="shared" si="80"/>
        <v>2025</v>
      </c>
      <c r="L442" s="113">
        <f t="shared" si="81"/>
        <v>3</v>
      </c>
      <c r="M442" s="115">
        <f t="array" ref="M442">MIN(IF(Consolidado!$A$6:$A$1000='TOTALES DIARIOS'!A442,IF(Consolidado!$C$6:$C$1000&gt;TIMEVALUE("07:00"),Consolidado!$C$6:$C$1000,1)))</f>
        <v>0</v>
      </c>
      <c r="N442" s="115">
        <f t="array" ref="N442">MIN(IF(Consolidado!$A$6:$A$1000='TOTALES DIARIOS'!A442,IF(Consolidado!$C$6:$C$1000&lt;=M442,Consolidado!$C$6:$C$1000,1)))</f>
        <v>0</v>
      </c>
      <c r="O442" s="115">
        <f t="array" ref="O442">MAX(IF(Consolidado!$A$6:$A$1000='TOTALES DIARIOS'!A442,IF(Consolidado!$D$6:$D$1000&gt;=M442,Consolidado!$D$6:$D$1000,0)))</f>
        <v>0</v>
      </c>
      <c r="P442" s="118">
        <f t="array" ref="P442">MAX(IF(Consolidado!$A$6:$A$1000='TOTALES DIARIOS'!A442,IF(Consolidado!$D$6:$D$1000&lt;=M442,Consolidado!$D$6:$D$1000,0)))</f>
        <v>0</v>
      </c>
      <c r="Q442" s="117">
        <f t="shared" si="85"/>
        <v>0</v>
      </c>
      <c r="R442" s="117">
        <f t="shared" si="84"/>
        <v>0</v>
      </c>
      <c r="S442" s="104" t="str">
        <f t="shared" si="82"/>
        <v>NO</v>
      </c>
    </row>
    <row r="443" spans="1:19" x14ac:dyDescent="0.25">
      <c r="A443" s="221">
        <f t="shared" si="83"/>
        <v>45731</v>
      </c>
      <c r="B443" s="130" t="str">
        <f t="shared" si="74"/>
        <v/>
      </c>
      <c r="C443" s="217">
        <f t="shared" si="75"/>
        <v>0</v>
      </c>
      <c r="D443" s="217">
        <f t="shared" si="76"/>
        <v>0</v>
      </c>
      <c r="E443" s="218">
        <f>SUMIF(Consolidado!$A$6:$A$380,'TOTALES DIARIOS'!A443,Consolidado!$E$6:$E$380)</f>
        <v>0</v>
      </c>
      <c r="F443" s="218">
        <f>SUMIF(Consolidado!$A$6:$A$380,'TOTALES DIARIOS'!A443,Consolidado!$F$6:$F$380)</f>
        <v>0</v>
      </c>
      <c r="G443" s="218">
        <f>SUMIF(Consolidado!$A$6:$A$380,'TOTALES DIARIOS'!A443,Consolidado!$G$6:$G$380)</f>
        <v>0</v>
      </c>
      <c r="H443" s="219">
        <f t="shared" si="77"/>
        <v>0</v>
      </c>
      <c r="I443" s="99">
        <f t="shared" si="78"/>
        <v>0</v>
      </c>
      <c r="J443" s="99">
        <f t="shared" si="79"/>
        <v>0</v>
      </c>
      <c r="K443" s="113">
        <f t="shared" si="80"/>
        <v>2025</v>
      </c>
      <c r="L443" s="113">
        <f t="shared" si="81"/>
        <v>3</v>
      </c>
      <c r="M443" s="115">
        <f t="array" ref="M443">MIN(IF(Consolidado!$A$6:$A$1000='TOTALES DIARIOS'!A443,IF(Consolidado!$C$6:$C$1000&gt;TIMEVALUE("07:00"),Consolidado!$C$6:$C$1000,1)))</f>
        <v>0</v>
      </c>
      <c r="N443" s="115">
        <f t="array" ref="N443">MIN(IF(Consolidado!$A$6:$A$1000='TOTALES DIARIOS'!A443,IF(Consolidado!$C$6:$C$1000&lt;=M443,Consolidado!$C$6:$C$1000,1)))</f>
        <v>0</v>
      </c>
      <c r="O443" s="115">
        <f t="array" ref="O443">MAX(IF(Consolidado!$A$6:$A$1000='TOTALES DIARIOS'!A443,IF(Consolidado!$D$6:$D$1000&gt;=M443,Consolidado!$D$6:$D$1000,0)))</f>
        <v>0</v>
      </c>
      <c r="P443" s="118">
        <f t="array" ref="P443">MAX(IF(Consolidado!$A$6:$A$1000='TOTALES DIARIOS'!A443,IF(Consolidado!$D$6:$D$1000&lt;=M443,Consolidado!$D$6:$D$1000,0)))</f>
        <v>0</v>
      </c>
      <c r="Q443" s="117">
        <f t="shared" si="85"/>
        <v>0</v>
      </c>
      <c r="R443" s="117">
        <f t="shared" si="84"/>
        <v>0</v>
      </c>
      <c r="S443" s="104" t="str">
        <f t="shared" si="82"/>
        <v>NO</v>
      </c>
    </row>
    <row r="444" spans="1:19" x14ac:dyDescent="0.25">
      <c r="A444" s="221">
        <f t="shared" si="83"/>
        <v>45732</v>
      </c>
      <c r="B444" s="130" t="str">
        <f t="shared" si="74"/>
        <v/>
      </c>
      <c r="C444" s="217">
        <f t="shared" si="75"/>
        <v>0</v>
      </c>
      <c r="D444" s="217">
        <f t="shared" si="76"/>
        <v>0</v>
      </c>
      <c r="E444" s="218">
        <f>SUMIF(Consolidado!$A$6:$A$380,'TOTALES DIARIOS'!A444,Consolidado!$E$6:$E$380)</f>
        <v>0</v>
      </c>
      <c r="F444" s="218">
        <f>SUMIF(Consolidado!$A$6:$A$380,'TOTALES DIARIOS'!A444,Consolidado!$F$6:$F$380)</f>
        <v>0</v>
      </c>
      <c r="G444" s="218">
        <f>SUMIF(Consolidado!$A$6:$A$380,'TOTALES DIARIOS'!A444,Consolidado!$G$6:$G$380)</f>
        <v>0</v>
      </c>
      <c r="H444" s="219">
        <f t="shared" si="77"/>
        <v>0</v>
      </c>
      <c r="I444" s="99">
        <f t="shared" si="78"/>
        <v>0</v>
      </c>
      <c r="J444" s="99">
        <f t="shared" si="79"/>
        <v>0</v>
      </c>
      <c r="K444" s="113">
        <f t="shared" si="80"/>
        <v>2025</v>
      </c>
      <c r="L444" s="113">
        <f t="shared" si="81"/>
        <v>3</v>
      </c>
      <c r="M444" s="115">
        <f t="array" ref="M444">MIN(IF(Consolidado!$A$6:$A$1000='TOTALES DIARIOS'!A444,IF(Consolidado!$C$6:$C$1000&gt;TIMEVALUE("07:00"),Consolidado!$C$6:$C$1000,1)))</f>
        <v>0</v>
      </c>
      <c r="N444" s="115">
        <f t="array" ref="N444">MIN(IF(Consolidado!$A$6:$A$1000='TOTALES DIARIOS'!A444,IF(Consolidado!$C$6:$C$1000&lt;=M444,Consolidado!$C$6:$C$1000,1)))</f>
        <v>0</v>
      </c>
      <c r="O444" s="115">
        <f t="array" ref="O444">MAX(IF(Consolidado!$A$6:$A$1000='TOTALES DIARIOS'!A444,IF(Consolidado!$D$6:$D$1000&gt;=M444,Consolidado!$D$6:$D$1000,0)))</f>
        <v>0</v>
      </c>
      <c r="P444" s="118">
        <f t="array" ref="P444">MAX(IF(Consolidado!$A$6:$A$1000='TOTALES DIARIOS'!A444,IF(Consolidado!$D$6:$D$1000&lt;=M444,Consolidado!$D$6:$D$1000,0)))</f>
        <v>0</v>
      </c>
      <c r="Q444" s="117">
        <f t="shared" si="85"/>
        <v>0</v>
      </c>
      <c r="R444" s="117">
        <f t="shared" si="84"/>
        <v>0</v>
      </c>
      <c r="S444" s="104" t="str">
        <f t="shared" si="82"/>
        <v>NO</v>
      </c>
    </row>
    <row r="445" spans="1:19" x14ac:dyDescent="0.25">
      <c r="A445" s="221">
        <f t="shared" si="83"/>
        <v>45733</v>
      </c>
      <c r="B445" s="130" t="str">
        <f t="shared" si="74"/>
        <v/>
      </c>
      <c r="C445" s="217">
        <f t="shared" si="75"/>
        <v>0</v>
      </c>
      <c r="D445" s="217">
        <f t="shared" si="76"/>
        <v>0</v>
      </c>
      <c r="E445" s="218">
        <f>SUMIF(Consolidado!$A$6:$A$380,'TOTALES DIARIOS'!A445,Consolidado!$E$6:$E$380)</f>
        <v>0</v>
      </c>
      <c r="F445" s="218">
        <f>SUMIF(Consolidado!$A$6:$A$380,'TOTALES DIARIOS'!A445,Consolidado!$F$6:$F$380)</f>
        <v>0</v>
      </c>
      <c r="G445" s="218">
        <f>SUMIF(Consolidado!$A$6:$A$380,'TOTALES DIARIOS'!A445,Consolidado!$G$6:$G$380)</f>
        <v>0</v>
      </c>
      <c r="H445" s="219">
        <f t="shared" si="77"/>
        <v>0</v>
      </c>
      <c r="I445" s="99">
        <f t="shared" si="78"/>
        <v>0</v>
      </c>
      <c r="J445" s="99">
        <f t="shared" si="79"/>
        <v>0</v>
      </c>
      <c r="K445" s="113">
        <f t="shared" si="80"/>
        <v>2025</v>
      </c>
      <c r="L445" s="113">
        <f t="shared" si="81"/>
        <v>3</v>
      </c>
      <c r="M445" s="115">
        <f t="array" ref="M445">MIN(IF(Consolidado!$A$6:$A$1000='TOTALES DIARIOS'!A445,IF(Consolidado!$C$6:$C$1000&gt;TIMEVALUE("07:00"),Consolidado!$C$6:$C$1000,1)))</f>
        <v>0</v>
      </c>
      <c r="N445" s="115">
        <f t="array" ref="N445">MIN(IF(Consolidado!$A$6:$A$1000='TOTALES DIARIOS'!A445,IF(Consolidado!$C$6:$C$1000&lt;=M445,Consolidado!$C$6:$C$1000,1)))</f>
        <v>0</v>
      </c>
      <c r="O445" s="115">
        <f t="array" ref="O445">MAX(IF(Consolidado!$A$6:$A$1000='TOTALES DIARIOS'!A445,IF(Consolidado!$D$6:$D$1000&gt;=M445,Consolidado!$D$6:$D$1000,0)))</f>
        <v>0</v>
      </c>
      <c r="P445" s="118">
        <f t="array" ref="P445">MAX(IF(Consolidado!$A$6:$A$1000='TOTALES DIARIOS'!A445,IF(Consolidado!$D$6:$D$1000&lt;=M445,Consolidado!$D$6:$D$1000,0)))</f>
        <v>0</v>
      </c>
      <c r="Q445" s="117">
        <f t="shared" si="85"/>
        <v>0</v>
      </c>
      <c r="R445" s="117">
        <f t="shared" si="84"/>
        <v>0</v>
      </c>
      <c r="S445" s="104" t="str">
        <f t="shared" si="82"/>
        <v>NO</v>
      </c>
    </row>
    <row r="446" spans="1:19" x14ac:dyDescent="0.25">
      <c r="A446" s="221">
        <f t="shared" si="83"/>
        <v>45734</v>
      </c>
      <c r="B446" s="130" t="str">
        <f t="shared" si="74"/>
        <v/>
      </c>
      <c r="C446" s="217">
        <f t="shared" si="75"/>
        <v>0</v>
      </c>
      <c r="D446" s="217">
        <f t="shared" si="76"/>
        <v>0</v>
      </c>
      <c r="E446" s="218">
        <f>SUMIF(Consolidado!$A$6:$A$380,'TOTALES DIARIOS'!A446,Consolidado!$E$6:$E$380)</f>
        <v>0</v>
      </c>
      <c r="F446" s="218">
        <f>SUMIF(Consolidado!$A$6:$A$380,'TOTALES DIARIOS'!A446,Consolidado!$F$6:$F$380)</f>
        <v>0</v>
      </c>
      <c r="G446" s="218">
        <f>SUMIF(Consolidado!$A$6:$A$380,'TOTALES DIARIOS'!A446,Consolidado!$G$6:$G$380)</f>
        <v>0</v>
      </c>
      <c r="H446" s="219">
        <f t="shared" si="77"/>
        <v>0</v>
      </c>
      <c r="I446" s="99">
        <f t="shared" si="78"/>
        <v>0</v>
      </c>
      <c r="J446" s="99">
        <f t="shared" si="79"/>
        <v>0</v>
      </c>
      <c r="K446" s="113">
        <f t="shared" si="80"/>
        <v>2025</v>
      </c>
      <c r="L446" s="113">
        <f t="shared" si="81"/>
        <v>3</v>
      </c>
      <c r="M446" s="115">
        <f t="array" ref="M446">MIN(IF(Consolidado!$A$6:$A$1000='TOTALES DIARIOS'!A446,IF(Consolidado!$C$6:$C$1000&gt;TIMEVALUE("07:00"),Consolidado!$C$6:$C$1000,1)))</f>
        <v>0</v>
      </c>
      <c r="N446" s="115">
        <f t="array" ref="N446">MIN(IF(Consolidado!$A$6:$A$1000='TOTALES DIARIOS'!A446,IF(Consolidado!$C$6:$C$1000&lt;=M446,Consolidado!$C$6:$C$1000,1)))</f>
        <v>0</v>
      </c>
      <c r="O446" s="115">
        <f t="array" ref="O446">MAX(IF(Consolidado!$A$6:$A$1000='TOTALES DIARIOS'!A446,IF(Consolidado!$D$6:$D$1000&gt;=M446,Consolidado!$D$6:$D$1000,0)))</f>
        <v>0</v>
      </c>
      <c r="P446" s="118">
        <f t="array" ref="P446">MAX(IF(Consolidado!$A$6:$A$1000='TOTALES DIARIOS'!A446,IF(Consolidado!$D$6:$D$1000&lt;=M446,Consolidado!$D$6:$D$1000,0)))</f>
        <v>0</v>
      </c>
      <c r="Q446" s="117">
        <f t="shared" si="85"/>
        <v>0</v>
      </c>
      <c r="R446" s="117">
        <f t="shared" si="84"/>
        <v>0</v>
      </c>
      <c r="S446" s="104" t="str">
        <f t="shared" si="82"/>
        <v>NO</v>
      </c>
    </row>
    <row r="447" spans="1:19" x14ac:dyDescent="0.25">
      <c r="A447" s="221">
        <f t="shared" si="83"/>
        <v>45735</v>
      </c>
      <c r="B447" s="130" t="str">
        <f t="shared" si="74"/>
        <v/>
      </c>
      <c r="C447" s="217">
        <f t="shared" si="75"/>
        <v>0</v>
      </c>
      <c r="D447" s="217">
        <f t="shared" si="76"/>
        <v>0</v>
      </c>
      <c r="E447" s="218">
        <f>SUMIF(Consolidado!$A$6:$A$380,'TOTALES DIARIOS'!A447,Consolidado!$E$6:$E$380)</f>
        <v>0</v>
      </c>
      <c r="F447" s="218">
        <f>SUMIF(Consolidado!$A$6:$A$380,'TOTALES DIARIOS'!A447,Consolidado!$F$6:$F$380)</f>
        <v>0</v>
      </c>
      <c r="G447" s="218">
        <f>SUMIF(Consolidado!$A$6:$A$380,'TOTALES DIARIOS'!A447,Consolidado!$G$6:$G$380)</f>
        <v>0</v>
      </c>
      <c r="H447" s="219">
        <f t="shared" si="77"/>
        <v>0</v>
      </c>
      <c r="I447" s="99">
        <f t="shared" si="78"/>
        <v>0</v>
      </c>
      <c r="J447" s="99">
        <f t="shared" si="79"/>
        <v>0</v>
      </c>
      <c r="K447" s="113">
        <f t="shared" si="80"/>
        <v>2025</v>
      </c>
      <c r="L447" s="113">
        <f t="shared" si="81"/>
        <v>3</v>
      </c>
      <c r="M447" s="115">
        <f t="array" ref="M447">MIN(IF(Consolidado!$A$6:$A$1000='TOTALES DIARIOS'!A447,IF(Consolidado!$C$6:$C$1000&gt;TIMEVALUE("07:00"),Consolidado!$C$6:$C$1000,1)))</f>
        <v>0</v>
      </c>
      <c r="N447" s="115">
        <f t="array" ref="N447">MIN(IF(Consolidado!$A$6:$A$1000='TOTALES DIARIOS'!A447,IF(Consolidado!$C$6:$C$1000&lt;=M447,Consolidado!$C$6:$C$1000,1)))</f>
        <v>0</v>
      </c>
      <c r="O447" s="115">
        <f t="array" ref="O447">MAX(IF(Consolidado!$A$6:$A$1000='TOTALES DIARIOS'!A447,IF(Consolidado!$D$6:$D$1000&gt;=M447,Consolidado!$D$6:$D$1000,0)))</f>
        <v>0</v>
      </c>
      <c r="P447" s="118">
        <f t="array" ref="P447">MAX(IF(Consolidado!$A$6:$A$1000='TOTALES DIARIOS'!A447,IF(Consolidado!$D$6:$D$1000&lt;=M447,Consolidado!$D$6:$D$1000,0)))</f>
        <v>0</v>
      </c>
      <c r="Q447" s="117">
        <f t="shared" si="85"/>
        <v>0</v>
      </c>
      <c r="R447" s="117">
        <f t="shared" si="84"/>
        <v>0</v>
      </c>
      <c r="S447" s="104" t="str">
        <f t="shared" si="82"/>
        <v>NO</v>
      </c>
    </row>
    <row r="448" spans="1:19" x14ac:dyDescent="0.25">
      <c r="A448" s="221">
        <f t="shared" si="83"/>
        <v>45736</v>
      </c>
      <c r="B448" s="130" t="str">
        <f t="shared" si="74"/>
        <v/>
      </c>
      <c r="C448" s="217">
        <f t="shared" si="75"/>
        <v>0</v>
      </c>
      <c r="D448" s="217">
        <f t="shared" si="76"/>
        <v>0</v>
      </c>
      <c r="E448" s="218">
        <f>SUMIF(Consolidado!$A$6:$A$380,'TOTALES DIARIOS'!A448,Consolidado!$E$6:$E$380)</f>
        <v>0</v>
      </c>
      <c r="F448" s="218">
        <f>SUMIF(Consolidado!$A$6:$A$380,'TOTALES DIARIOS'!A448,Consolidado!$F$6:$F$380)</f>
        <v>0</v>
      </c>
      <c r="G448" s="218">
        <f>SUMIF(Consolidado!$A$6:$A$380,'TOTALES DIARIOS'!A448,Consolidado!$G$6:$G$380)</f>
        <v>0</v>
      </c>
      <c r="H448" s="219">
        <f t="shared" si="77"/>
        <v>0</v>
      </c>
      <c r="I448" s="99">
        <f t="shared" si="78"/>
        <v>0</v>
      </c>
      <c r="J448" s="99">
        <f t="shared" si="79"/>
        <v>0</v>
      </c>
      <c r="K448" s="113">
        <f t="shared" si="80"/>
        <v>2025</v>
      </c>
      <c r="L448" s="113">
        <f t="shared" si="81"/>
        <v>3</v>
      </c>
      <c r="M448" s="115">
        <f t="array" ref="M448">MIN(IF(Consolidado!$A$6:$A$1000='TOTALES DIARIOS'!A448,IF(Consolidado!$C$6:$C$1000&gt;TIMEVALUE("07:00"),Consolidado!$C$6:$C$1000,1)))</f>
        <v>0</v>
      </c>
      <c r="N448" s="115">
        <f t="array" ref="N448">MIN(IF(Consolidado!$A$6:$A$1000='TOTALES DIARIOS'!A448,IF(Consolidado!$C$6:$C$1000&lt;=M448,Consolidado!$C$6:$C$1000,1)))</f>
        <v>0</v>
      </c>
      <c r="O448" s="115">
        <f t="array" ref="O448">MAX(IF(Consolidado!$A$6:$A$1000='TOTALES DIARIOS'!A448,IF(Consolidado!$D$6:$D$1000&gt;=M448,Consolidado!$D$6:$D$1000,0)))</f>
        <v>0</v>
      </c>
      <c r="P448" s="118">
        <f t="array" ref="P448">MAX(IF(Consolidado!$A$6:$A$1000='TOTALES DIARIOS'!A448,IF(Consolidado!$D$6:$D$1000&lt;=M448,Consolidado!$D$6:$D$1000,0)))</f>
        <v>0</v>
      </c>
      <c r="Q448" s="117">
        <f t="shared" si="85"/>
        <v>0</v>
      </c>
      <c r="R448" s="117">
        <f t="shared" si="84"/>
        <v>0</v>
      </c>
      <c r="S448" s="104" t="str">
        <f t="shared" si="82"/>
        <v>NO</v>
      </c>
    </row>
    <row r="449" spans="1:19" x14ac:dyDescent="0.25">
      <c r="A449" s="221">
        <f t="shared" si="83"/>
        <v>45737</v>
      </c>
      <c r="B449" s="130" t="str">
        <f t="shared" si="74"/>
        <v/>
      </c>
      <c r="C449" s="217">
        <f t="shared" si="75"/>
        <v>0</v>
      </c>
      <c r="D449" s="217">
        <f t="shared" si="76"/>
        <v>0</v>
      </c>
      <c r="E449" s="218">
        <f>SUMIF(Consolidado!$A$6:$A$380,'TOTALES DIARIOS'!A449,Consolidado!$E$6:$E$380)</f>
        <v>0</v>
      </c>
      <c r="F449" s="218">
        <f>SUMIF(Consolidado!$A$6:$A$380,'TOTALES DIARIOS'!A449,Consolidado!$F$6:$F$380)</f>
        <v>0</v>
      </c>
      <c r="G449" s="218">
        <f>SUMIF(Consolidado!$A$6:$A$380,'TOTALES DIARIOS'!A449,Consolidado!$G$6:$G$380)</f>
        <v>0</v>
      </c>
      <c r="H449" s="219">
        <f t="shared" si="77"/>
        <v>0</v>
      </c>
      <c r="I449" s="99">
        <f t="shared" si="78"/>
        <v>0</v>
      </c>
      <c r="J449" s="99">
        <f t="shared" si="79"/>
        <v>0</v>
      </c>
      <c r="K449" s="113">
        <f t="shared" si="80"/>
        <v>2025</v>
      </c>
      <c r="L449" s="113">
        <f t="shared" si="81"/>
        <v>3</v>
      </c>
      <c r="M449" s="115">
        <f t="array" ref="M449">MIN(IF(Consolidado!$A$6:$A$1000='TOTALES DIARIOS'!A449,IF(Consolidado!$C$6:$C$1000&gt;TIMEVALUE("07:00"),Consolidado!$C$6:$C$1000,1)))</f>
        <v>0</v>
      </c>
      <c r="N449" s="115">
        <f t="array" ref="N449">MIN(IF(Consolidado!$A$6:$A$1000='TOTALES DIARIOS'!A449,IF(Consolidado!$C$6:$C$1000&lt;=M449,Consolidado!$C$6:$C$1000,1)))</f>
        <v>0</v>
      </c>
      <c r="O449" s="115">
        <f t="array" ref="O449">MAX(IF(Consolidado!$A$6:$A$1000='TOTALES DIARIOS'!A449,IF(Consolidado!$D$6:$D$1000&gt;=M449,Consolidado!$D$6:$D$1000,0)))</f>
        <v>0</v>
      </c>
      <c r="P449" s="118">
        <f t="array" ref="P449">MAX(IF(Consolidado!$A$6:$A$1000='TOTALES DIARIOS'!A449,IF(Consolidado!$D$6:$D$1000&lt;=M449,Consolidado!$D$6:$D$1000,0)))</f>
        <v>0</v>
      </c>
      <c r="Q449" s="117">
        <f t="shared" si="85"/>
        <v>0</v>
      </c>
      <c r="R449" s="117">
        <f t="shared" si="84"/>
        <v>0</v>
      </c>
      <c r="S449" s="104" t="str">
        <f t="shared" si="82"/>
        <v>NO</v>
      </c>
    </row>
    <row r="450" spans="1:19" x14ac:dyDescent="0.25">
      <c r="A450" s="221">
        <f t="shared" si="83"/>
        <v>45738</v>
      </c>
      <c r="B450" s="130" t="str">
        <f t="shared" si="74"/>
        <v/>
      </c>
      <c r="C450" s="217">
        <f t="shared" si="75"/>
        <v>0</v>
      </c>
      <c r="D450" s="217">
        <f t="shared" si="76"/>
        <v>0</v>
      </c>
      <c r="E450" s="218">
        <f>SUMIF(Consolidado!$A$6:$A$380,'TOTALES DIARIOS'!A450,Consolidado!$E$6:$E$380)</f>
        <v>0</v>
      </c>
      <c r="F450" s="218">
        <f>SUMIF(Consolidado!$A$6:$A$380,'TOTALES DIARIOS'!A450,Consolidado!$F$6:$F$380)</f>
        <v>0</v>
      </c>
      <c r="G450" s="218">
        <f>SUMIF(Consolidado!$A$6:$A$380,'TOTALES DIARIOS'!A450,Consolidado!$G$6:$G$380)</f>
        <v>0</v>
      </c>
      <c r="H450" s="219">
        <f t="shared" si="77"/>
        <v>0</v>
      </c>
      <c r="I450" s="99">
        <f t="shared" si="78"/>
        <v>0</v>
      </c>
      <c r="J450" s="99">
        <f t="shared" si="79"/>
        <v>0</v>
      </c>
      <c r="K450" s="113">
        <f t="shared" si="80"/>
        <v>2025</v>
      </c>
      <c r="L450" s="113">
        <f t="shared" si="81"/>
        <v>3</v>
      </c>
      <c r="M450" s="115">
        <f t="array" ref="M450">MIN(IF(Consolidado!$A$6:$A$1000='TOTALES DIARIOS'!A450,IF(Consolidado!$C$6:$C$1000&gt;TIMEVALUE("07:00"),Consolidado!$C$6:$C$1000,1)))</f>
        <v>0</v>
      </c>
      <c r="N450" s="115">
        <f t="array" ref="N450">MIN(IF(Consolidado!$A$6:$A$1000='TOTALES DIARIOS'!A450,IF(Consolidado!$C$6:$C$1000&lt;=M450,Consolidado!$C$6:$C$1000,1)))</f>
        <v>0</v>
      </c>
      <c r="O450" s="115">
        <f t="array" ref="O450">MAX(IF(Consolidado!$A$6:$A$1000='TOTALES DIARIOS'!A450,IF(Consolidado!$D$6:$D$1000&gt;=M450,Consolidado!$D$6:$D$1000,0)))</f>
        <v>0</v>
      </c>
      <c r="P450" s="118">
        <f t="array" ref="P450">MAX(IF(Consolidado!$A$6:$A$1000='TOTALES DIARIOS'!A450,IF(Consolidado!$D$6:$D$1000&lt;=M450,Consolidado!$D$6:$D$1000,0)))</f>
        <v>0</v>
      </c>
      <c r="Q450" s="117">
        <f t="shared" si="85"/>
        <v>0</v>
      </c>
      <c r="R450" s="117">
        <f t="shared" si="84"/>
        <v>0</v>
      </c>
      <c r="S450" s="104" t="str">
        <f t="shared" si="82"/>
        <v>NO</v>
      </c>
    </row>
    <row r="451" spans="1:19" x14ac:dyDescent="0.25">
      <c r="A451" s="221">
        <f t="shared" si="83"/>
        <v>45739</v>
      </c>
      <c r="B451" s="130" t="str">
        <f t="shared" si="74"/>
        <v/>
      </c>
      <c r="C451" s="217">
        <f t="shared" si="75"/>
        <v>0</v>
      </c>
      <c r="D451" s="217">
        <f t="shared" si="76"/>
        <v>0</v>
      </c>
      <c r="E451" s="218">
        <f>SUMIF(Consolidado!$A$6:$A$380,'TOTALES DIARIOS'!A451,Consolidado!$E$6:$E$380)</f>
        <v>0</v>
      </c>
      <c r="F451" s="218">
        <f>SUMIF(Consolidado!$A$6:$A$380,'TOTALES DIARIOS'!A451,Consolidado!$F$6:$F$380)</f>
        <v>0</v>
      </c>
      <c r="G451" s="218">
        <f>SUMIF(Consolidado!$A$6:$A$380,'TOTALES DIARIOS'!A451,Consolidado!$G$6:$G$380)</f>
        <v>0</v>
      </c>
      <c r="H451" s="219">
        <f t="shared" si="77"/>
        <v>0</v>
      </c>
      <c r="I451" s="99">
        <f t="shared" si="78"/>
        <v>0</v>
      </c>
      <c r="J451" s="99">
        <f t="shared" si="79"/>
        <v>0</v>
      </c>
      <c r="K451" s="113">
        <f t="shared" si="80"/>
        <v>2025</v>
      </c>
      <c r="L451" s="113">
        <f t="shared" si="81"/>
        <v>3</v>
      </c>
      <c r="M451" s="115">
        <f t="array" ref="M451">MIN(IF(Consolidado!$A$6:$A$1000='TOTALES DIARIOS'!A451,IF(Consolidado!$C$6:$C$1000&gt;TIMEVALUE("07:00"),Consolidado!$C$6:$C$1000,1)))</f>
        <v>0</v>
      </c>
      <c r="N451" s="115">
        <f t="array" ref="N451">MIN(IF(Consolidado!$A$6:$A$1000='TOTALES DIARIOS'!A451,IF(Consolidado!$C$6:$C$1000&lt;=M451,Consolidado!$C$6:$C$1000,1)))</f>
        <v>0</v>
      </c>
      <c r="O451" s="115">
        <f t="array" ref="O451">MAX(IF(Consolidado!$A$6:$A$1000='TOTALES DIARIOS'!A451,IF(Consolidado!$D$6:$D$1000&gt;=M451,Consolidado!$D$6:$D$1000,0)))</f>
        <v>0</v>
      </c>
      <c r="P451" s="118">
        <f t="array" ref="P451">MAX(IF(Consolidado!$A$6:$A$1000='TOTALES DIARIOS'!A451,IF(Consolidado!$D$6:$D$1000&lt;=M451,Consolidado!$D$6:$D$1000,0)))</f>
        <v>0</v>
      </c>
      <c r="Q451" s="117">
        <f t="shared" si="85"/>
        <v>0</v>
      </c>
      <c r="R451" s="117">
        <f t="shared" si="84"/>
        <v>0</v>
      </c>
      <c r="S451" s="104" t="str">
        <f t="shared" si="82"/>
        <v>NO</v>
      </c>
    </row>
    <row r="452" spans="1:19" x14ac:dyDescent="0.25">
      <c r="A452" s="221">
        <f t="shared" si="83"/>
        <v>45740</v>
      </c>
      <c r="B452" s="130" t="str">
        <f t="shared" ref="B452:B508" si="86">IF(G452=0,"",C452-"1:00")</f>
        <v/>
      </c>
      <c r="C452" s="217">
        <f t="shared" ref="C452:C508" si="87">Q452</f>
        <v>0</v>
      </c>
      <c r="D452" s="217">
        <f t="shared" ref="D452:D508" si="88">R452</f>
        <v>0</v>
      </c>
      <c r="E452" s="218">
        <f>SUMIF(Consolidado!$A$6:$A$380,'TOTALES DIARIOS'!A452,Consolidado!$E$6:$E$380)</f>
        <v>0</v>
      </c>
      <c r="F452" s="218">
        <f>SUMIF(Consolidado!$A$6:$A$380,'TOTALES DIARIOS'!A452,Consolidado!$F$6:$F$380)</f>
        <v>0</v>
      </c>
      <c r="G452" s="218">
        <f>SUMIF(Consolidado!$A$6:$A$380,'TOTALES DIARIOS'!A452,Consolidado!$G$6:$G$380)</f>
        <v>0</v>
      </c>
      <c r="H452" s="219">
        <f t="shared" ref="H452:H508" si="89">IF(B452="",0,IF(B452&lt;D452,D452-B452+"0:30","24:00"-B452+D452+"0:30"))*24</f>
        <v>0</v>
      </c>
      <c r="I452" s="99">
        <f t="shared" ref="I452:I508" si="90">IF(G452&lt;&gt;0,1,0)</f>
        <v>0</v>
      </c>
      <c r="J452" s="99">
        <f t="shared" ref="J452:J508" si="91">IF(H452=0,0,IF((D452-"3:30")&gt;(C452-"3:30"),1,2))</f>
        <v>0</v>
      </c>
      <c r="K452" s="113">
        <f t="shared" ref="K452:K508" si="92">YEAR(A452)</f>
        <v>2025</v>
      </c>
      <c r="L452" s="113">
        <f t="shared" ref="L452:L508" si="93">MONTH(A452)</f>
        <v>3</v>
      </c>
      <c r="M452" s="115">
        <f t="array" ref="M452">MIN(IF(Consolidado!$A$6:$A$1000='TOTALES DIARIOS'!A452,IF(Consolidado!$C$6:$C$1000&gt;TIMEVALUE("07:00"),Consolidado!$C$6:$C$1000,1)))</f>
        <v>0</v>
      </c>
      <c r="N452" s="115">
        <f t="array" ref="N452">MIN(IF(Consolidado!$A$6:$A$1000='TOTALES DIARIOS'!A452,IF(Consolidado!$C$6:$C$1000&lt;=M452,Consolidado!$C$6:$C$1000,1)))</f>
        <v>0</v>
      </c>
      <c r="O452" s="115">
        <f t="array" ref="O452">MAX(IF(Consolidado!$A$6:$A$1000='TOTALES DIARIOS'!A452,IF(Consolidado!$D$6:$D$1000&gt;=M452,Consolidado!$D$6:$D$1000,0)))</f>
        <v>0</v>
      </c>
      <c r="P452" s="118">
        <f t="array" ref="P452">MAX(IF(Consolidado!$A$6:$A$1000='TOTALES DIARIOS'!A452,IF(Consolidado!$D$6:$D$1000&lt;=M452,Consolidado!$D$6:$D$1000,0)))</f>
        <v>0</v>
      </c>
      <c r="Q452" s="117">
        <f t="shared" si="85"/>
        <v>0</v>
      </c>
      <c r="R452" s="117">
        <f t="shared" si="84"/>
        <v>0</v>
      </c>
      <c r="S452" s="104" t="str">
        <f t="shared" ref="S452:S508" si="94">IF(D452&gt;AB452,"SI","NO")</f>
        <v>NO</v>
      </c>
    </row>
    <row r="453" spans="1:19" x14ac:dyDescent="0.25">
      <c r="A453" s="221">
        <f t="shared" si="83"/>
        <v>45741</v>
      </c>
      <c r="B453" s="130" t="str">
        <f t="shared" si="86"/>
        <v/>
      </c>
      <c r="C453" s="217">
        <f t="shared" si="87"/>
        <v>0</v>
      </c>
      <c r="D453" s="217">
        <f t="shared" si="88"/>
        <v>0</v>
      </c>
      <c r="E453" s="218">
        <f>SUMIF(Consolidado!$A$6:$A$380,'TOTALES DIARIOS'!A453,Consolidado!$E$6:$E$380)</f>
        <v>0</v>
      </c>
      <c r="F453" s="218">
        <f>SUMIF(Consolidado!$A$6:$A$380,'TOTALES DIARIOS'!A453,Consolidado!$F$6:$F$380)</f>
        <v>0</v>
      </c>
      <c r="G453" s="218">
        <f>SUMIF(Consolidado!$A$6:$A$380,'TOTALES DIARIOS'!A453,Consolidado!$G$6:$G$380)</f>
        <v>0</v>
      </c>
      <c r="H453" s="219">
        <f t="shared" si="89"/>
        <v>0</v>
      </c>
      <c r="I453" s="99">
        <f t="shared" si="90"/>
        <v>0</v>
      </c>
      <c r="J453" s="99">
        <f t="shared" si="91"/>
        <v>0</v>
      </c>
      <c r="K453" s="113">
        <f t="shared" si="92"/>
        <v>2025</v>
      </c>
      <c r="L453" s="113">
        <f t="shared" si="93"/>
        <v>3</v>
      </c>
      <c r="M453" s="115">
        <f t="array" ref="M453">MIN(IF(Consolidado!$A$6:$A$1000='TOTALES DIARIOS'!A453,IF(Consolidado!$C$6:$C$1000&gt;TIMEVALUE("07:00"),Consolidado!$C$6:$C$1000,1)))</f>
        <v>0</v>
      </c>
      <c r="N453" s="115">
        <f t="array" ref="N453">MIN(IF(Consolidado!$A$6:$A$1000='TOTALES DIARIOS'!A453,IF(Consolidado!$C$6:$C$1000&lt;=M453,Consolidado!$C$6:$C$1000,1)))</f>
        <v>0</v>
      </c>
      <c r="O453" s="115">
        <f t="array" ref="O453">MAX(IF(Consolidado!$A$6:$A$1000='TOTALES DIARIOS'!A453,IF(Consolidado!$D$6:$D$1000&gt;=M453,Consolidado!$D$6:$D$1000,0)))</f>
        <v>0</v>
      </c>
      <c r="P453" s="118">
        <f t="array" ref="P453">MAX(IF(Consolidado!$A$6:$A$1000='TOTALES DIARIOS'!A453,IF(Consolidado!$D$6:$D$1000&lt;=M453,Consolidado!$D$6:$D$1000,0)))</f>
        <v>0</v>
      </c>
      <c r="Q453" s="117">
        <f t="shared" si="85"/>
        <v>0</v>
      </c>
      <c r="R453" s="117">
        <f t="shared" si="84"/>
        <v>0</v>
      </c>
      <c r="S453" s="104" t="str">
        <f t="shared" si="94"/>
        <v>NO</v>
      </c>
    </row>
    <row r="454" spans="1:19" x14ac:dyDescent="0.25">
      <c r="A454" s="221">
        <f t="shared" ref="A454:A508" si="95">IFERROR(A453+1,"")</f>
        <v>45742</v>
      </c>
      <c r="B454" s="130" t="str">
        <f t="shared" si="86"/>
        <v/>
      </c>
      <c r="C454" s="217">
        <f t="shared" si="87"/>
        <v>0</v>
      </c>
      <c r="D454" s="217">
        <f t="shared" si="88"/>
        <v>0</v>
      </c>
      <c r="E454" s="218">
        <f>SUMIF(Consolidado!$A$6:$A$380,'TOTALES DIARIOS'!A454,Consolidado!$E$6:$E$380)</f>
        <v>0</v>
      </c>
      <c r="F454" s="218">
        <f>SUMIF(Consolidado!$A$6:$A$380,'TOTALES DIARIOS'!A454,Consolidado!$F$6:$F$380)</f>
        <v>0</v>
      </c>
      <c r="G454" s="218">
        <f>SUMIF(Consolidado!$A$6:$A$380,'TOTALES DIARIOS'!A454,Consolidado!$G$6:$G$380)</f>
        <v>0</v>
      </c>
      <c r="H454" s="219">
        <f t="shared" si="89"/>
        <v>0</v>
      </c>
      <c r="I454" s="99">
        <f t="shared" si="90"/>
        <v>0</v>
      </c>
      <c r="J454" s="99">
        <f t="shared" si="91"/>
        <v>0</v>
      </c>
      <c r="K454" s="113">
        <f t="shared" si="92"/>
        <v>2025</v>
      </c>
      <c r="L454" s="113">
        <f t="shared" si="93"/>
        <v>3</v>
      </c>
      <c r="M454" s="115">
        <f t="array" ref="M454">MIN(IF(Consolidado!$A$6:$A$1000='TOTALES DIARIOS'!A454,IF(Consolidado!$C$6:$C$1000&gt;TIMEVALUE("07:00"),Consolidado!$C$6:$C$1000,1)))</f>
        <v>0</v>
      </c>
      <c r="N454" s="115">
        <f t="array" ref="N454">MIN(IF(Consolidado!$A$6:$A$1000='TOTALES DIARIOS'!A454,IF(Consolidado!$C$6:$C$1000&lt;=M454,Consolidado!$C$6:$C$1000,1)))</f>
        <v>0</v>
      </c>
      <c r="O454" s="115">
        <f t="array" ref="O454">MAX(IF(Consolidado!$A$6:$A$1000='TOTALES DIARIOS'!A454,IF(Consolidado!$D$6:$D$1000&gt;=M454,Consolidado!$D$6:$D$1000,0)))</f>
        <v>0</v>
      </c>
      <c r="P454" s="118">
        <f t="array" ref="P454">MAX(IF(Consolidado!$A$6:$A$1000='TOTALES DIARIOS'!A454,IF(Consolidado!$D$6:$D$1000&lt;=M454,Consolidado!$D$6:$D$1000,0)))</f>
        <v>0</v>
      </c>
      <c r="Q454" s="117">
        <f t="shared" si="85"/>
        <v>0</v>
      </c>
      <c r="R454" s="117">
        <f t="shared" si="84"/>
        <v>0</v>
      </c>
      <c r="S454" s="104" t="str">
        <f t="shared" si="94"/>
        <v>NO</v>
      </c>
    </row>
    <row r="455" spans="1:19" x14ac:dyDescent="0.25">
      <c r="A455" s="221">
        <f t="shared" si="95"/>
        <v>45743</v>
      </c>
      <c r="B455" s="130" t="str">
        <f t="shared" si="86"/>
        <v/>
      </c>
      <c r="C455" s="217">
        <f t="shared" si="87"/>
        <v>0</v>
      </c>
      <c r="D455" s="217">
        <f t="shared" si="88"/>
        <v>0</v>
      </c>
      <c r="E455" s="218">
        <f>SUMIF(Consolidado!$A$6:$A$380,'TOTALES DIARIOS'!A455,Consolidado!$E$6:$E$380)</f>
        <v>0</v>
      </c>
      <c r="F455" s="218">
        <f>SUMIF(Consolidado!$A$6:$A$380,'TOTALES DIARIOS'!A455,Consolidado!$F$6:$F$380)</f>
        <v>0</v>
      </c>
      <c r="G455" s="218">
        <f>SUMIF(Consolidado!$A$6:$A$380,'TOTALES DIARIOS'!A455,Consolidado!$G$6:$G$380)</f>
        <v>0</v>
      </c>
      <c r="H455" s="219">
        <f t="shared" si="89"/>
        <v>0</v>
      </c>
      <c r="I455" s="99">
        <f t="shared" si="90"/>
        <v>0</v>
      </c>
      <c r="J455" s="99">
        <f t="shared" si="91"/>
        <v>0</v>
      </c>
      <c r="K455" s="113">
        <f t="shared" si="92"/>
        <v>2025</v>
      </c>
      <c r="L455" s="113">
        <f t="shared" si="93"/>
        <v>3</v>
      </c>
      <c r="M455" s="115">
        <f t="array" ref="M455">MIN(IF(Consolidado!$A$6:$A$1000='TOTALES DIARIOS'!A455,IF(Consolidado!$C$6:$C$1000&gt;TIMEVALUE("07:00"),Consolidado!$C$6:$C$1000,1)))</f>
        <v>0</v>
      </c>
      <c r="N455" s="115">
        <f t="array" ref="N455">MIN(IF(Consolidado!$A$6:$A$1000='TOTALES DIARIOS'!A455,IF(Consolidado!$C$6:$C$1000&lt;=M455,Consolidado!$C$6:$C$1000,1)))</f>
        <v>0</v>
      </c>
      <c r="O455" s="115">
        <f t="array" ref="O455">MAX(IF(Consolidado!$A$6:$A$1000='TOTALES DIARIOS'!A455,IF(Consolidado!$D$6:$D$1000&gt;=M455,Consolidado!$D$6:$D$1000,0)))</f>
        <v>0</v>
      </c>
      <c r="P455" s="118">
        <f t="array" ref="P455">MAX(IF(Consolidado!$A$6:$A$1000='TOTALES DIARIOS'!A455,IF(Consolidado!$D$6:$D$1000&lt;=M455,Consolidado!$D$6:$D$1000,0)))</f>
        <v>0</v>
      </c>
      <c r="Q455" s="117">
        <f t="shared" si="85"/>
        <v>0</v>
      </c>
      <c r="R455" s="117">
        <f t="shared" ref="R455:R508" si="96">IF(O455=0,P455,IF(P455=0,O455,MIN(P455,O455)))</f>
        <v>0</v>
      </c>
      <c r="S455" s="104" t="str">
        <f t="shared" si="94"/>
        <v>NO</v>
      </c>
    </row>
    <row r="456" spans="1:19" x14ac:dyDescent="0.25">
      <c r="A456" s="221">
        <f t="shared" si="95"/>
        <v>45744</v>
      </c>
      <c r="B456" s="130" t="str">
        <f t="shared" si="86"/>
        <v/>
      </c>
      <c r="C456" s="217">
        <f t="shared" si="87"/>
        <v>0</v>
      </c>
      <c r="D456" s="217">
        <f t="shared" si="88"/>
        <v>0</v>
      </c>
      <c r="E456" s="218">
        <f>SUMIF(Consolidado!$A$6:$A$380,'TOTALES DIARIOS'!A456,Consolidado!$E$6:$E$380)</f>
        <v>0</v>
      </c>
      <c r="F456" s="218">
        <f>SUMIF(Consolidado!$A$6:$A$380,'TOTALES DIARIOS'!A456,Consolidado!$F$6:$F$380)</f>
        <v>0</v>
      </c>
      <c r="G456" s="218">
        <f>SUMIF(Consolidado!$A$6:$A$380,'TOTALES DIARIOS'!A456,Consolidado!$G$6:$G$380)</f>
        <v>0</v>
      </c>
      <c r="H456" s="219">
        <f t="shared" si="89"/>
        <v>0</v>
      </c>
      <c r="I456" s="99">
        <f t="shared" si="90"/>
        <v>0</v>
      </c>
      <c r="J456" s="99">
        <f t="shared" si="91"/>
        <v>0</v>
      </c>
      <c r="K456" s="113">
        <f t="shared" si="92"/>
        <v>2025</v>
      </c>
      <c r="L456" s="113">
        <f t="shared" si="93"/>
        <v>3</v>
      </c>
      <c r="M456" s="115">
        <f t="array" ref="M456">MIN(IF(Consolidado!$A$6:$A$1000='TOTALES DIARIOS'!A456,IF(Consolidado!$C$6:$C$1000&gt;TIMEVALUE("07:00"),Consolidado!$C$6:$C$1000,1)))</f>
        <v>0</v>
      </c>
      <c r="N456" s="115">
        <f t="array" ref="N456">MIN(IF(Consolidado!$A$6:$A$1000='TOTALES DIARIOS'!A456,IF(Consolidado!$C$6:$C$1000&lt;=M456,Consolidado!$C$6:$C$1000,1)))</f>
        <v>0</v>
      </c>
      <c r="O456" s="115">
        <f t="array" ref="O456">MAX(IF(Consolidado!$A$6:$A$1000='TOTALES DIARIOS'!A456,IF(Consolidado!$D$6:$D$1000&gt;=M456,Consolidado!$D$6:$D$1000,0)))</f>
        <v>0</v>
      </c>
      <c r="P456" s="118">
        <f t="array" ref="P456">MAX(IF(Consolidado!$A$6:$A$1000='TOTALES DIARIOS'!A456,IF(Consolidado!$D$6:$D$1000&lt;=M456,Consolidado!$D$6:$D$1000,0)))</f>
        <v>0</v>
      </c>
      <c r="Q456" s="117">
        <f t="shared" si="85"/>
        <v>0</v>
      </c>
      <c r="R456" s="117">
        <f t="shared" si="96"/>
        <v>0</v>
      </c>
      <c r="S456" s="104" t="str">
        <f t="shared" si="94"/>
        <v>NO</v>
      </c>
    </row>
    <row r="457" spans="1:19" x14ac:dyDescent="0.25">
      <c r="A457" s="221">
        <f t="shared" si="95"/>
        <v>45745</v>
      </c>
      <c r="B457" s="130" t="str">
        <f t="shared" si="86"/>
        <v/>
      </c>
      <c r="C457" s="217">
        <f t="shared" si="87"/>
        <v>0</v>
      </c>
      <c r="D457" s="217">
        <f t="shared" si="88"/>
        <v>0</v>
      </c>
      <c r="E457" s="218">
        <f>SUMIF(Consolidado!$A$6:$A$380,'TOTALES DIARIOS'!A457,Consolidado!$E$6:$E$380)</f>
        <v>0</v>
      </c>
      <c r="F457" s="218">
        <f>SUMIF(Consolidado!$A$6:$A$380,'TOTALES DIARIOS'!A457,Consolidado!$F$6:$F$380)</f>
        <v>0</v>
      </c>
      <c r="G457" s="218">
        <f>SUMIF(Consolidado!$A$6:$A$380,'TOTALES DIARIOS'!A457,Consolidado!$G$6:$G$380)</f>
        <v>0</v>
      </c>
      <c r="H457" s="219">
        <f t="shared" si="89"/>
        <v>0</v>
      </c>
      <c r="I457" s="99">
        <f t="shared" si="90"/>
        <v>0</v>
      </c>
      <c r="J457" s="99">
        <f t="shared" si="91"/>
        <v>0</v>
      </c>
      <c r="K457" s="113">
        <f t="shared" si="92"/>
        <v>2025</v>
      </c>
      <c r="L457" s="113">
        <f t="shared" si="93"/>
        <v>3</v>
      </c>
      <c r="M457" s="115">
        <f t="array" ref="M457">MIN(IF(Consolidado!$A$6:$A$1000='TOTALES DIARIOS'!A457,IF(Consolidado!$C$6:$C$1000&gt;TIMEVALUE("07:00"),Consolidado!$C$6:$C$1000,1)))</f>
        <v>0</v>
      </c>
      <c r="N457" s="115">
        <f t="array" ref="N457">MIN(IF(Consolidado!$A$6:$A$1000='TOTALES DIARIOS'!A457,IF(Consolidado!$C$6:$C$1000&lt;=M457,Consolidado!$C$6:$C$1000,1)))</f>
        <v>0</v>
      </c>
      <c r="O457" s="115">
        <f t="array" ref="O457">MAX(IF(Consolidado!$A$6:$A$1000='TOTALES DIARIOS'!A457,IF(Consolidado!$D$6:$D$1000&gt;=M457,Consolidado!$D$6:$D$1000,0)))</f>
        <v>0</v>
      </c>
      <c r="P457" s="118">
        <f t="array" ref="P457">MAX(IF(Consolidado!$A$6:$A$1000='TOTALES DIARIOS'!A457,IF(Consolidado!$D$6:$D$1000&lt;=M457,Consolidado!$D$6:$D$1000,0)))</f>
        <v>0</v>
      </c>
      <c r="Q457" s="117">
        <f t="shared" ref="Q457:Q508" si="97">IF(M457&lt;&gt;1,MAX(M457,N457),N457)</f>
        <v>0</v>
      </c>
      <c r="R457" s="117">
        <f t="shared" si="96"/>
        <v>0</v>
      </c>
      <c r="S457" s="104" t="str">
        <f t="shared" si="94"/>
        <v>NO</v>
      </c>
    </row>
    <row r="458" spans="1:19" x14ac:dyDescent="0.25">
      <c r="A458" s="221">
        <f t="shared" si="95"/>
        <v>45746</v>
      </c>
      <c r="B458" s="130" t="str">
        <f t="shared" si="86"/>
        <v/>
      </c>
      <c r="C458" s="217">
        <f t="shared" si="87"/>
        <v>0</v>
      </c>
      <c r="D458" s="217">
        <f t="shared" si="88"/>
        <v>0</v>
      </c>
      <c r="E458" s="218">
        <f>SUMIF(Consolidado!$A$6:$A$380,'TOTALES DIARIOS'!A458,Consolidado!$E$6:$E$380)</f>
        <v>0</v>
      </c>
      <c r="F458" s="218">
        <f>SUMIF(Consolidado!$A$6:$A$380,'TOTALES DIARIOS'!A458,Consolidado!$F$6:$F$380)</f>
        <v>0</v>
      </c>
      <c r="G458" s="218">
        <f>SUMIF(Consolidado!$A$6:$A$380,'TOTALES DIARIOS'!A458,Consolidado!$G$6:$G$380)</f>
        <v>0</v>
      </c>
      <c r="H458" s="219">
        <f t="shared" si="89"/>
        <v>0</v>
      </c>
      <c r="I458" s="99">
        <f t="shared" si="90"/>
        <v>0</v>
      </c>
      <c r="J458" s="99">
        <f t="shared" si="91"/>
        <v>0</v>
      </c>
      <c r="K458" s="113">
        <f t="shared" si="92"/>
        <v>2025</v>
      </c>
      <c r="L458" s="113">
        <f t="shared" si="93"/>
        <v>3</v>
      </c>
      <c r="M458" s="115">
        <f t="array" ref="M458">MIN(IF(Consolidado!$A$6:$A$1000='TOTALES DIARIOS'!A458,IF(Consolidado!$C$6:$C$1000&gt;TIMEVALUE("07:00"),Consolidado!$C$6:$C$1000,1)))</f>
        <v>0</v>
      </c>
      <c r="N458" s="115">
        <f t="array" ref="N458">MIN(IF(Consolidado!$A$6:$A$1000='TOTALES DIARIOS'!A458,IF(Consolidado!$C$6:$C$1000&lt;=M458,Consolidado!$C$6:$C$1000,1)))</f>
        <v>0</v>
      </c>
      <c r="O458" s="115">
        <f t="array" ref="O458">MAX(IF(Consolidado!$A$6:$A$1000='TOTALES DIARIOS'!A458,IF(Consolidado!$D$6:$D$1000&gt;=M458,Consolidado!$D$6:$D$1000,0)))</f>
        <v>0</v>
      </c>
      <c r="P458" s="118">
        <f t="array" ref="P458">MAX(IF(Consolidado!$A$6:$A$1000='TOTALES DIARIOS'!A458,IF(Consolidado!$D$6:$D$1000&lt;=M458,Consolidado!$D$6:$D$1000,0)))</f>
        <v>0</v>
      </c>
      <c r="Q458" s="117">
        <f t="shared" si="97"/>
        <v>0</v>
      </c>
      <c r="R458" s="117">
        <f t="shared" si="96"/>
        <v>0</v>
      </c>
      <c r="S458" s="104" t="str">
        <f t="shared" si="94"/>
        <v>NO</v>
      </c>
    </row>
    <row r="459" spans="1:19" x14ac:dyDescent="0.25">
      <c r="A459" s="221">
        <f t="shared" si="95"/>
        <v>45747</v>
      </c>
      <c r="B459" s="130" t="str">
        <f t="shared" si="86"/>
        <v/>
      </c>
      <c r="C459" s="217">
        <f t="shared" si="87"/>
        <v>0</v>
      </c>
      <c r="D459" s="217">
        <f t="shared" si="88"/>
        <v>0</v>
      </c>
      <c r="E459" s="218">
        <f>SUMIF(Consolidado!$A$6:$A$380,'TOTALES DIARIOS'!A459,Consolidado!$E$6:$E$380)</f>
        <v>0</v>
      </c>
      <c r="F459" s="218">
        <f>SUMIF(Consolidado!$A$6:$A$380,'TOTALES DIARIOS'!A459,Consolidado!$F$6:$F$380)</f>
        <v>0</v>
      </c>
      <c r="G459" s="218">
        <f>SUMIF(Consolidado!$A$6:$A$380,'TOTALES DIARIOS'!A459,Consolidado!$G$6:$G$380)</f>
        <v>0</v>
      </c>
      <c r="H459" s="219">
        <f t="shared" si="89"/>
        <v>0</v>
      </c>
      <c r="I459" s="99">
        <f t="shared" si="90"/>
        <v>0</v>
      </c>
      <c r="J459" s="99">
        <f t="shared" si="91"/>
        <v>0</v>
      </c>
      <c r="K459" s="113">
        <f t="shared" si="92"/>
        <v>2025</v>
      </c>
      <c r="L459" s="113">
        <f t="shared" si="93"/>
        <v>3</v>
      </c>
      <c r="M459" s="115">
        <f t="array" ref="M459">MIN(IF(Consolidado!$A$6:$A$1000='TOTALES DIARIOS'!A459,IF(Consolidado!$C$6:$C$1000&gt;TIMEVALUE("07:00"),Consolidado!$C$6:$C$1000,1)))</f>
        <v>0</v>
      </c>
      <c r="N459" s="115">
        <f t="array" ref="N459">MIN(IF(Consolidado!$A$6:$A$1000='TOTALES DIARIOS'!A459,IF(Consolidado!$C$6:$C$1000&lt;=M459,Consolidado!$C$6:$C$1000,1)))</f>
        <v>0</v>
      </c>
      <c r="O459" s="115">
        <f t="array" ref="O459">MAX(IF(Consolidado!$A$6:$A$1000='TOTALES DIARIOS'!A459,IF(Consolidado!$D$6:$D$1000&gt;=M459,Consolidado!$D$6:$D$1000,0)))</f>
        <v>0</v>
      </c>
      <c r="P459" s="118">
        <f t="array" ref="P459">MAX(IF(Consolidado!$A$6:$A$1000='TOTALES DIARIOS'!A459,IF(Consolidado!$D$6:$D$1000&lt;=M459,Consolidado!$D$6:$D$1000,0)))</f>
        <v>0</v>
      </c>
      <c r="Q459" s="117">
        <f t="shared" si="97"/>
        <v>0</v>
      </c>
      <c r="R459" s="117">
        <f t="shared" si="96"/>
        <v>0</v>
      </c>
      <c r="S459" s="104" t="str">
        <f t="shared" si="94"/>
        <v>NO</v>
      </c>
    </row>
    <row r="460" spans="1:19" x14ac:dyDescent="0.25">
      <c r="A460" s="221">
        <f t="shared" si="95"/>
        <v>45748</v>
      </c>
      <c r="B460" s="130" t="str">
        <f t="shared" si="86"/>
        <v/>
      </c>
      <c r="C460" s="217">
        <f t="shared" si="87"/>
        <v>0</v>
      </c>
      <c r="D460" s="217">
        <f t="shared" si="88"/>
        <v>0</v>
      </c>
      <c r="E460" s="218">
        <f>SUMIF(Consolidado!$A$6:$A$380,'TOTALES DIARIOS'!A460,Consolidado!$E$6:$E$380)</f>
        <v>0</v>
      </c>
      <c r="F460" s="218">
        <f>SUMIF(Consolidado!$A$6:$A$380,'TOTALES DIARIOS'!A460,Consolidado!$F$6:$F$380)</f>
        <v>0</v>
      </c>
      <c r="G460" s="218">
        <f>SUMIF(Consolidado!$A$6:$A$380,'TOTALES DIARIOS'!A460,Consolidado!$G$6:$G$380)</f>
        <v>0</v>
      </c>
      <c r="H460" s="219">
        <f t="shared" si="89"/>
        <v>0</v>
      </c>
      <c r="I460" s="99">
        <f t="shared" si="90"/>
        <v>0</v>
      </c>
      <c r="J460" s="99">
        <f t="shared" si="91"/>
        <v>0</v>
      </c>
      <c r="K460" s="113">
        <f t="shared" si="92"/>
        <v>2025</v>
      </c>
      <c r="L460" s="113">
        <f t="shared" si="93"/>
        <v>4</v>
      </c>
      <c r="M460" s="115">
        <f t="array" ref="M460">MIN(IF(Consolidado!$A$6:$A$1000='TOTALES DIARIOS'!A460,IF(Consolidado!$C$6:$C$1000&gt;TIMEVALUE("07:00"),Consolidado!$C$6:$C$1000,1)))</f>
        <v>0</v>
      </c>
      <c r="N460" s="115">
        <f t="array" ref="N460">MIN(IF(Consolidado!$A$6:$A$1000='TOTALES DIARIOS'!A460,IF(Consolidado!$C$6:$C$1000&lt;=M460,Consolidado!$C$6:$C$1000,1)))</f>
        <v>0</v>
      </c>
      <c r="O460" s="115">
        <f t="array" ref="O460">MAX(IF(Consolidado!$A$6:$A$1000='TOTALES DIARIOS'!A460,IF(Consolidado!$D$6:$D$1000&gt;=M460,Consolidado!$D$6:$D$1000,0)))</f>
        <v>0</v>
      </c>
      <c r="P460" s="118">
        <f t="array" ref="P460">MAX(IF(Consolidado!$A$6:$A$1000='TOTALES DIARIOS'!A460,IF(Consolidado!$D$6:$D$1000&lt;=M460,Consolidado!$D$6:$D$1000,0)))</f>
        <v>0</v>
      </c>
      <c r="Q460" s="117">
        <f t="shared" si="97"/>
        <v>0</v>
      </c>
      <c r="R460" s="117">
        <f t="shared" si="96"/>
        <v>0</v>
      </c>
      <c r="S460" s="104" t="str">
        <f t="shared" si="94"/>
        <v>NO</v>
      </c>
    </row>
    <row r="461" spans="1:19" x14ac:dyDescent="0.25">
      <c r="A461" s="221">
        <f t="shared" si="95"/>
        <v>45749</v>
      </c>
      <c r="B461" s="130" t="str">
        <f t="shared" si="86"/>
        <v/>
      </c>
      <c r="C461" s="217">
        <f t="shared" si="87"/>
        <v>0</v>
      </c>
      <c r="D461" s="217">
        <f t="shared" si="88"/>
        <v>0</v>
      </c>
      <c r="E461" s="218">
        <f>SUMIF(Consolidado!$A$6:$A$380,'TOTALES DIARIOS'!A461,Consolidado!$E$6:$E$380)</f>
        <v>0</v>
      </c>
      <c r="F461" s="218">
        <f>SUMIF(Consolidado!$A$6:$A$380,'TOTALES DIARIOS'!A461,Consolidado!$F$6:$F$380)</f>
        <v>0</v>
      </c>
      <c r="G461" s="218">
        <f>SUMIF(Consolidado!$A$6:$A$380,'TOTALES DIARIOS'!A461,Consolidado!$G$6:$G$380)</f>
        <v>0</v>
      </c>
      <c r="H461" s="219">
        <f t="shared" si="89"/>
        <v>0</v>
      </c>
      <c r="I461" s="99">
        <f t="shared" si="90"/>
        <v>0</v>
      </c>
      <c r="J461" s="99">
        <f t="shared" si="91"/>
        <v>0</v>
      </c>
      <c r="K461" s="113">
        <f t="shared" si="92"/>
        <v>2025</v>
      </c>
      <c r="L461" s="113">
        <f t="shared" si="93"/>
        <v>4</v>
      </c>
      <c r="M461" s="115">
        <f t="array" ref="M461">MIN(IF(Consolidado!$A$6:$A$1000='TOTALES DIARIOS'!A461,IF(Consolidado!$C$6:$C$1000&gt;TIMEVALUE("07:00"),Consolidado!$C$6:$C$1000,1)))</f>
        <v>0</v>
      </c>
      <c r="N461" s="115">
        <f t="array" ref="N461">MIN(IF(Consolidado!$A$6:$A$1000='TOTALES DIARIOS'!A461,IF(Consolidado!$C$6:$C$1000&lt;=M461,Consolidado!$C$6:$C$1000,1)))</f>
        <v>0</v>
      </c>
      <c r="O461" s="115">
        <f t="array" ref="O461">MAX(IF(Consolidado!$A$6:$A$1000='TOTALES DIARIOS'!A461,IF(Consolidado!$D$6:$D$1000&gt;=M461,Consolidado!$D$6:$D$1000,0)))</f>
        <v>0</v>
      </c>
      <c r="P461" s="118">
        <f t="array" ref="P461">MAX(IF(Consolidado!$A$6:$A$1000='TOTALES DIARIOS'!A461,IF(Consolidado!$D$6:$D$1000&lt;=M461,Consolidado!$D$6:$D$1000,0)))</f>
        <v>0</v>
      </c>
      <c r="Q461" s="117">
        <f t="shared" si="97"/>
        <v>0</v>
      </c>
      <c r="R461" s="117">
        <f t="shared" si="96"/>
        <v>0</v>
      </c>
      <c r="S461" s="104" t="str">
        <f t="shared" si="94"/>
        <v>NO</v>
      </c>
    </row>
    <row r="462" spans="1:19" x14ac:dyDescent="0.25">
      <c r="A462" s="221">
        <f t="shared" si="95"/>
        <v>45750</v>
      </c>
      <c r="B462" s="130" t="str">
        <f t="shared" si="86"/>
        <v/>
      </c>
      <c r="C462" s="217">
        <f t="shared" si="87"/>
        <v>0</v>
      </c>
      <c r="D462" s="217">
        <f t="shared" si="88"/>
        <v>0</v>
      </c>
      <c r="E462" s="218">
        <f>SUMIF(Consolidado!$A$6:$A$380,'TOTALES DIARIOS'!A462,Consolidado!$E$6:$E$380)</f>
        <v>0</v>
      </c>
      <c r="F462" s="218">
        <f>SUMIF(Consolidado!$A$6:$A$380,'TOTALES DIARIOS'!A462,Consolidado!$F$6:$F$380)</f>
        <v>0</v>
      </c>
      <c r="G462" s="218">
        <f>SUMIF(Consolidado!$A$6:$A$380,'TOTALES DIARIOS'!A462,Consolidado!$G$6:$G$380)</f>
        <v>0</v>
      </c>
      <c r="H462" s="219">
        <f t="shared" si="89"/>
        <v>0</v>
      </c>
      <c r="I462" s="99">
        <f t="shared" si="90"/>
        <v>0</v>
      </c>
      <c r="J462" s="99">
        <f t="shared" si="91"/>
        <v>0</v>
      </c>
      <c r="K462" s="113">
        <f t="shared" si="92"/>
        <v>2025</v>
      </c>
      <c r="L462" s="113">
        <f t="shared" si="93"/>
        <v>4</v>
      </c>
      <c r="M462" s="115">
        <f t="array" ref="M462">MIN(IF(Consolidado!$A$6:$A$1000='TOTALES DIARIOS'!A462,IF(Consolidado!$C$6:$C$1000&gt;TIMEVALUE("07:00"),Consolidado!$C$6:$C$1000,1)))</f>
        <v>0</v>
      </c>
      <c r="N462" s="115">
        <f t="array" ref="N462">MIN(IF(Consolidado!$A$6:$A$1000='TOTALES DIARIOS'!A462,IF(Consolidado!$C$6:$C$1000&lt;=M462,Consolidado!$C$6:$C$1000,1)))</f>
        <v>0</v>
      </c>
      <c r="O462" s="115">
        <f t="array" ref="O462">MAX(IF(Consolidado!$A$6:$A$1000='TOTALES DIARIOS'!A462,IF(Consolidado!$D$6:$D$1000&gt;=M462,Consolidado!$D$6:$D$1000,0)))</f>
        <v>0</v>
      </c>
      <c r="P462" s="118">
        <f t="array" ref="P462">MAX(IF(Consolidado!$A$6:$A$1000='TOTALES DIARIOS'!A462,IF(Consolidado!$D$6:$D$1000&lt;=M462,Consolidado!$D$6:$D$1000,0)))</f>
        <v>0</v>
      </c>
      <c r="Q462" s="117">
        <f t="shared" si="97"/>
        <v>0</v>
      </c>
      <c r="R462" s="117">
        <f t="shared" si="96"/>
        <v>0</v>
      </c>
      <c r="S462" s="104" t="str">
        <f t="shared" si="94"/>
        <v>NO</v>
      </c>
    </row>
    <row r="463" spans="1:19" x14ac:dyDescent="0.25">
      <c r="A463" s="221">
        <f t="shared" si="95"/>
        <v>45751</v>
      </c>
      <c r="B463" s="130" t="str">
        <f t="shared" si="86"/>
        <v/>
      </c>
      <c r="C463" s="217">
        <f t="shared" si="87"/>
        <v>0</v>
      </c>
      <c r="D463" s="217">
        <f t="shared" si="88"/>
        <v>0</v>
      </c>
      <c r="E463" s="218">
        <f>SUMIF(Consolidado!$A$6:$A$380,'TOTALES DIARIOS'!A463,Consolidado!$E$6:$E$380)</f>
        <v>0</v>
      </c>
      <c r="F463" s="218">
        <f>SUMIF(Consolidado!$A$6:$A$380,'TOTALES DIARIOS'!A463,Consolidado!$F$6:$F$380)</f>
        <v>0</v>
      </c>
      <c r="G463" s="218">
        <f>SUMIF(Consolidado!$A$6:$A$380,'TOTALES DIARIOS'!A463,Consolidado!$G$6:$G$380)</f>
        <v>0</v>
      </c>
      <c r="H463" s="219">
        <f t="shared" si="89"/>
        <v>0</v>
      </c>
      <c r="I463" s="99">
        <f t="shared" si="90"/>
        <v>0</v>
      </c>
      <c r="J463" s="99">
        <f t="shared" si="91"/>
        <v>0</v>
      </c>
      <c r="K463" s="113">
        <f t="shared" si="92"/>
        <v>2025</v>
      </c>
      <c r="L463" s="113">
        <f t="shared" si="93"/>
        <v>4</v>
      </c>
      <c r="M463" s="115">
        <f t="array" ref="M463">MIN(IF(Consolidado!$A$6:$A$1000='TOTALES DIARIOS'!A463,IF(Consolidado!$C$6:$C$1000&gt;TIMEVALUE("07:00"),Consolidado!$C$6:$C$1000,1)))</f>
        <v>0</v>
      </c>
      <c r="N463" s="115">
        <f t="array" ref="N463">MIN(IF(Consolidado!$A$6:$A$1000='TOTALES DIARIOS'!A463,IF(Consolidado!$C$6:$C$1000&lt;=M463,Consolidado!$C$6:$C$1000,1)))</f>
        <v>0</v>
      </c>
      <c r="O463" s="115">
        <f t="array" ref="O463">MAX(IF(Consolidado!$A$6:$A$1000='TOTALES DIARIOS'!A463,IF(Consolidado!$D$6:$D$1000&gt;=M463,Consolidado!$D$6:$D$1000,0)))</f>
        <v>0</v>
      </c>
      <c r="P463" s="118">
        <f t="array" ref="P463">MAX(IF(Consolidado!$A$6:$A$1000='TOTALES DIARIOS'!A463,IF(Consolidado!$D$6:$D$1000&lt;=M463,Consolidado!$D$6:$D$1000,0)))</f>
        <v>0</v>
      </c>
      <c r="Q463" s="117">
        <f t="shared" si="97"/>
        <v>0</v>
      </c>
      <c r="R463" s="117">
        <f t="shared" si="96"/>
        <v>0</v>
      </c>
      <c r="S463" s="104" t="str">
        <f t="shared" si="94"/>
        <v>NO</v>
      </c>
    </row>
    <row r="464" spans="1:19" x14ac:dyDescent="0.25">
      <c r="A464" s="221">
        <f t="shared" si="95"/>
        <v>45752</v>
      </c>
      <c r="B464" s="130" t="str">
        <f t="shared" si="86"/>
        <v/>
      </c>
      <c r="C464" s="217">
        <f t="shared" si="87"/>
        <v>0</v>
      </c>
      <c r="D464" s="217">
        <f t="shared" si="88"/>
        <v>0</v>
      </c>
      <c r="E464" s="218">
        <f>SUMIF(Consolidado!$A$6:$A$380,'TOTALES DIARIOS'!A464,Consolidado!$E$6:$E$380)</f>
        <v>0</v>
      </c>
      <c r="F464" s="218">
        <f>SUMIF(Consolidado!$A$6:$A$380,'TOTALES DIARIOS'!A464,Consolidado!$F$6:$F$380)</f>
        <v>0</v>
      </c>
      <c r="G464" s="218">
        <f>SUMIF(Consolidado!$A$6:$A$380,'TOTALES DIARIOS'!A464,Consolidado!$G$6:$G$380)</f>
        <v>0</v>
      </c>
      <c r="H464" s="219">
        <f t="shared" si="89"/>
        <v>0</v>
      </c>
      <c r="I464" s="99">
        <f t="shared" si="90"/>
        <v>0</v>
      </c>
      <c r="J464" s="99">
        <f t="shared" si="91"/>
        <v>0</v>
      </c>
      <c r="K464" s="113">
        <f t="shared" si="92"/>
        <v>2025</v>
      </c>
      <c r="L464" s="113">
        <f t="shared" si="93"/>
        <v>4</v>
      </c>
      <c r="M464" s="115">
        <f t="array" ref="M464">MIN(IF(Consolidado!$A$6:$A$1000='TOTALES DIARIOS'!A464,IF(Consolidado!$C$6:$C$1000&gt;TIMEVALUE("07:00"),Consolidado!$C$6:$C$1000,1)))</f>
        <v>0</v>
      </c>
      <c r="N464" s="115">
        <f t="array" ref="N464">MIN(IF(Consolidado!$A$6:$A$1000='TOTALES DIARIOS'!A464,IF(Consolidado!$C$6:$C$1000&lt;=M464,Consolidado!$C$6:$C$1000,1)))</f>
        <v>0</v>
      </c>
      <c r="O464" s="115">
        <f t="array" ref="O464">MAX(IF(Consolidado!$A$6:$A$1000='TOTALES DIARIOS'!A464,IF(Consolidado!$D$6:$D$1000&gt;=M464,Consolidado!$D$6:$D$1000,0)))</f>
        <v>0</v>
      </c>
      <c r="P464" s="118">
        <f t="array" ref="P464">MAX(IF(Consolidado!$A$6:$A$1000='TOTALES DIARIOS'!A464,IF(Consolidado!$D$6:$D$1000&lt;=M464,Consolidado!$D$6:$D$1000,0)))</f>
        <v>0</v>
      </c>
      <c r="Q464" s="117">
        <f t="shared" si="97"/>
        <v>0</v>
      </c>
      <c r="R464" s="117">
        <f t="shared" si="96"/>
        <v>0</v>
      </c>
      <c r="S464" s="104" t="str">
        <f t="shared" si="94"/>
        <v>NO</v>
      </c>
    </row>
    <row r="465" spans="1:19" x14ac:dyDescent="0.25">
      <c r="A465" s="221">
        <f t="shared" si="95"/>
        <v>45753</v>
      </c>
      <c r="B465" s="130" t="str">
        <f t="shared" si="86"/>
        <v/>
      </c>
      <c r="C465" s="217">
        <f t="shared" si="87"/>
        <v>0</v>
      </c>
      <c r="D465" s="217">
        <f t="shared" si="88"/>
        <v>0</v>
      </c>
      <c r="E465" s="218">
        <f>SUMIF(Consolidado!$A$6:$A$380,'TOTALES DIARIOS'!A465,Consolidado!$E$6:$E$380)</f>
        <v>0</v>
      </c>
      <c r="F465" s="218">
        <f>SUMIF(Consolidado!$A$6:$A$380,'TOTALES DIARIOS'!A465,Consolidado!$F$6:$F$380)</f>
        <v>0</v>
      </c>
      <c r="G465" s="218">
        <f>SUMIF(Consolidado!$A$6:$A$380,'TOTALES DIARIOS'!A465,Consolidado!$G$6:$G$380)</f>
        <v>0</v>
      </c>
      <c r="H465" s="219">
        <f t="shared" si="89"/>
        <v>0</v>
      </c>
      <c r="I465" s="99">
        <f t="shared" si="90"/>
        <v>0</v>
      </c>
      <c r="J465" s="99">
        <f t="shared" si="91"/>
        <v>0</v>
      </c>
      <c r="K465" s="113">
        <f t="shared" si="92"/>
        <v>2025</v>
      </c>
      <c r="L465" s="113">
        <f t="shared" si="93"/>
        <v>4</v>
      </c>
      <c r="M465" s="115">
        <f t="array" ref="M465">MIN(IF(Consolidado!$A$6:$A$1000='TOTALES DIARIOS'!A465,IF(Consolidado!$C$6:$C$1000&gt;TIMEVALUE("07:00"),Consolidado!$C$6:$C$1000,1)))</f>
        <v>0</v>
      </c>
      <c r="N465" s="115">
        <f t="array" ref="N465">MIN(IF(Consolidado!$A$6:$A$1000='TOTALES DIARIOS'!A465,IF(Consolidado!$C$6:$C$1000&lt;=M465,Consolidado!$C$6:$C$1000,1)))</f>
        <v>0</v>
      </c>
      <c r="O465" s="115">
        <f t="array" ref="O465">MAX(IF(Consolidado!$A$6:$A$1000='TOTALES DIARIOS'!A465,IF(Consolidado!$D$6:$D$1000&gt;=M465,Consolidado!$D$6:$D$1000,0)))</f>
        <v>0</v>
      </c>
      <c r="P465" s="118">
        <f t="array" ref="P465">MAX(IF(Consolidado!$A$6:$A$1000='TOTALES DIARIOS'!A465,IF(Consolidado!$D$6:$D$1000&lt;=M465,Consolidado!$D$6:$D$1000,0)))</f>
        <v>0</v>
      </c>
      <c r="Q465" s="117">
        <f t="shared" si="97"/>
        <v>0</v>
      </c>
      <c r="R465" s="117">
        <f t="shared" si="96"/>
        <v>0</v>
      </c>
      <c r="S465" s="104" t="str">
        <f t="shared" si="94"/>
        <v>NO</v>
      </c>
    </row>
    <row r="466" spans="1:19" x14ac:dyDescent="0.25">
      <c r="A466" s="221">
        <f t="shared" si="95"/>
        <v>45754</v>
      </c>
      <c r="B466" s="130" t="str">
        <f t="shared" si="86"/>
        <v/>
      </c>
      <c r="C466" s="217">
        <f t="shared" si="87"/>
        <v>0</v>
      </c>
      <c r="D466" s="217">
        <f t="shared" si="88"/>
        <v>0</v>
      </c>
      <c r="E466" s="218">
        <f>SUMIF(Consolidado!$A$6:$A$380,'TOTALES DIARIOS'!A466,Consolidado!$E$6:$E$380)</f>
        <v>0</v>
      </c>
      <c r="F466" s="218">
        <f>SUMIF(Consolidado!$A$6:$A$380,'TOTALES DIARIOS'!A466,Consolidado!$F$6:$F$380)</f>
        <v>0</v>
      </c>
      <c r="G466" s="218">
        <f>SUMIF(Consolidado!$A$6:$A$380,'TOTALES DIARIOS'!A466,Consolidado!$G$6:$G$380)</f>
        <v>0</v>
      </c>
      <c r="H466" s="219">
        <f t="shared" si="89"/>
        <v>0</v>
      </c>
      <c r="I466" s="99">
        <f t="shared" si="90"/>
        <v>0</v>
      </c>
      <c r="J466" s="99">
        <f t="shared" si="91"/>
        <v>0</v>
      </c>
      <c r="K466" s="113">
        <f t="shared" si="92"/>
        <v>2025</v>
      </c>
      <c r="L466" s="113">
        <f t="shared" si="93"/>
        <v>4</v>
      </c>
      <c r="M466" s="115">
        <f t="array" ref="M466">MIN(IF(Consolidado!$A$6:$A$1000='TOTALES DIARIOS'!A466,IF(Consolidado!$C$6:$C$1000&gt;TIMEVALUE("07:00"),Consolidado!$C$6:$C$1000,1)))</f>
        <v>0</v>
      </c>
      <c r="N466" s="115">
        <f t="array" ref="N466">MIN(IF(Consolidado!$A$6:$A$1000='TOTALES DIARIOS'!A466,IF(Consolidado!$C$6:$C$1000&lt;=M466,Consolidado!$C$6:$C$1000,1)))</f>
        <v>0</v>
      </c>
      <c r="O466" s="115">
        <f t="array" ref="O466">MAX(IF(Consolidado!$A$6:$A$1000='TOTALES DIARIOS'!A466,IF(Consolidado!$D$6:$D$1000&gt;=M466,Consolidado!$D$6:$D$1000,0)))</f>
        <v>0</v>
      </c>
      <c r="P466" s="118">
        <f t="array" ref="P466">MAX(IF(Consolidado!$A$6:$A$1000='TOTALES DIARIOS'!A466,IF(Consolidado!$D$6:$D$1000&lt;=M466,Consolidado!$D$6:$D$1000,0)))</f>
        <v>0</v>
      </c>
      <c r="Q466" s="117">
        <f t="shared" si="97"/>
        <v>0</v>
      </c>
      <c r="R466" s="117">
        <f t="shared" si="96"/>
        <v>0</v>
      </c>
      <c r="S466" s="104" t="str">
        <f t="shared" si="94"/>
        <v>NO</v>
      </c>
    </row>
    <row r="467" spans="1:19" x14ac:dyDescent="0.25">
      <c r="A467" s="221">
        <f t="shared" si="95"/>
        <v>45755</v>
      </c>
      <c r="B467" s="130" t="str">
        <f t="shared" si="86"/>
        <v/>
      </c>
      <c r="C467" s="217">
        <f t="shared" si="87"/>
        <v>0</v>
      </c>
      <c r="D467" s="217">
        <f t="shared" si="88"/>
        <v>0</v>
      </c>
      <c r="E467" s="218">
        <f>SUMIF(Consolidado!$A$6:$A$380,'TOTALES DIARIOS'!A467,Consolidado!$E$6:$E$380)</f>
        <v>0</v>
      </c>
      <c r="F467" s="218">
        <f>SUMIF(Consolidado!$A$6:$A$380,'TOTALES DIARIOS'!A467,Consolidado!$F$6:$F$380)</f>
        <v>0</v>
      </c>
      <c r="G467" s="218">
        <f>SUMIF(Consolidado!$A$6:$A$380,'TOTALES DIARIOS'!A467,Consolidado!$G$6:$G$380)</f>
        <v>0</v>
      </c>
      <c r="H467" s="219">
        <f t="shared" si="89"/>
        <v>0</v>
      </c>
      <c r="I467" s="99">
        <f t="shared" si="90"/>
        <v>0</v>
      </c>
      <c r="J467" s="99">
        <f t="shared" si="91"/>
        <v>0</v>
      </c>
      <c r="K467" s="113">
        <f t="shared" si="92"/>
        <v>2025</v>
      </c>
      <c r="L467" s="113">
        <f t="shared" si="93"/>
        <v>4</v>
      </c>
      <c r="M467" s="115">
        <f t="array" ref="M467">MIN(IF(Consolidado!$A$6:$A$1000='TOTALES DIARIOS'!A467,IF(Consolidado!$C$6:$C$1000&gt;TIMEVALUE("07:00"),Consolidado!$C$6:$C$1000,1)))</f>
        <v>0</v>
      </c>
      <c r="N467" s="115">
        <f t="array" ref="N467">MIN(IF(Consolidado!$A$6:$A$1000='TOTALES DIARIOS'!A467,IF(Consolidado!$C$6:$C$1000&lt;=M467,Consolidado!$C$6:$C$1000,1)))</f>
        <v>0</v>
      </c>
      <c r="O467" s="115">
        <f t="array" ref="O467">MAX(IF(Consolidado!$A$6:$A$1000='TOTALES DIARIOS'!A467,IF(Consolidado!$D$6:$D$1000&gt;=M467,Consolidado!$D$6:$D$1000,0)))</f>
        <v>0</v>
      </c>
      <c r="P467" s="118">
        <f t="array" ref="P467">MAX(IF(Consolidado!$A$6:$A$1000='TOTALES DIARIOS'!A467,IF(Consolidado!$D$6:$D$1000&lt;=M467,Consolidado!$D$6:$D$1000,0)))</f>
        <v>0</v>
      </c>
      <c r="Q467" s="117">
        <f t="shared" si="97"/>
        <v>0</v>
      </c>
      <c r="R467" s="117">
        <f t="shared" si="96"/>
        <v>0</v>
      </c>
      <c r="S467" s="104" t="str">
        <f t="shared" si="94"/>
        <v>NO</v>
      </c>
    </row>
    <row r="468" spans="1:19" x14ac:dyDescent="0.25">
      <c r="A468" s="221">
        <f t="shared" si="95"/>
        <v>45756</v>
      </c>
      <c r="B468" s="130" t="str">
        <f t="shared" si="86"/>
        <v/>
      </c>
      <c r="C468" s="217">
        <f t="shared" si="87"/>
        <v>0</v>
      </c>
      <c r="D468" s="217">
        <f t="shared" si="88"/>
        <v>0</v>
      </c>
      <c r="E468" s="218">
        <f>SUMIF(Consolidado!$A$6:$A$380,'TOTALES DIARIOS'!A468,Consolidado!$E$6:$E$380)</f>
        <v>0</v>
      </c>
      <c r="F468" s="218">
        <f>SUMIF(Consolidado!$A$6:$A$380,'TOTALES DIARIOS'!A468,Consolidado!$F$6:$F$380)</f>
        <v>0</v>
      </c>
      <c r="G468" s="218">
        <f>SUMIF(Consolidado!$A$6:$A$380,'TOTALES DIARIOS'!A468,Consolidado!$G$6:$G$380)</f>
        <v>0</v>
      </c>
      <c r="H468" s="219">
        <f t="shared" si="89"/>
        <v>0</v>
      </c>
      <c r="I468" s="99">
        <f t="shared" si="90"/>
        <v>0</v>
      </c>
      <c r="J468" s="99">
        <f t="shared" si="91"/>
        <v>0</v>
      </c>
      <c r="K468" s="113">
        <f t="shared" si="92"/>
        <v>2025</v>
      </c>
      <c r="L468" s="113">
        <f t="shared" si="93"/>
        <v>4</v>
      </c>
      <c r="M468" s="115">
        <f t="array" ref="M468">MIN(IF(Consolidado!$A$6:$A$1000='TOTALES DIARIOS'!A468,IF(Consolidado!$C$6:$C$1000&gt;TIMEVALUE("07:00"),Consolidado!$C$6:$C$1000,1)))</f>
        <v>0</v>
      </c>
      <c r="N468" s="115">
        <f t="array" ref="N468">MIN(IF(Consolidado!$A$6:$A$1000='TOTALES DIARIOS'!A468,IF(Consolidado!$C$6:$C$1000&lt;=M468,Consolidado!$C$6:$C$1000,1)))</f>
        <v>0</v>
      </c>
      <c r="O468" s="115">
        <f t="array" ref="O468">MAX(IF(Consolidado!$A$6:$A$1000='TOTALES DIARIOS'!A468,IF(Consolidado!$D$6:$D$1000&gt;=M468,Consolidado!$D$6:$D$1000,0)))</f>
        <v>0</v>
      </c>
      <c r="P468" s="118">
        <f t="array" ref="P468">MAX(IF(Consolidado!$A$6:$A$1000='TOTALES DIARIOS'!A468,IF(Consolidado!$D$6:$D$1000&lt;=M468,Consolidado!$D$6:$D$1000,0)))</f>
        <v>0</v>
      </c>
      <c r="Q468" s="117">
        <f t="shared" si="97"/>
        <v>0</v>
      </c>
      <c r="R468" s="117">
        <f t="shared" si="96"/>
        <v>0</v>
      </c>
      <c r="S468" s="104" t="str">
        <f t="shared" si="94"/>
        <v>NO</v>
      </c>
    </row>
    <row r="469" spans="1:19" x14ac:dyDescent="0.25">
      <c r="A469" s="221">
        <f t="shared" si="95"/>
        <v>45757</v>
      </c>
      <c r="B469" s="130" t="str">
        <f t="shared" si="86"/>
        <v/>
      </c>
      <c r="C469" s="217">
        <f t="shared" si="87"/>
        <v>0</v>
      </c>
      <c r="D469" s="217">
        <f t="shared" si="88"/>
        <v>0</v>
      </c>
      <c r="E469" s="218">
        <f>SUMIF(Consolidado!$A$6:$A$380,'TOTALES DIARIOS'!A469,Consolidado!$E$6:$E$380)</f>
        <v>0</v>
      </c>
      <c r="F469" s="218">
        <f>SUMIF(Consolidado!$A$6:$A$380,'TOTALES DIARIOS'!A469,Consolidado!$F$6:$F$380)</f>
        <v>0</v>
      </c>
      <c r="G469" s="218">
        <f>SUMIF(Consolidado!$A$6:$A$380,'TOTALES DIARIOS'!A469,Consolidado!$G$6:$G$380)</f>
        <v>0</v>
      </c>
      <c r="H469" s="219">
        <f t="shared" si="89"/>
        <v>0</v>
      </c>
      <c r="I469" s="99">
        <f t="shared" si="90"/>
        <v>0</v>
      </c>
      <c r="J469" s="99">
        <f t="shared" si="91"/>
        <v>0</v>
      </c>
      <c r="K469" s="113">
        <f t="shared" si="92"/>
        <v>2025</v>
      </c>
      <c r="L469" s="113">
        <f t="shared" si="93"/>
        <v>4</v>
      </c>
      <c r="M469" s="115">
        <f t="array" ref="M469">MIN(IF(Consolidado!$A$6:$A$1000='TOTALES DIARIOS'!A469,IF(Consolidado!$C$6:$C$1000&gt;TIMEVALUE("07:00"),Consolidado!$C$6:$C$1000,1)))</f>
        <v>0</v>
      </c>
      <c r="N469" s="115">
        <f t="array" ref="N469">MIN(IF(Consolidado!$A$6:$A$1000='TOTALES DIARIOS'!A469,IF(Consolidado!$C$6:$C$1000&lt;=M469,Consolidado!$C$6:$C$1000,1)))</f>
        <v>0</v>
      </c>
      <c r="O469" s="115">
        <f t="array" ref="O469">MAX(IF(Consolidado!$A$6:$A$1000='TOTALES DIARIOS'!A469,IF(Consolidado!$D$6:$D$1000&gt;=M469,Consolidado!$D$6:$D$1000,0)))</f>
        <v>0</v>
      </c>
      <c r="P469" s="118">
        <f t="array" ref="P469">MAX(IF(Consolidado!$A$6:$A$1000='TOTALES DIARIOS'!A469,IF(Consolidado!$D$6:$D$1000&lt;=M469,Consolidado!$D$6:$D$1000,0)))</f>
        <v>0</v>
      </c>
      <c r="Q469" s="117">
        <f t="shared" si="97"/>
        <v>0</v>
      </c>
      <c r="R469" s="117">
        <f t="shared" si="96"/>
        <v>0</v>
      </c>
      <c r="S469" s="104" t="str">
        <f t="shared" si="94"/>
        <v>NO</v>
      </c>
    </row>
    <row r="470" spans="1:19" x14ac:dyDescent="0.25">
      <c r="A470" s="221">
        <f t="shared" si="95"/>
        <v>45758</v>
      </c>
      <c r="B470" s="130" t="str">
        <f t="shared" si="86"/>
        <v/>
      </c>
      <c r="C470" s="217">
        <f t="shared" si="87"/>
        <v>0</v>
      </c>
      <c r="D470" s="217">
        <f t="shared" si="88"/>
        <v>0</v>
      </c>
      <c r="E470" s="218">
        <f>SUMIF(Consolidado!$A$6:$A$380,'TOTALES DIARIOS'!A470,Consolidado!$E$6:$E$380)</f>
        <v>0</v>
      </c>
      <c r="F470" s="218">
        <f>SUMIF(Consolidado!$A$6:$A$380,'TOTALES DIARIOS'!A470,Consolidado!$F$6:$F$380)</f>
        <v>0</v>
      </c>
      <c r="G470" s="218">
        <f>SUMIF(Consolidado!$A$6:$A$380,'TOTALES DIARIOS'!A470,Consolidado!$G$6:$G$380)</f>
        <v>0</v>
      </c>
      <c r="H470" s="219">
        <f t="shared" si="89"/>
        <v>0</v>
      </c>
      <c r="I470" s="99">
        <f t="shared" si="90"/>
        <v>0</v>
      </c>
      <c r="J470" s="99">
        <f t="shared" si="91"/>
        <v>0</v>
      </c>
      <c r="K470" s="113">
        <f t="shared" si="92"/>
        <v>2025</v>
      </c>
      <c r="L470" s="113">
        <f t="shared" si="93"/>
        <v>4</v>
      </c>
      <c r="M470" s="115">
        <f t="array" ref="M470">MIN(IF(Consolidado!$A$6:$A$1000='TOTALES DIARIOS'!A470,IF(Consolidado!$C$6:$C$1000&gt;TIMEVALUE("07:00"),Consolidado!$C$6:$C$1000,1)))</f>
        <v>0</v>
      </c>
      <c r="N470" s="115">
        <f t="array" ref="N470">MIN(IF(Consolidado!$A$6:$A$1000='TOTALES DIARIOS'!A470,IF(Consolidado!$C$6:$C$1000&lt;=M470,Consolidado!$C$6:$C$1000,1)))</f>
        <v>0</v>
      </c>
      <c r="O470" s="115">
        <f t="array" ref="O470">MAX(IF(Consolidado!$A$6:$A$1000='TOTALES DIARIOS'!A470,IF(Consolidado!$D$6:$D$1000&gt;=M470,Consolidado!$D$6:$D$1000,0)))</f>
        <v>0</v>
      </c>
      <c r="P470" s="118">
        <f t="array" ref="P470">MAX(IF(Consolidado!$A$6:$A$1000='TOTALES DIARIOS'!A470,IF(Consolidado!$D$6:$D$1000&lt;=M470,Consolidado!$D$6:$D$1000,0)))</f>
        <v>0</v>
      </c>
      <c r="Q470" s="117">
        <f t="shared" si="97"/>
        <v>0</v>
      </c>
      <c r="R470" s="117">
        <f t="shared" si="96"/>
        <v>0</v>
      </c>
      <c r="S470" s="104" t="str">
        <f t="shared" si="94"/>
        <v>NO</v>
      </c>
    </row>
    <row r="471" spans="1:19" x14ac:dyDescent="0.25">
      <c r="A471" s="221">
        <f t="shared" si="95"/>
        <v>45759</v>
      </c>
      <c r="B471" s="130" t="str">
        <f t="shared" si="86"/>
        <v/>
      </c>
      <c r="C471" s="217">
        <f t="shared" si="87"/>
        <v>0</v>
      </c>
      <c r="D471" s="217">
        <f t="shared" si="88"/>
        <v>0</v>
      </c>
      <c r="E471" s="218">
        <f>SUMIF(Consolidado!$A$6:$A$380,'TOTALES DIARIOS'!A471,Consolidado!$E$6:$E$380)</f>
        <v>0</v>
      </c>
      <c r="F471" s="218">
        <f>SUMIF(Consolidado!$A$6:$A$380,'TOTALES DIARIOS'!A471,Consolidado!$F$6:$F$380)</f>
        <v>0</v>
      </c>
      <c r="G471" s="218">
        <f>SUMIF(Consolidado!$A$6:$A$380,'TOTALES DIARIOS'!A471,Consolidado!$G$6:$G$380)</f>
        <v>0</v>
      </c>
      <c r="H471" s="219">
        <f t="shared" si="89"/>
        <v>0</v>
      </c>
      <c r="I471" s="99">
        <f t="shared" si="90"/>
        <v>0</v>
      </c>
      <c r="J471" s="99">
        <f t="shared" si="91"/>
        <v>0</v>
      </c>
      <c r="K471" s="113">
        <f t="shared" si="92"/>
        <v>2025</v>
      </c>
      <c r="L471" s="113">
        <f t="shared" si="93"/>
        <v>4</v>
      </c>
      <c r="M471" s="115">
        <f t="array" ref="M471">MIN(IF(Consolidado!$A$6:$A$1000='TOTALES DIARIOS'!A471,IF(Consolidado!$C$6:$C$1000&gt;TIMEVALUE("07:00"),Consolidado!$C$6:$C$1000,1)))</f>
        <v>0</v>
      </c>
      <c r="N471" s="115">
        <f t="array" ref="N471">MIN(IF(Consolidado!$A$6:$A$1000='TOTALES DIARIOS'!A471,IF(Consolidado!$C$6:$C$1000&lt;=M471,Consolidado!$C$6:$C$1000,1)))</f>
        <v>0</v>
      </c>
      <c r="O471" s="115">
        <f t="array" ref="O471">MAX(IF(Consolidado!$A$6:$A$1000='TOTALES DIARIOS'!A471,IF(Consolidado!$D$6:$D$1000&gt;=M471,Consolidado!$D$6:$D$1000,0)))</f>
        <v>0</v>
      </c>
      <c r="P471" s="118">
        <f t="array" ref="P471">MAX(IF(Consolidado!$A$6:$A$1000='TOTALES DIARIOS'!A471,IF(Consolidado!$D$6:$D$1000&lt;=M471,Consolidado!$D$6:$D$1000,0)))</f>
        <v>0</v>
      </c>
      <c r="Q471" s="117">
        <f t="shared" si="97"/>
        <v>0</v>
      </c>
      <c r="R471" s="117">
        <f t="shared" si="96"/>
        <v>0</v>
      </c>
      <c r="S471" s="104" t="str">
        <f t="shared" si="94"/>
        <v>NO</v>
      </c>
    </row>
    <row r="472" spans="1:19" x14ac:dyDescent="0.25">
      <c r="A472" s="221">
        <f t="shared" si="95"/>
        <v>45760</v>
      </c>
      <c r="B472" s="130" t="str">
        <f t="shared" si="86"/>
        <v/>
      </c>
      <c r="C472" s="217">
        <f t="shared" si="87"/>
        <v>0</v>
      </c>
      <c r="D472" s="217">
        <f t="shared" si="88"/>
        <v>0</v>
      </c>
      <c r="E472" s="218">
        <f>SUMIF(Consolidado!$A$6:$A$380,'TOTALES DIARIOS'!A472,Consolidado!$E$6:$E$380)</f>
        <v>0</v>
      </c>
      <c r="F472" s="218">
        <f>SUMIF(Consolidado!$A$6:$A$380,'TOTALES DIARIOS'!A472,Consolidado!$F$6:$F$380)</f>
        <v>0</v>
      </c>
      <c r="G472" s="218">
        <f>SUMIF(Consolidado!$A$6:$A$380,'TOTALES DIARIOS'!A472,Consolidado!$G$6:$G$380)</f>
        <v>0</v>
      </c>
      <c r="H472" s="219">
        <f t="shared" si="89"/>
        <v>0</v>
      </c>
      <c r="I472" s="99">
        <f t="shared" si="90"/>
        <v>0</v>
      </c>
      <c r="J472" s="99">
        <f t="shared" si="91"/>
        <v>0</v>
      </c>
      <c r="K472" s="113">
        <f t="shared" si="92"/>
        <v>2025</v>
      </c>
      <c r="L472" s="113">
        <f t="shared" si="93"/>
        <v>4</v>
      </c>
      <c r="M472" s="115">
        <f t="array" ref="M472">MIN(IF(Consolidado!$A$6:$A$1000='TOTALES DIARIOS'!A472,IF(Consolidado!$C$6:$C$1000&gt;TIMEVALUE("07:00"),Consolidado!$C$6:$C$1000,1)))</f>
        <v>0</v>
      </c>
      <c r="N472" s="115">
        <f t="array" ref="N472">MIN(IF(Consolidado!$A$6:$A$1000='TOTALES DIARIOS'!A472,IF(Consolidado!$C$6:$C$1000&lt;=M472,Consolidado!$C$6:$C$1000,1)))</f>
        <v>0</v>
      </c>
      <c r="O472" s="115">
        <f t="array" ref="O472">MAX(IF(Consolidado!$A$6:$A$1000='TOTALES DIARIOS'!A472,IF(Consolidado!$D$6:$D$1000&gt;=M472,Consolidado!$D$6:$D$1000,0)))</f>
        <v>0</v>
      </c>
      <c r="P472" s="118">
        <f t="array" ref="P472">MAX(IF(Consolidado!$A$6:$A$1000='TOTALES DIARIOS'!A472,IF(Consolidado!$D$6:$D$1000&lt;=M472,Consolidado!$D$6:$D$1000,0)))</f>
        <v>0</v>
      </c>
      <c r="Q472" s="117">
        <f t="shared" si="97"/>
        <v>0</v>
      </c>
      <c r="R472" s="117">
        <f t="shared" si="96"/>
        <v>0</v>
      </c>
      <c r="S472" s="104" t="str">
        <f t="shared" si="94"/>
        <v>NO</v>
      </c>
    </row>
    <row r="473" spans="1:19" x14ac:dyDescent="0.25">
      <c r="A473" s="221">
        <f t="shared" si="95"/>
        <v>45761</v>
      </c>
      <c r="B473" s="130" t="str">
        <f t="shared" si="86"/>
        <v/>
      </c>
      <c r="C473" s="217">
        <f t="shared" si="87"/>
        <v>0</v>
      </c>
      <c r="D473" s="217">
        <f t="shared" si="88"/>
        <v>0</v>
      </c>
      <c r="E473" s="218">
        <f>SUMIF(Consolidado!$A$6:$A$380,'TOTALES DIARIOS'!A473,Consolidado!$E$6:$E$380)</f>
        <v>0</v>
      </c>
      <c r="F473" s="218">
        <f>SUMIF(Consolidado!$A$6:$A$380,'TOTALES DIARIOS'!A473,Consolidado!$F$6:$F$380)</f>
        <v>0</v>
      </c>
      <c r="G473" s="218">
        <f>SUMIF(Consolidado!$A$6:$A$380,'TOTALES DIARIOS'!A473,Consolidado!$G$6:$G$380)</f>
        <v>0</v>
      </c>
      <c r="H473" s="219">
        <f t="shared" si="89"/>
        <v>0</v>
      </c>
      <c r="I473" s="99">
        <f t="shared" si="90"/>
        <v>0</v>
      </c>
      <c r="J473" s="99">
        <f t="shared" si="91"/>
        <v>0</v>
      </c>
      <c r="K473" s="113">
        <f t="shared" si="92"/>
        <v>2025</v>
      </c>
      <c r="L473" s="113">
        <f t="shared" si="93"/>
        <v>4</v>
      </c>
      <c r="M473" s="115">
        <f t="array" ref="M473">MIN(IF(Consolidado!$A$6:$A$1000='TOTALES DIARIOS'!A473,IF(Consolidado!$C$6:$C$1000&gt;TIMEVALUE("07:00"),Consolidado!$C$6:$C$1000,1)))</f>
        <v>0</v>
      </c>
      <c r="N473" s="115">
        <f t="array" ref="N473">MIN(IF(Consolidado!$A$6:$A$1000='TOTALES DIARIOS'!A473,IF(Consolidado!$C$6:$C$1000&lt;=M473,Consolidado!$C$6:$C$1000,1)))</f>
        <v>0</v>
      </c>
      <c r="O473" s="115">
        <f t="array" ref="O473">MAX(IF(Consolidado!$A$6:$A$1000='TOTALES DIARIOS'!A473,IF(Consolidado!$D$6:$D$1000&gt;=M473,Consolidado!$D$6:$D$1000,0)))</f>
        <v>0</v>
      </c>
      <c r="P473" s="118">
        <f t="array" ref="P473">MAX(IF(Consolidado!$A$6:$A$1000='TOTALES DIARIOS'!A473,IF(Consolidado!$D$6:$D$1000&lt;=M473,Consolidado!$D$6:$D$1000,0)))</f>
        <v>0</v>
      </c>
      <c r="Q473" s="117">
        <f t="shared" si="97"/>
        <v>0</v>
      </c>
      <c r="R473" s="117">
        <f t="shared" si="96"/>
        <v>0</v>
      </c>
      <c r="S473" s="104" t="str">
        <f t="shared" si="94"/>
        <v>NO</v>
      </c>
    </row>
    <row r="474" spans="1:19" x14ac:dyDescent="0.25">
      <c r="A474" s="221">
        <f t="shared" si="95"/>
        <v>45762</v>
      </c>
      <c r="B474" s="130" t="str">
        <f t="shared" si="86"/>
        <v/>
      </c>
      <c r="C474" s="217">
        <f t="shared" si="87"/>
        <v>0</v>
      </c>
      <c r="D474" s="217">
        <f t="shared" si="88"/>
        <v>0</v>
      </c>
      <c r="E474" s="218">
        <f>SUMIF(Consolidado!$A$6:$A$380,'TOTALES DIARIOS'!A474,Consolidado!$E$6:$E$380)</f>
        <v>0</v>
      </c>
      <c r="F474" s="218">
        <f>SUMIF(Consolidado!$A$6:$A$380,'TOTALES DIARIOS'!A474,Consolidado!$F$6:$F$380)</f>
        <v>0</v>
      </c>
      <c r="G474" s="218">
        <f>SUMIF(Consolidado!$A$6:$A$380,'TOTALES DIARIOS'!A474,Consolidado!$G$6:$G$380)</f>
        <v>0</v>
      </c>
      <c r="H474" s="219">
        <f t="shared" si="89"/>
        <v>0</v>
      </c>
      <c r="I474" s="99">
        <f t="shared" si="90"/>
        <v>0</v>
      </c>
      <c r="J474" s="99">
        <f t="shared" si="91"/>
        <v>0</v>
      </c>
      <c r="K474" s="113">
        <f t="shared" si="92"/>
        <v>2025</v>
      </c>
      <c r="L474" s="113">
        <f t="shared" si="93"/>
        <v>4</v>
      </c>
      <c r="M474" s="115">
        <f t="array" ref="M474">MIN(IF(Consolidado!$A$6:$A$1000='TOTALES DIARIOS'!A474,IF(Consolidado!$C$6:$C$1000&gt;TIMEVALUE("07:00"),Consolidado!$C$6:$C$1000,1)))</f>
        <v>0</v>
      </c>
      <c r="N474" s="115">
        <f t="array" ref="N474">MIN(IF(Consolidado!$A$6:$A$1000='TOTALES DIARIOS'!A474,IF(Consolidado!$C$6:$C$1000&lt;=M474,Consolidado!$C$6:$C$1000,1)))</f>
        <v>0</v>
      </c>
      <c r="O474" s="115">
        <f t="array" ref="O474">MAX(IF(Consolidado!$A$6:$A$1000='TOTALES DIARIOS'!A474,IF(Consolidado!$D$6:$D$1000&gt;=M474,Consolidado!$D$6:$D$1000,0)))</f>
        <v>0</v>
      </c>
      <c r="P474" s="118">
        <f t="array" ref="P474">MAX(IF(Consolidado!$A$6:$A$1000='TOTALES DIARIOS'!A474,IF(Consolidado!$D$6:$D$1000&lt;=M474,Consolidado!$D$6:$D$1000,0)))</f>
        <v>0</v>
      </c>
      <c r="Q474" s="117">
        <f t="shared" si="97"/>
        <v>0</v>
      </c>
      <c r="R474" s="117">
        <f t="shared" si="96"/>
        <v>0</v>
      </c>
      <c r="S474" s="104" t="str">
        <f t="shared" si="94"/>
        <v>NO</v>
      </c>
    </row>
    <row r="475" spans="1:19" x14ac:dyDescent="0.25">
      <c r="A475" s="221">
        <f t="shared" si="95"/>
        <v>45763</v>
      </c>
      <c r="B475" s="130" t="str">
        <f t="shared" si="86"/>
        <v/>
      </c>
      <c r="C475" s="217">
        <f t="shared" si="87"/>
        <v>0</v>
      </c>
      <c r="D475" s="217">
        <f t="shared" si="88"/>
        <v>0</v>
      </c>
      <c r="E475" s="218">
        <f>SUMIF(Consolidado!$A$6:$A$380,'TOTALES DIARIOS'!A475,Consolidado!$E$6:$E$380)</f>
        <v>0</v>
      </c>
      <c r="F475" s="218">
        <f>SUMIF(Consolidado!$A$6:$A$380,'TOTALES DIARIOS'!A475,Consolidado!$F$6:$F$380)</f>
        <v>0</v>
      </c>
      <c r="G475" s="218">
        <f>SUMIF(Consolidado!$A$6:$A$380,'TOTALES DIARIOS'!A475,Consolidado!$G$6:$G$380)</f>
        <v>0</v>
      </c>
      <c r="H475" s="219">
        <f t="shared" si="89"/>
        <v>0</v>
      </c>
      <c r="I475" s="99">
        <f t="shared" si="90"/>
        <v>0</v>
      </c>
      <c r="J475" s="99">
        <f t="shared" si="91"/>
        <v>0</v>
      </c>
      <c r="K475" s="113">
        <f t="shared" si="92"/>
        <v>2025</v>
      </c>
      <c r="L475" s="113">
        <f t="shared" si="93"/>
        <v>4</v>
      </c>
      <c r="M475" s="115">
        <f t="array" ref="M475">MIN(IF(Consolidado!$A$6:$A$1000='TOTALES DIARIOS'!A475,IF(Consolidado!$C$6:$C$1000&gt;TIMEVALUE("07:00"),Consolidado!$C$6:$C$1000,1)))</f>
        <v>0</v>
      </c>
      <c r="N475" s="115">
        <f t="array" ref="N475">MIN(IF(Consolidado!$A$6:$A$1000='TOTALES DIARIOS'!A475,IF(Consolidado!$C$6:$C$1000&lt;=M475,Consolidado!$C$6:$C$1000,1)))</f>
        <v>0</v>
      </c>
      <c r="O475" s="115">
        <f t="array" ref="O475">MAX(IF(Consolidado!$A$6:$A$1000='TOTALES DIARIOS'!A475,IF(Consolidado!$D$6:$D$1000&gt;=M475,Consolidado!$D$6:$D$1000,0)))</f>
        <v>0</v>
      </c>
      <c r="P475" s="118">
        <f t="array" ref="P475">MAX(IF(Consolidado!$A$6:$A$1000='TOTALES DIARIOS'!A475,IF(Consolidado!$D$6:$D$1000&lt;=M475,Consolidado!$D$6:$D$1000,0)))</f>
        <v>0</v>
      </c>
      <c r="Q475" s="117">
        <f t="shared" si="97"/>
        <v>0</v>
      </c>
      <c r="R475" s="117">
        <f t="shared" si="96"/>
        <v>0</v>
      </c>
      <c r="S475" s="104" t="str">
        <f t="shared" si="94"/>
        <v>NO</v>
      </c>
    </row>
    <row r="476" spans="1:19" x14ac:dyDescent="0.25">
      <c r="A476" s="221">
        <f t="shared" si="95"/>
        <v>45764</v>
      </c>
      <c r="B476" s="130" t="str">
        <f t="shared" si="86"/>
        <v/>
      </c>
      <c r="C476" s="217">
        <f t="shared" si="87"/>
        <v>0</v>
      </c>
      <c r="D476" s="217">
        <f t="shared" si="88"/>
        <v>0</v>
      </c>
      <c r="E476" s="218">
        <f>SUMIF(Consolidado!$A$6:$A$380,'TOTALES DIARIOS'!A476,Consolidado!$E$6:$E$380)</f>
        <v>0</v>
      </c>
      <c r="F476" s="218">
        <f>SUMIF(Consolidado!$A$6:$A$380,'TOTALES DIARIOS'!A476,Consolidado!$F$6:$F$380)</f>
        <v>0</v>
      </c>
      <c r="G476" s="218">
        <f>SUMIF(Consolidado!$A$6:$A$380,'TOTALES DIARIOS'!A476,Consolidado!$G$6:$G$380)</f>
        <v>0</v>
      </c>
      <c r="H476" s="219">
        <f t="shared" si="89"/>
        <v>0</v>
      </c>
      <c r="I476" s="99">
        <f t="shared" si="90"/>
        <v>0</v>
      </c>
      <c r="J476" s="99">
        <f t="shared" si="91"/>
        <v>0</v>
      </c>
      <c r="K476" s="113">
        <f t="shared" si="92"/>
        <v>2025</v>
      </c>
      <c r="L476" s="113">
        <f t="shared" si="93"/>
        <v>4</v>
      </c>
      <c r="M476" s="115">
        <f t="array" ref="M476">MIN(IF(Consolidado!$A$6:$A$1000='TOTALES DIARIOS'!A476,IF(Consolidado!$C$6:$C$1000&gt;TIMEVALUE("07:00"),Consolidado!$C$6:$C$1000,1)))</f>
        <v>0</v>
      </c>
      <c r="N476" s="115">
        <f t="array" ref="N476">MIN(IF(Consolidado!$A$6:$A$1000='TOTALES DIARIOS'!A476,IF(Consolidado!$C$6:$C$1000&lt;=M476,Consolidado!$C$6:$C$1000,1)))</f>
        <v>0</v>
      </c>
      <c r="O476" s="115">
        <f t="array" ref="O476">MAX(IF(Consolidado!$A$6:$A$1000='TOTALES DIARIOS'!A476,IF(Consolidado!$D$6:$D$1000&gt;=M476,Consolidado!$D$6:$D$1000,0)))</f>
        <v>0</v>
      </c>
      <c r="P476" s="118">
        <f t="array" ref="P476">MAX(IF(Consolidado!$A$6:$A$1000='TOTALES DIARIOS'!A476,IF(Consolidado!$D$6:$D$1000&lt;=M476,Consolidado!$D$6:$D$1000,0)))</f>
        <v>0</v>
      </c>
      <c r="Q476" s="117">
        <f t="shared" si="97"/>
        <v>0</v>
      </c>
      <c r="R476" s="117">
        <f t="shared" si="96"/>
        <v>0</v>
      </c>
      <c r="S476" s="104" t="str">
        <f t="shared" si="94"/>
        <v>NO</v>
      </c>
    </row>
    <row r="477" spans="1:19" x14ac:dyDescent="0.25">
      <c r="A477" s="221">
        <f t="shared" si="95"/>
        <v>45765</v>
      </c>
      <c r="B477" s="130" t="str">
        <f t="shared" si="86"/>
        <v/>
      </c>
      <c r="C477" s="217">
        <f t="shared" si="87"/>
        <v>0</v>
      </c>
      <c r="D477" s="217">
        <f t="shared" si="88"/>
        <v>0</v>
      </c>
      <c r="E477" s="218">
        <f>SUMIF(Consolidado!$A$6:$A$380,'TOTALES DIARIOS'!A477,Consolidado!$E$6:$E$380)</f>
        <v>0</v>
      </c>
      <c r="F477" s="218">
        <f>SUMIF(Consolidado!$A$6:$A$380,'TOTALES DIARIOS'!A477,Consolidado!$F$6:$F$380)</f>
        <v>0</v>
      </c>
      <c r="G477" s="218">
        <f>SUMIF(Consolidado!$A$6:$A$380,'TOTALES DIARIOS'!A477,Consolidado!$G$6:$G$380)</f>
        <v>0</v>
      </c>
      <c r="H477" s="219">
        <f t="shared" si="89"/>
        <v>0</v>
      </c>
      <c r="I477" s="99">
        <f t="shared" si="90"/>
        <v>0</v>
      </c>
      <c r="J477" s="99">
        <f t="shared" si="91"/>
        <v>0</v>
      </c>
      <c r="K477" s="113">
        <f t="shared" si="92"/>
        <v>2025</v>
      </c>
      <c r="L477" s="113">
        <f t="shared" si="93"/>
        <v>4</v>
      </c>
      <c r="M477" s="115">
        <f t="array" ref="M477">MIN(IF(Consolidado!$A$6:$A$1000='TOTALES DIARIOS'!A477,IF(Consolidado!$C$6:$C$1000&gt;TIMEVALUE("07:00"),Consolidado!$C$6:$C$1000,1)))</f>
        <v>0</v>
      </c>
      <c r="N477" s="115">
        <f t="array" ref="N477">MIN(IF(Consolidado!$A$6:$A$1000='TOTALES DIARIOS'!A477,IF(Consolidado!$C$6:$C$1000&lt;=M477,Consolidado!$C$6:$C$1000,1)))</f>
        <v>0</v>
      </c>
      <c r="O477" s="115">
        <f t="array" ref="O477">MAX(IF(Consolidado!$A$6:$A$1000='TOTALES DIARIOS'!A477,IF(Consolidado!$D$6:$D$1000&gt;=M477,Consolidado!$D$6:$D$1000,0)))</f>
        <v>0</v>
      </c>
      <c r="P477" s="118">
        <f t="array" ref="P477">MAX(IF(Consolidado!$A$6:$A$1000='TOTALES DIARIOS'!A477,IF(Consolidado!$D$6:$D$1000&lt;=M477,Consolidado!$D$6:$D$1000,0)))</f>
        <v>0</v>
      </c>
      <c r="Q477" s="117">
        <f t="shared" si="97"/>
        <v>0</v>
      </c>
      <c r="R477" s="117">
        <f t="shared" si="96"/>
        <v>0</v>
      </c>
      <c r="S477" s="104" t="str">
        <f t="shared" si="94"/>
        <v>NO</v>
      </c>
    </row>
    <row r="478" spans="1:19" x14ac:dyDescent="0.25">
      <c r="A478" s="221">
        <f t="shared" si="95"/>
        <v>45766</v>
      </c>
      <c r="B478" s="130" t="str">
        <f t="shared" si="86"/>
        <v/>
      </c>
      <c r="C478" s="217">
        <f t="shared" si="87"/>
        <v>0</v>
      </c>
      <c r="D478" s="217">
        <f t="shared" si="88"/>
        <v>0</v>
      </c>
      <c r="E478" s="218">
        <f>SUMIF(Consolidado!$A$6:$A$380,'TOTALES DIARIOS'!A478,Consolidado!$E$6:$E$380)</f>
        <v>0</v>
      </c>
      <c r="F478" s="218">
        <f>SUMIF(Consolidado!$A$6:$A$380,'TOTALES DIARIOS'!A478,Consolidado!$F$6:$F$380)</f>
        <v>0</v>
      </c>
      <c r="G478" s="218">
        <f>SUMIF(Consolidado!$A$6:$A$380,'TOTALES DIARIOS'!A478,Consolidado!$G$6:$G$380)</f>
        <v>0</v>
      </c>
      <c r="H478" s="219">
        <f t="shared" si="89"/>
        <v>0</v>
      </c>
      <c r="I478" s="99">
        <f t="shared" si="90"/>
        <v>0</v>
      </c>
      <c r="J478" s="99">
        <f t="shared" si="91"/>
        <v>0</v>
      </c>
      <c r="K478" s="113">
        <f t="shared" si="92"/>
        <v>2025</v>
      </c>
      <c r="L478" s="113">
        <f t="shared" si="93"/>
        <v>4</v>
      </c>
      <c r="M478" s="115">
        <f t="array" ref="M478">MIN(IF(Consolidado!$A$6:$A$1000='TOTALES DIARIOS'!A478,IF(Consolidado!$C$6:$C$1000&gt;TIMEVALUE("07:00"),Consolidado!$C$6:$C$1000,1)))</f>
        <v>0</v>
      </c>
      <c r="N478" s="115">
        <f t="array" ref="N478">MIN(IF(Consolidado!$A$6:$A$1000='TOTALES DIARIOS'!A478,IF(Consolidado!$C$6:$C$1000&lt;=M478,Consolidado!$C$6:$C$1000,1)))</f>
        <v>0</v>
      </c>
      <c r="O478" s="115">
        <f t="array" ref="O478">MAX(IF(Consolidado!$A$6:$A$1000='TOTALES DIARIOS'!A478,IF(Consolidado!$D$6:$D$1000&gt;=M478,Consolidado!$D$6:$D$1000,0)))</f>
        <v>0</v>
      </c>
      <c r="P478" s="118">
        <f t="array" ref="P478">MAX(IF(Consolidado!$A$6:$A$1000='TOTALES DIARIOS'!A478,IF(Consolidado!$D$6:$D$1000&lt;=M478,Consolidado!$D$6:$D$1000,0)))</f>
        <v>0</v>
      </c>
      <c r="Q478" s="117">
        <f t="shared" si="97"/>
        <v>0</v>
      </c>
      <c r="R478" s="117">
        <f t="shared" si="96"/>
        <v>0</v>
      </c>
      <c r="S478" s="104" t="str">
        <f t="shared" si="94"/>
        <v>NO</v>
      </c>
    </row>
    <row r="479" spans="1:19" x14ac:dyDescent="0.25">
      <c r="A479" s="221">
        <f t="shared" si="95"/>
        <v>45767</v>
      </c>
      <c r="B479" s="130" t="str">
        <f t="shared" si="86"/>
        <v/>
      </c>
      <c r="C479" s="217">
        <f t="shared" si="87"/>
        <v>0</v>
      </c>
      <c r="D479" s="217">
        <f t="shared" si="88"/>
        <v>0</v>
      </c>
      <c r="E479" s="218">
        <f>SUMIF(Consolidado!$A$6:$A$380,'TOTALES DIARIOS'!A479,Consolidado!$E$6:$E$380)</f>
        <v>0</v>
      </c>
      <c r="F479" s="218">
        <f>SUMIF(Consolidado!$A$6:$A$380,'TOTALES DIARIOS'!A479,Consolidado!$F$6:$F$380)</f>
        <v>0</v>
      </c>
      <c r="G479" s="218">
        <f>SUMIF(Consolidado!$A$6:$A$380,'TOTALES DIARIOS'!A479,Consolidado!$G$6:$G$380)</f>
        <v>0</v>
      </c>
      <c r="H479" s="219">
        <f t="shared" si="89"/>
        <v>0</v>
      </c>
      <c r="I479" s="99">
        <f t="shared" si="90"/>
        <v>0</v>
      </c>
      <c r="J479" s="99">
        <f t="shared" si="91"/>
        <v>0</v>
      </c>
      <c r="K479" s="113">
        <f t="shared" si="92"/>
        <v>2025</v>
      </c>
      <c r="L479" s="113">
        <f t="shared" si="93"/>
        <v>4</v>
      </c>
      <c r="M479" s="115">
        <f t="array" ref="M479">MIN(IF(Consolidado!$A$6:$A$1000='TOTALES DIARIOS'!A479,IF(Consolidado!$C$6:$C$1000&gt;TIMEVALUE("07:00"),Consolidado!$C$6:$C$1000,1)))</f>
        <v>0</v>
      </c>
      <c r="N479" s="115">
        <f t="array" ref="N479">MIN(IF(Consolidado!$A$6:$A$1000='TOTALES DIARIOS'!A479,IF(Consolidado!$C$6:$C$1000&lt;=M479,Consolidado!$C$6:$C$1000,1)))</f>
        <v>0</v>
      </c>
      <c r="O479" s="115">
        <f t="array" ref="O479">MAX(IF(Consolidado!$A$6:$A$1000='TOTALES DIARIOS'!A479,IF(Consolidado!$D$6:$D$1000&gt;=M479,Consolidado!$D$6:$D$1000,0)))</f>
        <v>0</v>
      </c>
      <c r="P479" s="118">
        <f t="array" ref="P479">MAX(IF(Consolidado!$A$6:$A$1000='TOTALES DIARIOS'!A479,IF(Consolidado!$D$6:$D$1000&lt;=M479,Consolidado!$D$6:$D$1000,0)))</f>
        <v>0</v>
      </c>
      <c r="Q479" s="117">
        <f t="shared" si="97"/>
        <v>0</v>
      </c>
      <c r="R479" s="117">
        <f t="shared" si="96"/>
        <v>0</v>
      </c>
      <c r="S479" s="104" t="str">
        <f t="shared" si="94"/>
        <v>NO</v>
      </c>
    </row>
    <row r="480" spans="1:19" x14ac:dyDescent="0.25">
      <c r="A480" s="221">
        <f t="shared" si="95"/>
        <v>45768</v>
      </c>
      <c r="B480" s="130" t="str">
        <f t="shared" si="86"/>
        <v/>
      </c>
      <c r="C480" s="217">
        <f t="shared" si="87"/>
        <v>0</v>
      </c>
      <c r="D480" s="217">
        <f t="shared" si="88"/>
        <v>0</v>
      </c>
      <c r="E480" s="218">
        <f>SUMIF(Consolidado!$A$6:$A$380,'TOTALES DIARIOS'!A480,Consolidado!$E$6:$E$380)</f>
        <v>0</v>
      </c>
      <c r="F480" s="218">
        <f>SUMIF(Consolidado!$A$6:$A$380,'TOTALES DIARIOS'!A480,Consolidado!$F$6:$F$380)</f>
        <v>0</v>
      </c>
      <c r="G480" s="218">
        <f>SUMIF(Consolidado!$A$6:$A$380,'TOTALES DIARIOS'!A480,Consolidado!$G$6:$G$380)</f>
        <v>0</v>
      </c>
      <c r="H480" s="219">
        <f t="shared" si="89"/>
        <v>0</v>
      </c>
      <c r="I480" s="99">
        <f t="shared" si="90"/>
        <v>0</v>
      </c>
      <c r="J480" s="99">
        <f t="shared" si="91"/>
        <v>0</v>
      </c>
      <c r="K480" s="113">
        <f t="shared" si="92"/>
        <v>2025</v>
      </c>
      <c r="L480" s="113">
        <f t="shared" si="93"/>
        <v>4</v>
      </c>
      <c r="M480" s="115">
        <f t="array" ref="M480">MIN(IF(Consolidado!$A$6:$A$1000='TOTALES DIARIOS'!A480,IF(Consolidado!$C$6:$C$1000&gt;TIMEVALUE("07:00"),Consolidado!$C$6:$C$1000,1)))</f>
        <v>0</v>
      </c>
      <c r="N480" s="115">
        <f t="array" ref="N480">MIN(IF(Consolidado!$A$6:$A$1000='TOTALES DIARIOS'!A480,IF(Consolidado!$C$6:$C$1000&lt;=M480,Consolidado!$C$6:$C$1000,1)))</f>
        <v>0</v>
      </c>
      <c r="O480" s="115">
        <f t="array" ref="O480">MAX(IF(Consolidado!$A$6:$A$1000='TOTALES DIARIOS'!A480,IF(Consolidado!$D$6:$D$1000&gt;=M480,Consolidado!$D$6:$D$1000,0)))</f>
        <v>0</v>
      </c>
      <c r="P480" s="118">
        <f t="array" ref="P480">MAX(IF(Consolidado!$A$6:$A$1000='TOTALES DIARIOS'!A480,IF(Consolidado!$D$6:$D$1000&lt;=M480,Consolidado!$D$6:$D$1000,0)))</f>
        <v>0</v>
      </c>
      <c r="Q480" s="117">
        <f t="shared" si="97"/>
        <v>0</v>
      </c>
      <c r="R480" s="117">
        <f t="shared" si="96"/>
        <v>0</v>
      </c>
      <c r="S480" s="104" t="str">
        <f t="shared" si="94"/>
        <v>NO</v>
      </c>
    </row>
    <row r="481" spans="1:19" x14ac:dyDescent="0.25">
      <c r="A481" s="221">
        <f t="shared" si="95"/>
        <v>45769</v>
      </c>
      <c r="B481" s="130" t="str">
        <f t="shared" si="86"/>
        <v/>
      </c>
      <c r="C481" s="217">
        <f t="shared" si="87"/>
        <v>0</v>
      </c>
      <c r="D481" s="217">
        <f t="shared" si="88"/>
        <v>0</v>
      </c>
      <c r="E481" s="218">
        <f>SUMIF(Consolidado!$A$6:$A$380,'TOTALES DIARIOS'!A481,Consolidado!$E$6:$E$380)</f>
        <v>0</v>
      </c>
      <c r="F481" s="218">
        <f>SUMIF(Consolidado!$A$6:$A$380,'TOTALES DIARIOS'!A481,Consolidado!$F$6:$F$380)</f>
        <v>0</v>
      </c>
      <c r="G481" s="218">
        <f>SUMIF(Consolidado!$A$6:$A$380,'TOTALES DIARIOS'!A481,Consolidado!$G$6:$G$380)</f>
        <v>0</v>
      </c>
      <c r="H481" s="219">
        <f t="shared" si="89"/>
        <v>0</v>
      </c>
      <c r="I481" s="99">
        <f t="shared" si="90"/>
        <v>0</v>
      </c>
      <c r="J481" s="99">
        <f t="shared" si="91"/>
        <v>0</v>
      </c>
      <c r="K481" s="113">
        <f t="shared" si="92"/>
        <v>2025</v>
      </c>
      <c r="L481" s="113">
        <f t="shared" si="93"/>
        <v>4</v>
      </c>
      <c r="M481" s="115">
        <f t="array" ref="M481">MIN(IF(Consolidado!$A$6:$A$1000='TOTALES DIARIOS'!A481,IF(Consolidado!$C$6:$C$1000&gt;TIMEVALUE("07:00"),Consolidado!$C$6:$C$1000,1)))</f>
        <v>0</v>
      </c>
      <c r="N481" s="115">
        <f t="array" ref="N481">MIN(IF(Consolidado!$A$6:$A$1000='TOTALES DIARIOS'!A481,IF(Consolidado!$C$6:$C$1000&lt;=M481,Consolidado!$C$6:$C$1000,1)))</f>
        <v>0</v>
      </c>
      <c r="O481" s="115">
        <f t="array" ref="O481">MAX(IF(Consolidado!$A$6:$A$1000='TOTALES DIARIOS'!A481,IF(Consolidado!$D$6:$D$1000&gt;=M481,Consolidado!$D$6:$D$1000,0)))</f>
        <v>0</v>
      </c>
      <c r="P481" s="118">
        <f t="array" ref="P481">MAX(IF(Consolidado!$A$6:$A$1000='TOTALES DIARIOS'!A481,IF(Consolidado!$D$6:$D$1000&lt;=M481,Consolidado!$D$6:$D$1000,0)))</f>
        <v>0</v>
      </c>
      <c r="Q481" s="117">
        <f t="shared" si="97"/>
        <v>0</v>
      </c>
      <c r="R481" s="117">
        <f t="shared" si="96"/>
        <v>0</v>
      </c>
      <c r="S481" s="104" t="str">
        <f t="shared" si="94"/>
        <v>NO</v>
      </c>
    </row>
    <row r="482" spans="1:19" x14ac:dyDescent="0.25">
      <c r="A482" s="221">
        <f t="shared" si="95"/>
        <v>45770</v>
      </c>
      <c r="B482" s="130" t="str">
        <f t="shared" si="86"/>
        <v/>
      </c>
      <c r="C482" s="217">
        <f t="shared" si="87"/>
        <v>0</v>
      </c>
      <c r="D482" s="217">
        <f t="shared" si="88"/>
        <v>0</v>
      </c>
      <c r="E482" s="218">
        <f>SUMIF(Consolidado!$A$6:$A$380,'TOTALES DIARIOS'!A482,Consolidado!$E$6:$E$380)</f>
        <v>0</v>
      </c>
      <c r="F482" s="218">
        <f>SUMIF(Consolidado!$A$6:$A$380,'TOTALES DIARIOS'!A482,Consolidado!$F$6:$F$380)</f>
        <v>0</v>
      </c>
      <c r="G482" s="218">
        <f>SUMIF(Consolidado!$A$6:$A$380,'TOTALES DIARIOS'!A482,Consolidado!$G$6:$G$380)</f>
        <v>0</v>
      </c>
      <c r="H482" s="219">
        <f t="shared" si="89"/>
        <v>0</v>
      </c>
      <c r="I482" s="99">
        <f t="shared" si="90"/>
        <v>0</v>
      </c>
      <c r="J482" s="99">
        <f t="shared" si="91"/>
        <v>0</v>
      </c>
      <c r="K482" s="113">
        <f t="shared" si="92"/>
        <v>2025</v>
      </c>
      <c r="L482" s="113">
        <f t="shared" si="93"/>
        <v>4</v>
      </c>
      <c r="M482" s="115">
        <f t="array" ref="M482">MIN(IF(Consolidado!$A$6:$A$1000='TOTALES DIARIOS'!A482,IF(Consolidado!$C$6:$C$1000&gt;TIMEVALUE("07:00"),Consolidado!$C$6:$C$1000,1)))</f>
        <v>0</v>
      </c>
      <c r="N482" s="115">
        <f t="array" ref="N482">MIN(IF(Consolidado!$A$6:$A$1000='TOTALES DIARIOS'!A482,IF(Consolidado!$C$6:$C$1000&lt;=M482,Consolidado!$C$6:$C$1000,1)))</f>
        <v>0</v>
      </c>
      <c r="O482" s="115">
        <f t="array" ref="O482">MAX(IF(Consolidado!$A$6:$A$1000='TOTALES DIARIOS'!A482,IF(Consolidado!$D$6:$D$1000&gt;=M482,Consolidado!$D$6:$D$1000,0)))</f>
        <v>0</v>
      </c>
      <c r="P482" s="118">
        <f t="array" ref="P482">MAX(IF(Consolidado!$A$6:$A$1000='TOTALES DIARIOS'!A482,IF(Consolidado!$D$6:$D$1000&lt;=M482,Consolidado!$D$6:$D$1000,0)))</f>
        <v>0</v>
      </c>
      <c r="Q482" s="117">
        <f t="shared" si="97"/>
        <v>0</v>
      </c>
      <c r="R482" s="117">
        <f t="shared" si="96"/>
        <v>0</v>
      </c>
      <c r="S482" s="104" t="str">
        <f t="shared" si="94"/>
        <v>NO</v>
      </c>
    </row>
    <row r="483" spans="1:19" x14ac:dyDescent="0.25">
      <c r="A483" s="221">
        <f t="shared" si="95"/>
        <v>45771</v>
      </c>
      <c r="B483" s="130" t="str">
        <f t="shared" si="86"/>
        <v/>
      </c>
      <c r="C483" s="217">
        <f t="shared" si="87"/>
        <v>0</v>
      </c>
      <c r="D483" s="217">
        <f t="shared" si="88"/>
        <v>0</v>
      </c>
      <c r="E483" s="218">
        <f>SUMIF(Consolidado!$A$6:$A$380,'TOTALES DIARIOS'!A483,Consolidado!$E$6:$E$380)</f>
        <v>0</v>
      </c>
      <c r="F483" s="218">
        <f>SUMIF(Consolidado!$A$6:$A$380,'TOTALES DIARIOS'!A483,Consolidado!$F$6:$F$380)</f>
        <v>0</v>
      </c>
      <c r="G483" s="218">
        <f>SUMIF(Consolidado!$A$6:$A$380,'TOTALES DIARIOS'!A483,Consolidado!$G$6:$G$380)</f>
        <v>0</v>
      </c>
      <c r="H483" s="219">
        <f t="shared" si="89"/>
        <v>0</v>
      </c>
      <c r="I483" s="99">
        <f t="shared" si="90"/>
        <v>0</v>
      </c>
      <c r="J483" s="99">
        <f t="shared" si="91"/>
        <v>0</v>
      </c>
      <c r="K483" s="113">
        <f t="shared" si="92"/>
        <v>2025</v>
      </c>
      <c r="L483" s="113">
        <f t="shared" si="93"/>
        <v>4</v>
      </c>
      <c r="M483" s="115">
        <f t="array" ref="M483">MIN(IF(Consolidado!$A$6:$A$1000='TOTALES DIARIOS'!A483,IF(Consolidado!$C$6:$C$1000&gt;TIMEVALUE("07:00"),Consolidado!$C$6:$C$1000,1)))</f>
        <v>0</v>
      </c>
      <c r="N483" s="115">
        <f t="array" ref="N483">MIN(IF(Consolidado!$A$6:$A$1000='TOTALES DIARIOS'!A483,IF(Consolidado!$C$6:$C$1000&lt;=M483,Consolidado!$C$6:$C$1000,1)))</f>
        <v>0</v>
      </c>
      <c r="O483" s="115">
        <f t="array" ref="O483">MAX(IF(Consolidado!$A$6:$A$1000='TOTALES DIARIOS'!A483,IF(Consolidado!$D$6:$D$1000&gt;=M483,Consolidado!$D$6:$D$1000,0)))</f>
        <v>0</v>
      </c>
      <c r="P483" s="118">
        <f t="array" ref="P483">MAX(IF(Consolidado!$A$6:$A$1000='TOTALES DIARIOS'!A483,IF(Consolidado!$D$6:$D$1000&lt;=M483,Consolidado!$D$6:$D$1000,0)))</f>
        <v>0</v>
      </c>
      <c r="Q483" s="117">
        <f t="shared" si="97"/>
        <v>0</v>
      </c>
      <c r="R483" s="117">
        <f t="shared" si="96"/>
        <v>0</v>
      </c>
      <c r="S483" s="104" t="str">
        <f t="shared" si="94"/>
        <v>NO</v>
      </c>
    </row>
    <row r="484" spans="1:19" x14ac:dyDescent="0.25">
      <c r="A484" s="221">
        <f t="shared" si="95"/>
        <v>45772</v>
      </c>
      <c r="B484" s="130" t="str">
        <f t="shared" si="86"/>
        <v/>
      </c>
      <c r="C484" s="217">
        <f t="shared" si="87"/>
        <v>0</v>
      </c>
      <c r="D484" s="217">
        <f t="shared" si="88"/>
        <v>0</v>
      </c>
      <c r="E484" s="218">
        <f>SUMIF(Consolidado!$A$6:$A$380,'TOTALES DIARIOS'!A484,Consolidado!$E$6:$E$380)</f>
        <v>0</v>
      </c>
      <c r="F484" s="218">
        <f>SUMIF(Consolidado!$A$6:$A$380,'TOTALES DIARIOS'!A484,Consolidado!$F$6:$F$380)</f>
        <v>0</v>
      </c>
      <c r="G484" s="218">
        <f>SUMIF(Consolidado!$A$6:$A$380,'TOTALES DIARIOS'!A484,Consolidado!$G$6:$G$380)</f>
        <v>0</v>
      </c>
      <c r="H484" s="219">
        <f t="shared" si="89"/>
        <v>0</v>
      </c>
      <c r="I484" s="99">
        <f t="shared" si="90"/>
        <v>0</v>
      </c>
      <c r="J484" s="99">
        <f t="shared" si="91"/>
        <v>0</v>
      </c>
      <c r="K484" s="113">
        <f t="shared" si="92"/>
        <v>2025</v>
      </c>
      <c r="L484" s="113">
        <f t="shared" si="93"/>
        <v>4</v>
      </c>
      <c r="M484" s="115">
        <f t="array" ref="M484">MIN(IF(Consolidado!$A$6:$A$1000='TOTALES DIARIOS'!A484,IF(Consolidado!$C$6:$C$1000&gt;TIMEVALUE("07:00"),Consolidado!$C$6:$C$1000,1)))</f>
        <v>0</v>
      </c>
      <c r="N484" s="115">
        <f t="array" ref="N484">MIN(IF(Consolidado!$A$6:$A$1000='TOTALES DIARIOS'!A484,IF(Consolidado!$C$6:$C$1000&lt;=M484,Consolidado!$C$6:$C$1000,1)))</f>
        <v>0</v>
      </c>
      <c r="O484" s="115">
        <f t="array" ref="O484">MAX(IF(Consolidado!$A$6:$A$1000='TOTALES DIARIOS'!A484,IF(Consolidado!$D$6:$D$1000&gt;=M484,Consolidado!$D$6:$D$1000,0)))</f>
        <v>0</v>
      </c>
      <c r="P484" s="118">
        <f t="array" ref="P484">MAX(IF(Consolidado!$A$6:$A$1000='TOTALES DIARIOS'!A484,IF(Consolidado!$D$6:$D$1000&lt;=M484,Consolidado!$D$6:$D$1000,0)))</f>
        <v>0</v>
      </c>
      <c r="Q484" s="117">
        <f t="shared" si="97"/>
        <v>0</v>
      </c>
      <c r="R484" s="117">
        <f t="shared" si="96"/>
        <v>0</v>
      </c>
      <c r="S484" s="104" t="str">
        <f t="shared" si="94"/>
        <v>NO</v>
      </c>
    </row>
    <row r="485" spans="1:19" x14ac:dyDescent="0.25">
      <c r="A485" s="221">
        <f t="shared" si="95"/>
        <v>45773</v>
      </c>
      <c r="B485" s="130" t="str">
        <f t="shared" si="86"/>
        <v/>
      </c>
      <c r="C485" s="217">
        <f t="shared" si="87"/>
        <v>0</v>
      </c>
      <c r="D485" s="217">
        <f t="shared" si="88"/>
        <v>0</v>
      </c>
      <c r="E485" s="218">
        <f>SUMIF(Consolidado!$A$6:$A$380,'TOTALES DIARIOS'!A485,Consolidado!$E$6:$E$380)</f>
        <v>0</v>
      </c>
      <c r="F485" s="218">
        <f>SUMIF(Consolidado!$A$6:$A$380,'TOTALES DIARIOS'!A485,Consolidado!$F$6:$F$380)</f>
        <v>0</v>
      </c>
      <c r="G485" s="218">
        <f>SUMIF(Consolidado!$A$6:$A$380,'TOTALES DIARIOS'!A485,Consolidado!$G$6:$G$380)</f>
        <v>0</v>
      </c>
      <c r="H485" s="219">
        <f t="shared" si="89"/>
        <v>0</v>
      </c>
      <c r="I485" s="99">
        <f t="shared" si="90"/>
        <v>0</v>
      </c>
      <c r="J485" s="99">
        <f t="shared" si="91"/>
        <v>0</v>
      </c>
      <c r="K485" s="113">
        <f t="shared" si="92"/>
        <v>2025</v>
      </c>
      <c r="L485" s="113">
        <f t="shared" si="93"/>
        <v>4</v>
      </c>
      <c r="M485" s="115">
        <f t="array" ref="M485">MIN(IF(Consolidado!$A$6:$A$1000='TOTALES DIARIOS'!A485,IF(Consolidado!$C$6:$C$1000&gt;TIMEVALUE("07:00"),Consolidado!$C$6:$C$1000,1)))</f>
        <v>0</v>
      </c>
      <c r="N485" s="115">
        <f t="array" ref="N485">MIN(IF(Consolidado!$A$6:$A$1000='TOTALES DIARIOS'!A485,IF(Consolidado!$C$6:$C$1000&lt;=M485,Consolidado!$C$6:$C$1000,1)))</f>
        <v>0</v>
      </c>
      <c r="O485" s="115">
        <f t="array" ref="O485">MAX(IF(Consolidado!$A$6:$A$1000='TOTALES DIARIOS'!A485,IF(Consolidado!$D$6:$D$1000&gt;=M485,Consolidado!$D$6:$D$1000,0)))</f>
        <v>0</v>
      </c>
      <c r="P485" s="118">
        <f t="array" ref="P485">MAX(IF(Consolidado!$A$6:$A$1000='TOTALES DIARIOS'!A485,IF(Consolidado!$D$6:$D$1000&lt;=M485,Consolidado!$D$6:$D$1000,0)))</f>
        <v>0</v>
      </c>
      <c r="Q485" s="117">
        <f t="shared" si="97"/>
        <v>0</v>
      </c>
      <c r="R485" s="117">
        <f t="shared" si="96"/>
        <v>0</v>
      </c>
      <c r="S485" s="104" t="str">
        <f t="shared" si="94"/>
        <v>NO</v>
      </c>
    </row>
    <row r="486" spans="1:19" x14ac:dyDescent="0.25">
      <c r="A486" s="221">
        <f t="shared" si="95"/>
        <v>45774</v>
      </c>
      <c r="B486" s="130" t="str">
        <f t="shared" si="86"/>
        <v/>
      </c>
      <c r="C486" s="217">
        <f t="shared" si="87"/>
        <v>0</v>
      </c>
      <c r="D486" s="217">
        <f t="shared" si="88"/>
        <v>0</v>
      </c>
      <c r="E486" s="218">
        <f>SUMIF(Consolidado!$A$6:$A$380,'TOTALES DIARIOS'!A486,Consolidado!$E$6:$E$380)</f>
        <v>0</v>
      </c>
      <c r="F486" s="218">
        <f>SUMIF(Consolidado!$A$6:$A$380,'TOTALES DIARIOS'!A486,Consolidado!$F$6:$F$380)</f>
        <v>0</v>
      </c>
      <c r="G486" s="218">
        <f>SUMIF(Consolidado!$A$6:$A$380,'TOTALES DIARIOS'!A486,Consolidado!$G$6:$G$380)</f>
        <v>0</v>
      </c>
      <c r="H486" s="219">
        <f t="shared" si="89"/>
        <v>0</v>
      </c>
      <c r="I486" s="99">
        <f t="shared" si="90"/>
        <v>0</v>
      </c>
      <c r="J486" s="99">
        <f t="shared" si="91"/>
        <v>0</v>
      </c>
      <c r="K486" s="113">
        <f t="shared" si="92"/>
        <v>2025</v>
      </c>
      <c r="L486" s="113">
        <f t="shared" si="93"/>
        <v>4</v>
      </c>
      <c r="M486" s="115">
        <f t="array" ref="M486">MIN(IF(Consolidado!$A$6:$A$1000='TOTALES DIARIOS'!A486,IF(Consolidado!$C$6:$C$1000&gt;TIMEVALUE("07:00"),Consolidado!$C$6:$C$1000,1)))</f>
        <v>0</v>
      </c>
      <c r="N486" s="115">
        <f t="array" ref="N486">MIN(IF(Consolidado!$A$6:$A$1000='TOTALES DIARIOS'!A486,IF(Consolidado!$C$6:$C$1000&lt;=M486,Consolidado!$C$6:$C$1000,1)))</f>
        <v>0</v>
      </c>
      <c r="O486" s="115">
        <f t="array" ref="O486">MAX(IF(Consolidado!$A$6:$A$1000='TOTALES DIARIOS'!A486,IF(Consolidado!$D$6:$D$1000&gt;=M486,Consolidado!$D$6:$D$1000,0)))</f>
        <v>0</v>
      </c>
      <c r="P486" s="118">
        <f t="array" ref="P486">MAX(IF(Consolidado!$A$6:$A$1000='TOTALES DIARIOS'!A486,IF(Consolidado!$D$6:$D$1000&lt;=M486,Consolidado!$D$6:$D$1000,0)))</f>
        <v>0</v>
      </c>
      <c r="Q486" s="117">
        <f t="shared" si="97"/>
        <v>0</v>
      </c>
      <c r="R486" s="117">
        <f t="shared" si="96"/>
        <v>0</v>
      </c>
      <c r="S486" s="104" t="str">
        <f t="shared" si="94"/>
        <v>NO</v>
      </c>
    </row>
    <row r="487" spans="1:19" x14ac:dyDescent="0.25">
      <c r="A487" s="221">
        <f t="shared" si="95"/>
        <v>45775</v>
      </c>
      <c r="B487" s="130" t="str">
        <f t="shared" si="86"/>
        <v/>
      </c>
      <c r="C487" s="217">
        <f t="shared" si="87"/>
        <v>0</v>
      </c>
      <c r="D487" s="217">
        <f t="shared" si="88"/>
        <v>0</v>
      </c>
      <c r="E487" s="218">
        <f>SUMIF(Consolidado!$A$6:$A$380,'TOTALES DIARIOS'!A487,Consolidado!$E$6:$E$380)</f>
        <v>0</v>
      </c>
      <c r="F487" s="218">
        <f>SUMIF(Consolidado!$A$6:$A$380,'TOTALES DIARIOS'!A487,Consolidado!$F$6:$F$380)</f>
        <v>0</v>
      </c>
      <c r="G487" s="218">
        <f>SUMIF(Consolidado!$A$6:$A$380,'TOTALES DIARIOS'!A487,Consolidado!$G$6:$G$380)</f>
        <v>0</v>
      </c>
      <c r="H487" s="219">
        <f t="shared" si="89"/>
        <v>0</v>
      </c>
      <c r="I487" s="99">
        <f t="shared" si="90"/>
        <v>0</v>
      </c>
      <c r="J487" s="99">
        <f t="shared" si="91"/>
        <v>0</v>
      </c>
      <c r="K487" s="113">
        <f t="shared" si="92"/>
        <v>2025</v>
      </c>
      <c r="L487" s="113">
        <f t="shared" si="93"/>
        <v>4</v>
      </c>
      <c r="M487" s="115">
        <f t="array" ref="M487">MIN(IF(Consolidado!$A$6:$A$1000='TOTALES DIARIOS'!A487,IF(Consolidado!$C$6:$C$1000&gt;TIMEVALUE("07:00"),Consolidado!$C$6:$C$1000,1)))</f>
        <v>0</v>
      </c>
      <c r="N487" s="115">
        <f t="array" ref="N487">MIN(IF(Consolidado!$A$6:$A$1000='TOTALES DIARIOS'!A487,IF(Consolidado!$C$6:$C$1000&lt;=M487,Consolidado!$C$6:$C$1000,1)))</f>
        <v>0</v>
      </c>
      <c r="O487" s="115">
        <f t="array" ref="O487">MAX(IF(Consolidado!$A$6:$A$1000='TOTALES DIARIOS'!A487,IF(Consolidado!$D$6:$D$1000&gt;=M487,Consolidado!$D$6:$D$1000,0)))</f>
        <v>0</v>
      </c>
      <c r="P487" s="118">
        <f t="array" ref="P487">MAX(IF(Consolidado!$A$6:$A$1000='TOTALES DIARIOS'!A487,IF(Consolidado!$D$6:$D$1000&lt;=M487,Consolidado!$D$6:$D$1000,0)))</f>
        <v>0</v>
      </c>
      <c r="Q487" s="117">
        <f t="shared" si="97"/>
        <v>0</v>
      </c>
      <c r="R487" s="117">
        <f t="shared" si="96"/>
        <v>0</v>
      </c>
      <c r="S487" s="104" t="str">
        <f t="shared" si="94"/>
        <v>NO</v>
      </c>
    </row>
    <row r="488" spans="1:19" x14ac:dyDescent="0.25">
      <c r="A488" s="221">
        <f t="shared" si="95"/>
        <v>45776</v>
      </c>
      <c r="B488" s="130" t="str">
        <f t="shared" si="86"/>
        <v/>
      </c>
      <c r="C488" s="217">
        <f t="shared" si="87"/>
        <v>0</v>
      </c>
      <c r="D488" s="217">
        <f t="shared" si="88"/>
        <v>0</v>
      </c>
      <c r="E488" s="218">
        <f>SUMIF(Consolidado!$A$6:$A$380,'TOTALES DIARIOS'!A488,Consolidado!$E$6:$E$380)</f>
        <v>0</v>
      </c>
      <c r="F488" s="218">
        <f>SUMIF(Consolidado!$A$6:$A$380,'TOTALES DIARIOS'!A488,Consolidado!$F$6:$F$380)</f>
        <v>0</v>
      </c>
      <c r="G488" s="218">
        <f>SUMIF(Consolidado!$A$6:$A$380,'TOTALES DIARIOS'!A488,Consolidado!$G$6:$G$380)</f>
        <v>0</v>
      </c>
      <c r="H488" s="219">
        <f t="shared" si="89"/>
        <v>0</v>
      </c>
      <c r="I488" s="99">
        <f t="shared" si="90"/>
        <v>0</v>
      </c>
      <c r="J488" s="99">
        <f t="shared" si="91"/>
        <v>0</v>
      </c>
      <c r="K488" s="113">
        <f t="shared" si="92"/>
        <v>2025</v>
      </c>
      <c r="L488" s="113">
        <f t="shared" si="93"/>
        <v>4</v>
      </c>
      <c r="M488" s="115">
        <f t="array" ref="M488">MIN(IF(Consolidado!$A$6:$A$1000='TOTALES DIARIOS'!A488,IF(Consolidado!$C$6:$C$1000&gt;TIMEVALUE("07:00"),Consolidado!$C$6:$C$1000,1)))</f>
        <v>0</v>
      </c>
      <c r="N488" s="115">
        <f t="array" ref="N488">MIN(IF(Consolidado!$A$6:$A$1000='TOTALES DIARIOS'!A488,IF(Consolidado!$C$6:$C$1000&lt;=M488,Consolidado!$C$6:$C$1000,1)))</f>
        <v>0</v>
      </c>
      <c r="O488" s="115">
        <f t="array" ref="O488">MAX(IF(Consolidado!$A$6:$A$1000='TOTALES DIARIOS'!A488,IF(Consolidado!$D$6:$D$1000&gt;=M488,Consolidado!$D$6:$D$1000,0)))</f>
        <v>0</v>
      </c>
      <c r="P488" s="118">
        <f t="array" ref="P488">MAX(IF(Consolidado!$A$6:$A$1000='TOTALES DIARIOS'!A488,IF(Consolidado!$D$6:$D$1000&lt;=M488,Consolidado!$D$6:$D$1000,0)))</f>
        <v>0</v>
      </c>
      <c r="Q488" s="117">
        <f t="shared" si="97"/>
        <v>0</v>
      </c>
      <c r="R488" s="117">
        <f t="shared" si="96"/>
        <v>0</v>
      </c>
      <c r="S488" s="104" t="str">
        <f t="shared" si="94"/>
        <v>NO</v>
      </c>
    </row>
    <row r="489" spans="1:19" x14ac:dyDescent="0.25">
      <c r="A489" s="221">
        <f t="shared" si="95"/>
        <v>45777</v>
      </c>
      <c r="B489" s="130" t="str">
        <f t="shared" si="86"/>
        <v/>
      </c>
      <c r="C489" s="217">
        <f t="shared" si="87"/>
        <v>0</v>
      </c>
      <c r="D489" s="217">
        <f t="shared" si="88"/>
        <v>0</v>
      </c>
      <c r="E489" s="218">
        <f>SUMIF(Consolidado!$A$6:$A$380,'TOTALES DIARIOS'!A489,Consolidado!$E$6:$E$380)</f>
        <v>0</v>
      </c>
      <c r="F489" s="218">
        <f>SUMIF(Consolidado!$A$6:$A$380,'TOTALES DIARIOS'!A489,Consolidado!$F$6:$F$380)</f>
        <v>0</v>
      </c>
      <c r="G489" s="218">
        <f>SUMIF(Consolidado!$A$6:$A$380,'TOTALES DIARIOS'!A489,Consolidado!$G$6:$G$380)</f>
        <v>0</v>
      </c>
      <c r="H489" s="219">
        <f t="shared" si="89"/>
        <v>0</v>
      </c>
      <c r="I489" s="99">
        <f t="shared" si="90"/>
        <v>0</v>
      </c>
      <c r="J489" s="99">
        <f t="shared" si="91"/>
        <v>0</v>
      </c>
      <c r="K489" s="113">
        <f t="shared" si="92"/>
        <v>2025</v>
      </c>
      <c r="L489" s="113">
        <f t="shared" si="93"/>
        <v>4</v>
      </c>
      <c r="M489" s="115">
        <f t="array" ref="M489">MIN(IF(Consolidado!$A$6:$A$1000='TOTALES DIARIOS'!A489,IF(Consolidado!$C$6:$C$1000&gt;TIMEVALUE("07:00"),Consolidado!$C$6:$C$1000,1)))</f>
        <v>0</v>
      </c>
      <c r="N489" s="115">
        <f t="array" ref="N489">MIN(IF(Consolidado!$A$6:$A$1000='TOTALES DIARIOS'!A489,IF(Consolidado!$C$6:$C$1000&lt;=M489,Consolidado!$C$6:$C$1000,1)))</f>
        <v>0</v>
      </c>
      <c r="O489" s="115">
        <f t="array" ref="O489">MAX(IF(Consolidado!$A$6:$A$1000='TOTALES DIARIOS'!A489,IF(Consolidado!$D$6:$D$1000&gt;=M489,Consolidado!$D$6:$D$1000,0)))</f>
        <v>0</v>
      </c>
      <c r="P489" s="118">
        <f t="array" ref="P489">MAX(IF(Consolidado!$A$6:$A$1000='TOTALES DIARIOS'!A489,IF(Consolidado!$D$6:$D$1000&lt;=M489,Consolidado!$D$6:$D$1000,0)))</f>
        <v>0</v>
      </c>
      <c r="Q489" s="117">
        <f t="shared" si="97"/>
        <v>0</v>
      </c>
      <c r="R489" s="117">
        <f t="shared" si="96"/>
        <v>0</v>
      </c>
      <c r="S489" s="104" t="str">
        <f t="shared" si="94"/>
        <v>NO</v>
      </c>
    </row>
    <row r="490" spans="1:19" x14ac:dyDescent="0.25">
      <c r="A490" s="221">
        <f t="shared" si="95"/>
        <v>45778</v>
      </c>
      <c r="B490" s="130" t="str">
        <f t="shared" si="86"/>
        <v/>
      </c>
      <c r="C490" s="217">
        <f t="shared" si="87"/>
        <v>0</v>
      </c>
      <c r="D490" s="217">
        <f t="shared" si="88"/>
        <v>0</v>
      </c>
      <c r="E490" s="218">
        <f>SUMIF(Consolidado!$A$6:$A$380,'TOTALES DIARIOS'!A490,Consolidado!$E$6:$E$380)</f>
        <v>0</v>
      </c>
      <c r="F490" s="218">
        <f>SUMIF(Consolidado!$A$6:$A$380,'TOTALES DIARIOS'!A490,Consolidado!$F$6:$F$380)</f>
        <v>0</v>
      </c>
      <c r="G490" s="218">
        <f>SUMIF(Consolidado!$A$6:$A$380,'TOTALES DIARIOS'!A490,Consolidado!$G$6:$G$380)</f>
        <v>0</v>
      </c>
      <c r="H490" s="219">
        <f t="shared" si="89"/>
        <v>0</v>
      </c>
      <c r="I490" s="99">
        <f t="shared" si="90"/>
        <v>0</v>
      </c>
      <c r="J490" s="99">
        <f t="shared" si="91"/>
        <v>0</v>
      </c>
      <c r="K490" s="113">
        <f t="shared" si="92"/>
        <v>2025</v>
      </c>
      <c r="L490" s="113">
        <f t="shared" si="93"/>
        <v>5</v>
      </c>
      <c r="M490" s="115">
        <f t="array" ref="M490">MIN(IF(Consolidado!$A$6:$A$1000='TOTALES DIARIOS'!A490,IF(Consolidado!$C$6:$C$1000&gt;TIMEVALUE("07:00"),Consolidado!$C$6:$C$1000,1)))</f>
        <v>0</v>
      </c>
      <c r="N490" s="115">
        <f t="array" ref="N490">MIN(IF(Consolidado!$A$6:$A$1000='TOTALES DIARIOS'!A490,IF(Consolidado!$C$6:$C$1000&lt;=M490,Consolidado!$C$6:$C$1000,1)))</f>
        <v>0</v>
      </c>
      <c r="O490" s="115">
        <f t="array" ref="O490">MAX(IF(Consolidado!$A$6:$A$1000='TOTALES DIARIOS'!A490,IF(Consolidado!$D$6:$D$1000&gt;=M490,Consolidado!$D$6:$D$1000,0)))</f>
        <v>0</v>
      </c>
      <c r="P490" s="118">
        <f t="array" ref="P490">MAX(IF(Consolidado!$A$6:$A$1000='TOTALES DIARIOS'!A490,IF(Consolidado!$D$6:$D$1000&lt;=M490,Consolidado!$D$6:$D$1000,0)))</f>
        <v>0</v>
      </c>
      <c r="Q490" s="117">
        <f t="shared" si="97"/>
        <v>0</v>
      </c>
      <c r="R490" s="117">
        <f t="shared" si="96"/>
        <v>0</v>
      </c>
      <c r="S490" s="104" t="str">
        <f t="shared" si="94"/>
        <v>NO</v>
      </c>
    </row>
    <row r="491" spans="1:19" x14ac:dyDescent="0.25">
      <c r="A491" s="221">
        <f t="shared" si="95"/>
        <v>45779</v>
      </c>
      <c r="B491" s="130" t="str">
        <f t="shared" si="86"/>
        <v/>
      </c>
      <c r="C491" s="217">
        <f t="shared" si="87"/>
        <v>0</v>
      </c>
      <c r="D491" s="217">
        <f t="shared" si="88"/>
        <v>0</v>
      </c>
      <c r="E491" s="218">
        <f>SUMIF(Consolidado!$A$6:$A$380,'TOTALES DIARIOS'!A491,Consolidado!$E$6:$E$380)</f>
        <v>0</v>
      </c>
      <c r="F491" s="218">
        <f>SUMIF(Consolidado!$A$6:$A$380,'TOTALES DIARIOS'!A491,Consolidado!$F$6:$F$380)</f>
        <v>0</v>
      </c>
      <c r="G491" s="218">
        <f>SUMIF(Consolidado!$A$6:$A$380,'TOTALES DIARIOS'!A491,Consolidado!$G$6:$G$380)</f>
        <v>0</v>
      </c>
      <c r="H491" s="219">
        <f t="shared" si="89"/>
        <v>0</v>
      </c>
      <c r="I491" s="99">
        <f t="shared" si="90"/>
        <v>0</v>
      </c>
      <c r="J491" s="99">
        <f t="shared" si="91"/>
        <v>0</v>
      </c>
      <c r="K491" s="113">
        <f t="shared" si="92"/>
        <v>2025</v>
      </c>
      <c r="L491" s="113">
        <f t="shared" si="93"/>
        <v>5</v>
      </c>
      <c r="M491" s="115">
        <f t="array" ref="M491">MIN(IF(Consolidado!$A$6:$A$1000='TOTALES DIARIOS'!A491,IF(Consolidado!$C$6:$C$1000&gt;TIMEVALUE("07:00"),Consolidado!$C$6:$C$1000,1)))</f>
        <v>0</v>
      </c>
      <c r="N491" s="115">
        <f t="array" ref="N491">MIN(IF(Consolidado!$A$6:$A$1000='TOTALES DIARIOS'!A491,IF(Consolidado!$C$6:$C$1000&lt;=M491,Consolidado!$C$6:$C$1000,1)))</f>
        <v>0</v>
      </c>
      <c r="O491" s="115">
        <f t="array" ref="O491">MAX(IF(Consolidado!$A$6:$A$1000='TOTALES DIARIOS'!A491,IF(Consolidado!$D$6:$D$1000&gt;=M491,Consolidado!$D$6:$D$1000,0)))</f>
        <v>0</v>
      </c>
      <c r="P491" s="118">
        <f t="array" ref="P491">MAX(IF(Consolidado!$A$6:$A$1000='TOTALES DIARIOS'!A491,IF(Consolidado!$D$6:$D$1000&lt;=M491,Consolidado!$D$6:$D$1000,0)))</f>
        <v>0</v>
      </c>
      <c r="Q491" s="117">
        <f t="shared" si="97"/>
        <v>0</v>
      </c>
      <c r="R491" s="117">
        <f t="shared" si="96"/>
        <v>0</v>
      </c>
      <c r="S491" s="104" t="str">
        <f t="shared" si="94"/>
        <v>NO</v>
      </c>
    </row>
    <row r="492" spans="1:19" x14ac:dyDescent="0.25">
      <c r="A492" s="221">
        <f t="shared" si="95"/>
        <v>45780</v>
      </c>
      <c r="B492" s="130" t="str">
        <f t="shared" si="86"/>
        <v/>
      </c>
      <c r="C492" s="217">
        <f t="shared" si="87"/>
        <v>0</v>
      </c>
      <c r="D492" s="217">
        <f t="shared" si="88"/>
        <v>0</v>
      </c>
      <c r="E492" s="218">
        <f>SUMIF(Consolidado!$A$6:$A$380,'TOTALES DIARIOS'!A492,Consolidado!$E$6:$E$380)</f>
        <v>0</v>
      </c>
      <c r="F492" s="218">
        <f>SUMIF(Consolidado!$A$6:$A$380,'TOTALES DIARIOS'!A492,Consolidado!$F$6:$F$380)</f>
        <v>0</v>
      </c>
      <c r="G492" s="218">
        <f>SUMIF(Consolidado!$A$6:$A$380,'TOTALES DIARIOS'!A492,Consolidado!$G$6:$G$380)</f>
        <v>0</v>
      </c>
      <c r="H492" s="219">
        <f t="shared" si="89"/>
        <v>0</v>
      </c>
      <c r="I492" s="99">
        <f t="shared" si="90"/>
        <v>0</v>
      </c>
      <c r="J492" s="99">
        <f t="shared" si="91"/>
        <v>0</v>
      </c>
      <c r="K492" s="113">
        <f t="shared" si="92"/>
        <v>2025</v>
      </c>
      <c r="L492" s="113">
        <f t="shared" si="93"/>
        <v>5</v>
      </c>
      <c r="M492" s="115">
        <f t="array" ref="M492">MIN(IF(Consolidado!$A$6:$A$1000='TOTALES DIARIOS'!A492,IF(Consolidado!$C$6:$C$1000&gt;TIMEVALUE("07:00"),Consolidado!$C$6:$C$1000,1)))</f>
        <v>0</v>
      </c>
      <c r="N492" s="115">
        <f t="array" ref="N492">MIN(IF(Consolidado!$A$6:$A$1000='TOTALES DIARIOS'!A492,IF(Consolidado!$C$6:$C$1000&lt;=M492,Consolidado!$C$6:$C$1000,1)))</f>
        <v>0</v>
      </c>
      <c r="O492" s="115">
        <f t="array" ref="O492">MAX(IF(Consolidado!$A$6:$A$1000='TOTALES DIARIOS'!A492,IF(Consolidado!$D$6:$D$1000&gt;=M492,Consolidado!$D$6:$D$1000,0)))</f>
        <v>0</v>
      </c>
      <c r="P492" s="118">
        <f t="array" ref="P492">MAX(IF(Consolidado!$A$6:$A$1000='TOTALES DIARIOS'!A492,IF(Consolidado!$D$6:$D$1000&lt;=M492,Consolidado!$D$6:$D$1000,0)))</f>
        <v>0</v>
      </c>
      <c r="Q492" s="117">
        <f t="shared" si="97"/>
        <v>0</v>
      </c>
      <c r="R492" s="117">
        <f t="shared" si="96"/>
        <v>0</v>
      </c>
      <c r="S492" s="104" t="str">
        <f t="shared" si="94"/>
        <v>NO</v>
      </c>
    </row>
    <row r="493" spans="1:19" x14ac:dyDescent="0.25">
      <c r="A493" s="221">
        <f t="shared" si="95"/>
        <v>45781</v>
      </c>
      <c r="B493" s="130" t="str">
        <f t="shared" si="86"/>
        <v/>
      </c>
      <c r="C493" s="217">
        <f t="shared" si="87"/>
        <v>0</v>
      </c>
      <c r="D493" s="217">
        <f t="shared" si="88"/>
        <v>0</v>
      </c>
      <c r="E493" s="218">
        <f>SUMIF(Consolidado!$A$6:$A$380,'TOTALES DIARIOS'!A493,Consolidado!$E$6:$E$380)</f>
        <v>0</v>
      </c>
      <c r="F493" s="218">
        <f>SUMIF(Consolidado!$A$6:$A$380,'TOTALES DIARIOS'!A493,Consolidado!$F$6:$F$380)</f>
        <v>0</v>
      </c>
      <c r="G493" s="218">
        <f>SUMIF(Consolidado!$A$6:$A$380,'TOTALES DIARIOS'!A493,Consolidado!$G$6:$G$380)</f>
        <v>0</v>
      </c>
      <c r="H493" s="219">
        <f t="shared" si="89"/>
        <v>0</v>
      </c>
      <c r="I493" s="99">
        <f t="shared" si="90"/>
        <v>0</v>
      </c>
      <c r="J493" s="99">
        <f t="shared" si="91"/>
        <v>0</v>
      </c>
      <c r="K493" s="113">
        <f t="shared" si="92"/>
        <v>2025</v>
      </c>
      <c r="L493" s="113">
        <f t="shared" si="93"/>
        <v>5</v>
      </c>
      <c r="M493" s="115">
        <f t="array" ref="M493">MIN(IF(Consolidado!$A$6:$A$1000='TOTALES DIARIOS'!A493,IF(Consolidado!$C$6:$C$1000&gt;TIMEVALUE("07:00"),Consolidado!$C$6:$C$1000,1)))</f>
        <v>0</v>
      </c>
      <c r="N493" s="115">
        <f t="array" ref="N493">MIN(IF(Consolidado!$A$6:$A$1000='TOTALES DIARIOS'!A493,IF(Consolidado!$C$6:$C$1000&lt;=M493,Consolidado!$C$6:$C$1000,1)))</f>
        <v>0</v>
      </c>
      <c r="O493" s="115">
        <f t="array" ref="O493">MAX(IF(Consolidado!$A$6:$A$1000='TOTALES DIARIOS'!A493,IF(Consolidado!$D$6:$D$1000&gt;=M493,Consolidado!$D$6:$D$1000,0)))</f>
        <v>0</v>
      </c>
      <c r="P493" s="118">
        <f t="array" ref="P493">MAX(IF(Consolidado!$A$6:$A$1000='TOTALES DIARIOS'!A493,IF(Consolidado!$D$6:$D$1000&lt;=M493,Consolidado!$D$6:$D$1000,0)))</f>
        <v>0</v>
      </c>
      <c r="Q493" s="117">
        <f t="shared" si="97"/>
        <v>0</v>
      </c>
      <c r="R493" s="117">
        <f t="shared" si="96"/>
        <v>0</v>
      </c>
      <c r="S493" s="104" t="str">
        <f t="shared" si="94"/>
        <v>NO</v>
      </c>
    </row>
    <row r="494" spans="1:19" x14ac:dyDescent="0.25">
      <c r="A494" s="221">
        <f t="shared" si="95"/>
        <v>45782</v>
      </c>
      <c r="B494" s="130" t="str">
        <f t="shared" si="86"/>
        <v/>
      </c>
      <c r="C494" s="217">
        <f t="shared" si="87"/>
        <v>0</v>
      </c>
      <c r="D494" s="217">
        <f t="shared" si="88"/>
        <v>0</v>
      </c>
      <c r="E494" s="218">
        <f>SUMIF(Consolidado!$A$6:$A$380,'TOTALES DIARIOS'!A494,Consolidado!$E$6:$E$380)</f>
        <v>0</v>
      </c>
      <c r="F494" s="218">
        <f>SUMIF(Consolidado!$A$6:$A$380,'TOTALES DIARIOS'!A494,Consolidado!$F$6:$F$380)</f>
        <v>0</v>
      </c>
      <c r="G494" s="218">
        <f>SUMIF(Consolidado!$A$6:$A$380,'TOTALES DIARIOS'!A494,Consolidado!$G$6:$G$380)</f>
        <v>0</v>
      </c>
      <c r="H494" s="219">
        <f t="shared" si="89"/>
        <v>0</v>
      </c>
      <c r="I494" s="99">
        <f t="shared" si="90"/>
        <v>0</v>
      </c>
      <c r="J494" s="99">
        <f t="shared" si="91"/>
        <v>0</v>
      </c>
      <c r="K494" s="113">
        <f t="shared" si="92"/>
        <v>2025</v>
      </c>
      <c r="L494" s="113">
        <f t="shared" si="93"/>
        <v>5</v>
      </c>
      <c r="M494" s="115">
        <f t="array" ref="M494">MIN(IF(Consolidado!$A$6:$A$1000='TOTALES DIARIOS'!A494,IF(Consolidado!$C$6:$C$1000&gt;TIMEVALUE("07:00"),Consolidado!$C$6:$C$1000,1)))</f>
        <v>0</v>
      </c>
      <c r="N494" s="115">
        <f t="array" ref="N494">MIN(IF(Consolidado!$A$6:$A$1000='TOTALES DIARIOS'!A494,IF(Consolidado!$C$6:$C$1000&lt;=M494,Consolidado!$C$6:$C$1000,1)))</f>
        <v>0</v>
      </c>
      <c r="O494" s="115">
        <f t="array" ref="O494">MAX(IF(Consolidado!$A$6:$A$1000='TOTALES DIARIOS'!A494,IF(Consolidado!$D$6:$D$1000&gt;=M494,Consolidado!$D$6:$D$1000,0)))</f>
        <v>0</v>
      </c>
      <c r="P494" s="118">
        <f t="array" ref="P494">MAX(IF(Consolidado!$A$6:$A$1000='TOTALES DIARIOS'!A494,IF(Consolidado!$D$6:$D$1000&lt;=M494,Consolidado!$D$6:$D$1000,0)))</f>
        <v>0</v>
      </c>
      <c r="Q494" s="117">
        <f t="shared" si="97"/>
        <v>0</v>
      </c>
      <c r="R494" s="117">
        <f t="shared" si="96"/>
        <v>0</v>
      </c>
      <c r="S494" s="104" t="str">
        <f t="shared" si="94"/>
        <v>NO</v>
      </c>
    </row>
    <row r="495" spans="1:19" x14ac:dyDescent="0.25">
      <c r="A495" s="221">
        <f t="shared" si="95"/>
        <v>45783</v>
      </c>
      <c r="B495" s="130" t="str">
        <f t="shared" si="86"/>
        <v/>
      </c>
      <c r="C495" s="217">
        <f t="shared" si="87"/>
        <v>0</v>
      </c>
      <c r="D495" s="217">
        <f t="shared" si="88"/>
        <v>0</v>
      </c>
      <c r="E495" s="218">
        <f>SUMIF(Consolidado!$A$6:$A$380,'TOTALES DIARIOS'!A495,Consolidado!$E$6:$E$380)</f>
        <v>0</v>
      </c>
      <c r="F495" s="218">
        <f>SUMIF(Consolidado!$A$6:$A$380,'TOTALES DIARIOS'!A495,Consolidado!$F$6:$F$380)</f>
        <v>0</v>
      </c>
      <c r="G495" s="218">
        <f>SUMIF(Consolidado!$A$6:$A$380,'TOTALES DIARIOS'!A495,Consolidado!$G$6:$G$380)</f>
        <v>0</v>
      </c>
      <c r="H495" s="219">
        <f t="shared" si="89"/>
        <v>0</v>
      </c>
      <c r="I495" s="99">
        <f t="shared" si="90"/>
        <v>0</v>
      </c>
      <c r="J495" s="99">
        <f t="shared" si="91"/>
        <v>0</v>
      </c>
      <c r="K495" s="113">
        <f t="shared" si="92"/>
        <v>2025</v>
      </c>
      <c r="L495" s="113">
        <f t="shared" si="93"/>
        <v>5</v>
      </c>
      <c r="M495" s="115">
        <f t="array" ref="M495">MIN(IF(Consolidado!$A$6:$A$1000='TOTALES DIARIOS'!A495,IF(Consolidado!$C$6:$C$1000&gt;TIMEVALUE("07:00"),Consolidado!$C$6:$C$1000,1)))</f>
        <v>0</v>
      </c>
      <c r="N495" s="115">
        <f t="array" ref="N495">MIN(IF(Consolidado!$A$6:$A$1000='TOTALES DIARIOS'!A495,IF(Consolidado!$C$6:$C$1000&lt;=M495,Consolidado!$C$6:$C$1000,1)))</f>
        <v>0</v>
      </c>
      <c r="O495" s="115">
        <f t="array" ref="O495">MAX(IF(Consolidado!$A$6:$A$1000='TOTALES DIARIOS'!A495,IF(Consolidado!$D$6:$D$1000&gt;=M495,Consolidado!$D$6:$D$1000,0)))</f>
        <v>0</v>
      </c>
      <c r="P495" s="118">
        <f t="array" ref="P495">MAX(IF(Consolidado!$A$6:$A$1000='TOTALES DIARIOS'!A495,IF(Consolidado!$D$6:$D$1000&lt;=M495,Consolidado!$D$6:$D$1000,0)))</f>
        <v>0</v>
      </c>
      <c r="Q495" s="117">
        <f t="shared" si="97"/>
        <v>0</v>
      </c>
      <c r="R495" s="117">
        <f t="shared" si="96"/>
        <v>0</v>
      </c>
      <c r="S495" s="104" t="str">
        <f t="shared" si="94"/>
        <v>NO</v>
      </c>
    </row>
    <row r="496" spans="1:19" x14ac:dyDescent="0.25">
      <c r="A496" s="221">
        <f t="shared" si="95"/>
        <v>45784</v>
      </c>
      <c r="B496" s="130" t="str">
        <f t="shared" si="86"/>
        <v/>
      </c>
      <c r="C496" s="217">
        <f t="shared" si="87"/>
        <v>0</v>
      </c>
      <c r="D496" s="217">
        <f t="shared" si="88"/>
        <v>0</v>
      </c>
      <c r="E496" s="218">
        <f>SUMIF(Consolidado!$A$6:$A$380,'TOTALES DIARIOS'!A496,Consolidado!$E$6:$E$380)</f>
        <v>0</v>
      </c>
      <c r="F496" s="218">
        <f>SUMIF(Consolidado!$A$6:$A$380,'TOTALES DIARIOS'!A496,Consolidado!$F$6:$F$380)</f>
        <v>0</v>
      </c>
      <c r="G496" s="218">
        <f>SUMIF(Consolidado!$A$6:$A$380,'TOTALES DIARIOS'!A496,Consolidado!$G$6:$G$380)</f>
        <v>0</v>
      </c>
      <c r="H496" s="219">
        <f t="shared" si="89"/>
        <v>0</v>
      </c>
      <c r="I496" s="99">
        <f t="shared" si="90"/>
        <v>0</v>
      </c>
      <c r="J496" s="99">
        <f t="shared" si="91"/>
        <v>0</v>
      </c>
      <c r="K496" s="113">
        <f t="shared" si="92"/>
        <v>2025</v>
      </c>
      <c r="L496" s="113">
        <f t="shared" si="93"/>
        <v>5</v>
      </c>
      <c r="M496" s="115">
        <f t="array" ref="M496">MIN(IF(Consolidado!$A$6:$A$1000='TOTALES DIARIOS'!A496,IF(Consolidado!$C$6:$C$1000&gt;TIMEVALUE("07:00"),Consolidado!$C$6:$C$1000,1)))</f>
        <v>0</v>
      </c>
      <c r="N496" s="115">
        <f t="array" ref="N496">MIN(IF(Consolidado!$A$6:$A$1000='TOTALES DIARIOS'!A496,IF(Consolidado!$C$6:$C$1000&lt;=M496,Consolidado!$C$6:$C$1000,1)))</f>
        <v>0</v>
      </c>
      <c r="O496" s="115">
        <f t="array" ref="O496">MAX(IF(Consolidado!$A$6:$A$1000='TOTALES DIARIOS'!A496,IF(Consolidado!$D$6:$D$1000&gt;=M496,Consolidado!$D$6:$D$1000,0)))</f>
        <v>0</v>
      </c>
      <c r="P496" s="118">
        <f t="array" ref="P496">MAX(IF(Consolidado!$A$6:$A$1000='TOTALES DIARIOS'!A496,IF(Consolidado!$D$6:$D$1000&lt;=M496,Consolidado!$D$6:$D$1000,0)))</f>
        <v>0</v>
      </c>
      <c r="Q496" s="117">
        <f t="shared" si="97"/>
        <v>0</v>
      </c>
      <c r="R496" s="117">
        <f t="shared" si="96"/>
        <v>0</v>
      </c>
      <c r="S496" s="104" t="str">
        <f t="shared" si="94"/>
        <v>NO</v>
      </c>
    </row>
    <row r="497" spans="1:19" x14ac:dyDescent="0.25">
      <c r="A497" s="221">
        <f t="shared" si="95"/>
        <v>45785</v>
      </c>
      <c r="B497" s="130" t="str">
        <f t="shared" si="86"/>
        <v/>
      </c>
      <c r="C497" s="217">
        <f t="shared" si="87"/>
        <v>0</v>
      </c>
      <c r="D497" s="217">
        <f t="shared" si="88"/>
        <v>0</v>
      </c>
      <c r="E497" s="218">
        <f>SUMIF(Consolidado!$A$6:$A$380,'TOTALES DIARIOS'!A497,Consolidado!$E$6:$E$380)</f>
        <v>0</v>
      </c>
      <c r="F497" s="218">
        <f>SUMIF(Consolidado!$A$6:$A$380,'TOTALES DIARIOS'!A497,Consolidado!$F$6:$F$380)</f>
        <v>0</v>
      </c>
      <c r="G497" s="218">
        <f>SUMIF(Consolidado!$A$6:$A$380,'TOTALES DIARIOS'!A497,Consolidado!$G$6:$G$380)</f>
        <v>0</v>
      </c>
      <c r="H497" s="219">
        <f t="shared" si="89"/>
        <v>0</v>
      </c>
      <c r="I497" s="99">
        <f t="shared" si="90"/>
        <v>0</v>
      </c>
      <c r="J497" s="99">
        <f t="shared" si="91"/>
        <v>0</v>
      </c>
      <c r="K497" s="113">
        <f t="shared" si="92"/>
        <v>2025</v>
      </c>
      <c r="L497" s="113">
        <f t="shared" si="93"/>
        <v>5</v>
      </c>
      <c r="M497" s="115">
        <f t="array" ref="M497">MIN(IF(Consolidado!$A$6:$A$1000='TOTALES DIARIOS'!A497,IF(Consolidado!$C$6:$C$1000&gt;TIMEVALUE("07:00"),Consolidado!$C$6:$C$1000,1)))</f>
        <v>0</v>
      </c>
      <c r="N497" s="115">
        <f t="array" ref="N497">MIN(IF(Consolidado!$A$6:$A$1000='TOTALES DIARIOS'!A497,IF(Consolidado!$C$6:$C$1000&lt;=M497,Consolidado!$C$6:$C$1000,1)))</f>
        <v>0</v>
      </c>
      <c r="O497" s="115">
        <f t="array" ref="O497">MAX(IF(Consolidado!$A$6:$A$1000='TOTALES DIARIOS'!A497,IF(Consolidado!$D$6:$D$1000&gt;=M497,Consolidado!$D$6:$D$1000,0)))</f>
        <v>0</v>
      </c>
      <c r="P497" s="118">
        <f t="array" ref="P497">MAX(IF(Consolidado!$A$6:$A$1000='TOTALES DIARIOS'!A497,IF(Consolidado!$D$6:$D$1000&lt;=M497,Consolidado!$D$6:$D$1000,0)))</f>
        <v>0</v>
      </c>
      <c r="Q497" s="117">
        <f t="shared" si="97"/>
        <v>0</v>
      </c>
      <c r="R497" s="117">
        <f t="shared" si="96"/>
        <v>0</v>
      </c>
      <c r="S497" s="104" t="str">
        <f t="shared" si="94"/>
        <v>NO</v>
      </c>
    </row>
    <row r="498" spans="1:19" x14ac:dyDescent="0.25">
      <c r="A498" s="221">
        <f t="shared" si="95"/>
        <v>45786</v>
      </c>
      <c r="B498" s="130" t="str">
        <f t="shared" si="86"/>
        <v/>
      </c>
      <c r="C498" s="217">
        <f t="shared" si="87"/>
        <v>0</v>
      </c>
      <c r="D498" s="217">
        <f t="shared" si="88"/>
        <v>0</v>
      </c>
      <c r="E498" s="218">
        <f>SUMIF(Consolidado!$A$6:$A$380,'TOTALES DIARIOS'!A498,Consolidado!$E$6:$E$380)</f>
        <v>0</v>
      </c>
      <c r="F498" s="218">
        <f>SUMIF(Consolidado!$A$6:$A$380,'TOTALES DIARIOS'!A498,Consolidado!$F$6:$F$380)</f>
        <v>0</v>
      </c>
      <c r="G498" s="218">
        <f>SUMIF(Consolidado!$A$6:$A$380,'TOTALES DIARIOS'!A498,Consolidado!$G$6:$G$380)</f>
        <v>0</v>
      </c>
      <c r="H498" s="219">
        <f t="shared" si="89"/>
        <v>0</v>
      </c>
      <c r="I498" s="99">
        <f t="shared" si="90"/>
        <v>0</v>
      </c>
      <c r="J498" s="99">
        <f t="shared" si="91"/>
        <v>0</v>
      </c>
      <c r="K498" s="113">
        <f t="shared" si="92"/>
        <v>2025</v>
      </c>
      <c r="L498" s="113">
        <f t="shared" si="93"/>
        <v>5</v>
      </c>
      <c r="M498" s="115">
        <f t="array" ref="M498">MIN(IF(Consolidado!$A$6:$A$1000='TOTALES DIARIOS'!A498,IF(Consolidado!$C$6:$C$1000&gt;TIMEVALUE("07:00"),Consolidado!$C$6:$C$1000,1)))</f>
        <v>0</v>
      </c>
      <c r="N498" s="115">
        <f t="array" ref="N498">MIN(IF(Consolidado!$A$6:$A$1000='TOTALES DIARIOS'!A498,IF(Consolidado!$C$6:$C$1000&lt;=M498,Consolidado!$C$6:$C$1000,1)))</f>
        <v>0</v>
      </c>
      <c r="O498" s="115">
        <f t="array" ref="O498">MAX(IF(Consolidado!$A$6:$A$1000='TOTALES DIARIOS'!A498,IF(Consolidado!$D$6:$D$1000&gt;=M498,Consolidado!$D$6:$D$1000,0)))</f>
        <v>0</v>
      </c>
      <c r="P498" s="118">
        <f t="array" ref="P498">MAX(IF(Consolidado!$A$6:$A$1000='TOTALES DIARIOS'!A498,IF(Consolidado!$D$6:$D$1000&lt;=M498,Consolidado!$D$6:$D$1000,0)))</f>
        <v>0</v>
      </c>
      <c r="Q498" s="117">
        <f t="shared" si="97"/>
        <v>0</v>
      </c>
      <c r="R498" s="117">
        <f t="shared" si="96"/>
        <v>0</v>
      </c>
      <c r="S498" s="104" t="str">
        <f t="shared" si="94"/>
        <v>NO</v>
      </c>
    </row>
    <row r="499" spans="1:19" x14ac:dyDescent="0.25">
      <c r="A499" s="221">
        <f t="shared" si="95"/>
        <v>45787</v>
      </c>
      <c r="B499" s="130" t="str">
        <f t="shared" si="86"/>
        <v/>
      </c>
      <c r="C499" s="217">
        <f t="shared" si="87"/>
        <v>0</v>
      </c>
      <c r="D499" s="217">
        <f t="shared" si="88"/>
        <v>0</v>
      </c>
      <c r="E499" s="218">
        <f>SUMIF(Consolidado!$A$6:$A$380,'TOTALES DIARIOS'!A499,Consolidado!$E$6:$E$380)</f>
        <v>0</v>
      </c>
      <c r="F499" s="218">
        <f>SUMIF(Consolidado!$A$6:$A$380,'TOTALES DIARIOS'!A499,Consolidado!$F$6:$F$380)</f>
        <v>0</v>
      </c>
      <c r="G499" s="218">
        <f>SUMIF(Consolidado!$A$6:$A$380,'TOTALES DIARIOS'!A499,Consolidado!$G$6:$G$380)</f>
        <v>0</v>
      </c>
      <c r="H499" s="219">
        <f t="shared" si="89"/>
        <v>0</v>
      </c>
      <c r="I499" s="99">
        <f t="shared" si="90"/>
        <v>0</v>
      </c>
      <c r="J499" s="99">
        <f t="shared" si="91"/>
        <v>0</v>
      </c>
      <c r="K499" s="113">
        <f t="shared" si="92"/>
        <v>2025</v>
      </c>
      <c r="L499" s="113">
        <f t="shared" si="93"/>
        <v>5</v>
      </c>
      <c r="M499" s="115">
        <f t="array" ref="M499">MIN(IF(Consolidado!$A$6:$A$1000='TOTALES DIARIOS'!A499,IF(Consolidado!$C$6:$C$1000&gt;TIMEVALUE("07:00"),Consolidado!$C$6:$C$1000,1)))</f>
        <v>0</v>
      </c>
      <c r="N499" s="115">
        <f t="array" ref="N499">MIN(IF(Consolidado!$A$6:$A$1000='TOTALES DIARIOS'!A499,IF(Consolidado!$C$6:$C$1000&lt;=M499,Consolidado!$C$6:$C$1000,1)))</f>
        <v>0</v>
      </c>
      <c r="O499" s="115">
        <f t="array" ref="O499">MAX(IF(Consolidado!$A$6:$A$1000='TOTALES DIARIOS'!A499,IF(Consolidado!$D$6:$D$1000&gt;=M499,Consolidado!$D$6:$D$1000,0)))</f>
        <v>0</v>
      </c>
      <c r="P499" s="118">
        <f t="array" ref="P499">MAX(IF(Consolidado!$A$6:$A$1000='TOTALES DIARIOS'!A499,IF(Consolidado!$D$6:$D$1000&lt;=M499,Consolidado!$D$6:$D$1000,0)))</f>
        <v>0</v>
      </c>
      <c r="Q499" s="117">
        <f t="shared" si="97"/>
        <v>0</v>
      </c>
      <c r="R499" s="117">
        <f t="shared" si="96"/>
        <v>0</v>
      </c>
      <c r="S499" s="104" t="str">
        <f t="shared" si="94"/>
        <v>NO</v>
      </c>
    </row>
    <row r="500" spans="1:19" x14ac:dyDescent="0.25">
      <c r="A500" s="221">
        <f t="shared" si="95"/>
        <v>45788</v>
      </c>
      <c r="B500" s="130" t="str">
        <f t="shared" si="86"/>
        <v/>
      </c>
      <c r="C500" s="217">
        <f t="shared" si="87"/>
        <v>0</v>
      </c>
      <c r="D500" s="217">
        <f t="shared" si="88"/>
        <v>0</v>
      </c>
      <c r="E500" s="218">
        <f>SUMIF(Consolidado!$A$6:$A$380,'TOTALES DIARIOS'!A500,Consolidado!$E$6:$E$380)</f>
        <v>0</v>
      </c>
      <c r="F500" s="218">
        <f>SUMIF(Consolidado!$A$6:$A$380,'TOTALES DIARIOS'!A500,Consolidado!$F$6:$F$380)</f>
        <v>0</v>
      </c>
      <c r="G500" s="218">
        <f>SUMIF(Consolidado!$A$6:$A$380,'TOTALES DIARIOS'!A500,Consolidado!$G$6:$G$380)</f>
        <v>0</v>
      </c>
      <c r="H500" s="219">
        <f t="shared" si="89"/>
        <v>0</v>
      </c>
      <c r="I500" s="99">
        <f t="shared" si="90"/>
        <v>0</v>
      </c>
      <c r="J500" s="99">
        <f t="shared" si="91"/>
        <v>0</v>
      </c>
      <c r="K500" s="113">
        <f t="shared" si="92"/>
        <v>2025</v>
      </c>
      <c r="L500" s="113">
        <f t="shared" si="93"/>
        <v>5</v>
      </c>
      <c r="M500" s="115">
        <f t="array" ref="M500">MIN(IF(Consolidado!$A$6:$A$1000='TOTALES DIARIOS'!A500,IF(Consolidado!$C$6:$C$1000&gt;TIMEVALUE("07:00"),Consolidado!$C$6:$C$1000,1)))</f>
        <v>0</v>
      </c>
      <c r="N500" s="115">
        <f t="array" ref="N500">MIN(IF(Consolidado!$A$6:$A$1000='TOTALES DIARIOS'!A500,IF(Consolidado!$C$6:$C$1000&lt;=M500,Consolidado!$C$6:$C$1000,1)))</f>
        <v>0</v>
      </c>
      <c r="O500" s="115">
        <f t="array" ref="O500">MAX(IF(Consolidado!$A$6:$A$1000='TOTALES DIARIOS'!A500,IF(Consolidado!$D$6:$D$1000&gt;=M500,Consolidado!$D$6:$D$1000,0)))</f>
        <v>0</v>
      </c>
      <c r="P500" s="118">
        <f t="array" ref="P500">MAX(IF(Consolidado!$A$6:$A$1000='TOTALES DIARIOS'!A500,IF(Consolidado!$D$6:$D$1000&lt;=M500,Consolidado!$D$6:$D$1000,0)))</f>
        <v>0</v>
      </c>
      <c r="Q500" s="117">
        <f t="shared" si="97"/>
        <v>0</v>
      </c>
      <c r="R500" s="117">
        <f t="shared" si="96"/>
        <v>0</v>
      </c>
      <c r="S500" s="104" t="str">
        <f t="shared" si="94"/>
        <v>NO</v>
      </c>
    </row>
    <row r="501" spans="1:19" x14ac:dyDescent="0.25">
      <c r="A501" s="221">
        <f t="shared" si="95"/>
        <v>45789</v>
      </c>
      <c r="B501" s="130" t="str">
        <f t="shared" si="86"/>
        <v/>
      </c>
      <c r="C501" s="217">
        <f t="shared" si="87"/>
        <v>0</v>
      </c>
      <c r="D501" s="217">
        <f t="shared" si="88"/>
        <v>0</v>
      </c>
      <c r="E501" s="218">
        <f>SUMIF(Consolidado!$A$6:$A$380,'TOTALES DIARIOS'!A501,Consolidado!$E$6:$E$380)</f>
        <v>0</v>
      </c>
      <c r="F501" s="218">
        <f>SUMIF(Consolidado!$A$6:$A$380,'TOTALES DIARIOS'!A501,Consolidado!$F$6:$F$380)</f>
        <v>0</v>
      </c>
      <c r="G501" s="218">
        <f>SUMIF(Consolidado!$A$6:$A$380,'TOTALES DIARIOS'!A501,Consolidado!$G$6:$G$380)</f>
        <v>0</v>
      </c>
      <c r="H501" s="219">
        <f t="shared" si="89"/>
        <v>0</v>
      </c>
      <c r="I501" s="99">
        <f t="shared" si="90"/>
        <v>0</v>
      </c>
      <c r="J501" s="99">
        <f t="shared" si="91"/>
        <v>0</v>
      </c>
      <c r="K501" s="113">
        <f t="shared" si="92"/>
        <v>2025</v>
      </c>
      <c r="L501" s="113">
        <f t="shared" si="93"/>
        <v>5</v>
      </c>
      <c r="M501" s="115">
        <f t="array" ref="M501">MIN(IF(Consolidado!$A$6:$A$1000='TOTALES DIARIOS'!A501,IF(Consolidado!$C$6:$C$1000&gt;TIMEVALUE("07:00"),Consolidado!$C$6:$C$1000,1)))</f>
        <v>0</v>
      </c>
      <c r="N501" s="115">
        <f t="array" ref="N501">MIN(IF(Consolidado!$A$6:$A$1000='TOTALES DIARIOS'!A501,IF(Consolidado!$C$6:$C$1000&lt;=M501,Consolidado!$C$6:$C$1000,1)))</f>
        <v>0</v>
      </c>
      <c r="O501" s="115">
        <f t="array" ref="O501">MAX(IF(Consolidado!$A$6:$A$1000='TOTALES DIARIOS'!A501,IF(Consolidado!$D$6:$D$1000&gt;=M501,Consolidado!$D$6:$D$1000,0)))</f>
        <v>0</v>
      </c>
      <c r="P501" s="118">
        <f t="array" ref="P501">MAX(IF(Consolidado!$A$6:$A$1000='TOTALES DIARIOS'!A501,IF(Consolidado!$D$6:$D$1000&lt;=M501,Consolidado!$D$6:$D$1000,0)))</f>
        <v>0</v>
      </c>
      <c r="Q501" s="117">
        <f t="shared" si="97"/>
        <v>0</v>
      </c>
      <c r="R501" s="117">
        <f t="shared" si="96"/>
        <v>0</v>
      </c>
      <c r="S501" s="104" t="str">
        <f t="shared" si="94"/>
        <v>NO</v>
      </c>
    </row>
    <row r="502" spans="1:19" x14ac:dyDescent="0.25">
      <c r="A502" s="221">
        <f t="shared" si="95"/>
        <v>45790</v>
      </c>
      <c r="B502" s="130" t="str">
        <f t="shared" si="86"/>
        <v/>
      </c>
      <c r="C502" s="217">
        <f t="shared" si="87"/>
        <v>0</v>
      </c>
      <c r="D502" s="217">
        <f t="shared" si="88"/>
        <v>0</v>
      </c>
      <c r="E502" s="218">
        <f>SUMIF(Consolidado!$A$6:$A$380,'TOTALES DIARIOS'!A502,Consolidado!$E$6:$E$380)</f>
        <v>0</v>
      </c>
      <c r="F502" s="218">
        <f>SUMIF(Consolidado!$A$6:$A$380,'TOTALES DIARIOS'!A502,Consolidado!$F$6:$F$380)</f>
        <v>0</v>
      </c>
      <c r="G502" s="218">
        <f>SUMIF(Consolidado!$A$6:$A$380,'TOTALES DIARIOS'!A502,Consolidado!$G$6:$G$380)</f>
        <v>0</v>
      </c>
      <c r="H502" s="219">
        <f t="shared" si="89"/>
        <v>0</v>
      </c>
      <c r="I502" s="99">
        <f t="shared" si="90"/>
        <v>0</v>
      </c>
      <c r="J502" s="99">
        <f t="shared" si="91"/>
        <v>0</v>
      </c>
      <c r="K502" s="113">
        <f t="shared" si="92"/>
        <v>2025</v>
      </c>
      <c r="L502" s="113">
        <f t="shared" si="93"/>
        <v>5</v>
      </c>
      <c r="M502" s="115">
        <f t="array" ref="M502">MIN(IF(Consolidado!$A$6:$A$1000='TOTALES DIARIOS'!A502,IF(Consolidado!$C$6:$C$1000&gt;TIMEVALUE("07:00"),Consolidado!$C$6:$C$1000,1)))</f>
        <v>0</v>
      </c>
      <c r="N502" s="115">
        <f t="array" ref="N502">MIN(IF(Consolidado!$A$6:$A$1000='TOTALES DIARIOS'!A502,IF(Consolidado!$C$6:$C$1000&lt;=M502,Consolidado!$C$6:$C$1000,1)))</f>
        <v>0</v>
      </c>
      <c r="O502" s="115">
        <f t="array" ref="O502">MAX(IF(Consolidado!$A$6:$A$1000='TOTALES DIARIOS'!A502,IF(Consolidado!$D$6:$D$1000&gt;=M502,Consolidado!$D$6:$D$1000,0)))</f>
        <v>0</v>
      </c>
      <c r="P502" s="118">
        <f t="array" ref="P502">MAX(IF(Consolidado!$A$6:$A$1000='TOTALES DIARIOS'!A502,IF(Consolidado!$D$6:$D$1000&lt;=M502,Consolidado!$D$6:$D$1000,0)))</f>
        <v>0</v>
      </c>
      <c r="Q502" s="117">
        <f t="shared" si="97"/>
        <v>0</v>
      </c>
      <c r="R502" s="117">
        <f t="shared" si="96"/>
        <v>0</v>
      </c>
      <c r="S502" s="104" t="str">
        <f t="shared" si="94"/>
        <v>NO</v>
      </c>
    </row>
    <row r="503" spans="1:19" x14ac:dyDescent="0.25">
      <c r="A503" s="221">
        <f t="shared" si="95"/>
        <v>45791</v>
      </c>
      <c r="B503" s="130" t="str">
        <f t="shared" si="86"/>
        <v/>
      </c>
      <c r="C503" s="217">
        <f t="shared" si="87"/>
        <v>0</v>
      </c>
      <c r="D503" s="217">
        <f t="shared" si="88"/>
        <v>0</v>
      </c>
      <c r="E503" s="218">
        <f>SUMIF(Consolidado!$A$6:$A$380,'TOTALES DIARIOS'!A503,Consolidado!$E$6:$E$380)</f>
        <v>0</v>
      </c>
      <c r="F503" s="218">
        <f>SUMIF(Consolidado!$A$6:$A$380,'TOTALES DIARIOS'!A503,Consolidado!$F$6:$F$380)</f>
        <v>0</v>
      </c>
      <c r="G503" s="218">
        <f>SUMIF(Consolidado!$A$6:$A$380,'TOTALES DIARIOS'!A503,Consolidado!$G$6:$G$380)</f>
        <v>0</v>
      </c>
      <c r="H503" s="219">
        <f t="shared" si="89"/>
        <v>0</v>
      </c>
      <c r="I503" s="99">
        <f t="shared" si="90"/>
        <v>0</v>
      </c>
      <c r="J503" s="99">
        <f t="shared" si="91"/>
        <v>0</v>
      </c>
      <c r="K503" s="113">
        <f t="shared" si="92"/>
        <v>2025</v>
      </c>
      <c r="L503" s="113">
        <f t="shared" si="93"/>
        <v>5</v>
      </c>
      <c r="M503" s="115">
        <f t="array" ref="M503">MIN(IF(Consolidado!$A$6:$A$1000='TOTALES DIARIOS'!A503,IF(Consolidado!$C$6:$C$1000&gt;TIMEVALUE("07:00"),Consolidado!$C$6:$C$1000,1)))</f>
        <v>0</v>
      </c>
      <c r="N503" s="115">
        <f t="array" ref="N503">MIN(IF(Consolidado!$A$6:$A$1000='TOTALES DIARIOS'!A503,IF(Consolidado!$C$6:$C$1000&lt;=M503,Consolidado!$C$6:$C$1000,1)))</f>
        <v>0</v>
      </c>
      <c r="O503" s="115">
        <f t="array" ref="O503">MAX(IF(Consolidado!$A$6:$A$1000='TOTALES DIARIOS'!A503,IF(Consolidado!$D$6:$D$1000&gt;=M503,Consolidado!$D$6:$D$1000,0)))</f>
        <v>0</v>
      </c>
      <c r="P503" s="118">
        <f t="array" ref="P503">MAX(IF(Consolidado!$A$6:$A$1000='TOTALES DIARIOS'!A503,IF(Consolidado!$D$6:$D$1000&lt;=M503,Consolidado!$D$6:$D$1000,0)))</f>
        <v>0</v>
      </c>
      <c r="Q503" s="117">
        <f t="shared" si="97"/>
        <v>0</v>
      </c>
      <c r="R503" s="117">
        <f t="shared" si="96"/>
        <v>0</v>
      </c>
      <c r="S503" s="104" t="str">
        <f t="shared" si="94"/>
        <v>NO</v>
      </c>
    </row>
    <row r="504" spans="1:19" x14ac:dyDescent="0.25">
      <c r="A504" s="221">
        <f t="shared" si="95"/>
        <v>45792</v>
      </c>
      <c r="B504" s="130" t="str">
        <f t="shared" si="86"/>
        <v/>
      </c>
      <c r="C504" s="217">
        <f t="shared" si="87"/>
        <v>0</v>
      </c>
      <c r="D504" s="217">
        <f t="shared" si="88"/>
        <v>0</v>
      </c>
      <c r="E504" s="218">
        <f>SUMIF(Consolidado!$A$6:$A$380,'TOTALES DIARIOS'!A504,Consolidado!$E$6:$E$380)</f>
        <v>0</v>
      </c>
      <c r="F504" s="218">
        <f>SUMIF(Consolidado!$A$6:$A$380,'TOTALES DIARIOS'!A504,Consolidado!$F$6:$F$380)</f>
        <v>0</v>
      </c>
      <c r="G504" s="218">
        <f>SUMIF(Consolidado!$A$6:$A$380,'TOTALES DIARIOS'!A504,Consolidado!$G$6:$G$380)</f>
        <v>0</v>
      </c>
      <c r="H504" s="219">
        <f t="shared" si="89"/>
        <v>0</v>
      </c>
      <c r="I504" s="99">
        <f t="shared" si="90"/>
        <v>0</v>
      </c>
      <c r="J504" s="99">
        <f t="shared" si="91"/>
        <v>0</v>
      </c>
      <c r="K504" s="113">
        <f t="shared" si="92"/>
        <v>2025</v>
      </c>
      <c r="L504" s="113">
        <f t="shared" si="93"/>
        <v>5</v>
      </c>
      <c r="M504" s="115">
        <f t="array" ref="M504">MIN(IF(Consolidado!$A$6:$A$1000='TOTALES DIARIOS'!A504,IF(Consolidado!$C$6:$C$1000&gt;TIMEVALUE("07:00"),Consolidado!$C$6:$C$1000,1)))</f>
        <v>0</v>
      </c>
      <c r="N504" s="115">
        <f t="array" ref="N504">MIN(IF(Consolidado!$A$6:$A$1000='TOTALES DIARIOS'!A504,IF(Consolidado!$C$6:$C$1000&lt;=M504,Consolidado!$C$6:$C$1000,1)))</f>
        <v>0</v>
      </c>
      <c r="O504" s="115">
        <f t="array" ref="O504">MAX(IF(Consolidado!$A$6:$A$1000='TOTALES DIARIOS'!A504,IF(Consolidado!$D$6:$D$1000&gt;=M504,Consolidado!$D$6:$D$1000,0)))</f>
        <v>0</v>
      </c>
      <c r="P504" s="118">
        <f t="array" ref="P504">MAX(IF(Consolidado!$A$6:$A$1000='TOTALES DIARIOS'!A504,IF(Consolidado!$D$6:$D$1000&lt;=M504,Consolidado!$D$6:$D$1000,0)))</f>
        <v>0</v>
      </c>
      <c r="Q504" s="117">
        <f t="shared" si="97"/>
        <v>0</v>
      </c>
      <c r="R504" s="117">
        <f t="shared" si="96"/>
        <v>0</v>
      </c>
      <c r="S504" s="104" t="str">
        <f t="shared" si="94"/>
        <v>NO</v>
      </c>
    </row>
    <row r="505" spans="1:19" x14ac:dyDescent="0.25">
      <c r="A505" s="221">
        <f t="shared" si="95"/>
        <v>45793</v>
      </c>
      <c r="B505" s="130" t="str">
        <f t="shared" si="86"/>
        <v/>
      </c>
      <c r="C505" s="217">
        <f t="shared" si="87"/>
        <v>0</v>
      </c>
      <c r="D505" s="217">
        <f t="shared" si="88"/>
        <v>0</v>
      </c>
      <c r="E505" s="218">
        <f>SUMIF(Consolidado!$A$6:$A$380,'TOTALES DIARIOS'!A505,Consolidado!$E$6:$E$380)</f>
        <v>0</v>
      </c>
      <c r="F505" s="218">
        <f>SUMIF(Consolidado!$A$6:$A$380,'TOTALES DIARIOS'!A505,Consolidado!$F$6:$F$380)</f>
        <v>0</v>
      </c>
      <c r="G505" s="218">
        <f>SUMIF(Consolidado!$A$6:$A$380,'TOTALES DIARIOS'!A505,Consolidado!$G$6:$G$380)</f>
        <v>0</v>
      </c>
      <c r="H505" s="219">
        <f t="shared" si="89"/>
        <v>0</v>
      </c>
      <c r="I505" s="99">
        <f t="shared" si="90"/>
        <v>0</v>
      </c>
      <c r="J505" s="99">
        <f t="shared" si="91"/>
        <v>0</v>
      </c>
      <c r="K505" s="113">
        <f t="shared" si="92"/>
        <v>2025</v>
      </c>
      <c r="L505" s="113">
        <f t="shared" si="93"/>
        <v>5</v>
      </c>
      <c r="M505" s="115">
        <f t="array" ref="M505">MIN(IF(Consolidado!$A$6:$A$1000='TOTALES DIARIOS'!A505,IF(Consolidado!$C$6:$C$1000&gt;TIMEVALUE("07:00"),Consolidado!$C$6:$C$1000,1)))</f>
        <v>0</v>
      </c>
      <c r="N505" s="115">
        <f t="array" ref="N505">MIN(IF(Consolidado!$A$6:$A$1000='TOTALES DIARIOS'!A505,IF(Consolidado!$C$6:$C$1000&lt;=M505,Consolidado!$C$6:$C$1000,1)))</f>
        <v>0</v>
      </c>
      <c r="O505" s="115">
        <f t="array" ref="O505">MAX(IF(Consolidado!$A$6:$A$1000='TOTALES DIARIOS'!A505,IF(Consolidado!$D$6:$D$1000&gt;=M505,Consolidado!$D$6:$D$1000,0)))</f>
        <v>0</v>
      </c>
      <c r="P505" s="118">
        <f t="array" ref="P505">MAX(IF(Consolidado!$A$6:$A$1000='TOTALES DIARIOS'!A505,IF(Consolidado!$D$6:$D$1000&lt;=M505,Consolidado!$D$6:$D$1000,0)))</f>
        <v>0</v>
      </c>
      <c r="Q505" s="117">
        <f t="shared" si="97"/>
        <v>0</v>
      </c>
      <c r="R505" s="117">
        <f t="shared" si="96"/>
        <v>0</v>
      </c>
      <c r="S505" s="104" t="str">
        <f t="shared" si="94"/>
        <v>NO</v>
      </c>
    </row>
    <row r="506" spans="1:19" x14ac:dyDescent="0.25">
      <c r="A506" s="221">
        <f t="shared" si="95"/>
        <v>45794</v>
      </c>
      <c r="B506" s="130" t="str">
        <f t="shared" si="86"/>
        <v/>
      </c>
      <c r="C506" s="217">
        <f t="shared" si="87"/>
        <v>0</v>
      </c>
      <c r="D506" s="217">
        <f t="shared" si="88"/>
        <v>0</v>
      </c>
      <c r="E506" s="218">
        <f>SUMIF(Consolidado!$A$6:$A$380,'TOTALES DIARIOS'!A506,Consolidado!$E$6:$E$380)</f>
        <v>0</v>
      </c>
      <c r="F506" s="218">
        <f>SUMIF(Consolidado!$A$6:$A$380,'TOTALES DIARIOS'!A506,Consolidado!$F$6:$F$380)</f>
        <v>0</v>
      </c>
      <c r="G506" s="218">
        <f>SUMIF(Consolidado!$A$6:$A$380,'TOTALES DIARIOS'!A506,Consolidado!$G$6:$G$380)</f>
        <v>0</v>
      </c>
      <c r="H506" s="219">
        <f t="shared" si="89"/>
        <v>0</v>
      </c>
      <c r="I506" s="99">
        <f t="shared" si="90"/>
        <v>0</v>
      </c>
      <c r="J506" s="99">
        <f t="shared" si="91"/>
        <v>0</v>
      </c>
      <c r="K506" s="113">
        <f t="shared" si="92"/>
        <v>2025</v>
      </c>
      <c r="L506" s="113">
        <f t="shared" si="93"/>
        <v>5</v>
      </c>
      <c r="M506" s="115">
        <f t="array" ref="M506">MIN(IF(Consolidado!$A$6:$A$1000='TOTALES DIARIOS'!A506,IF(Consolidado!$C$6:$C$1000&gt;TIMEVALUE("07:00"),Consolidado!$C$6:$C$1000,1)))</f>
        <v>0</v>
      </c>
      <c r="N506" s="115">
        <f t="array" ref="N506">MIN(IF(Consolidado!$A$6:$A$1000='TOTALES DIARIOS'!A506,IF(Consolidado!$C$6:$C$1000&lt;=M506,Consolidado!$C$6:$C$1000,1)))</f>
        <v>0</v>
      </c>
      <c r="O506" s="115">
        <f t="array" ref="O506">MAX(IF(Consolidado!$A$6:$A$1000='TOTALES DIARIOS'!A506,IF(Consolidado!$D$6:$D$1000&gt;=M506,Consolidado!$D$6:$D$1000,0)))</f>
        <v>0</v>
      </c>
      <c r="P506" s="118">
        <f t="array" ref="P506">MAX(IF(Consolidado!$A$6:$A$1000='TOTALES DIARIOS'!A506,IF(Consolidado!$D$6:$D$1000&lt;=M506,Consolidado!$D$6:$D$1000,0)))</f>
        <v>0</v>
      </c>
      <c r="Q506" s="117">
        <f t="shared" si="97"/>
        <v>0</v>
      </c>
      <c r="R506" s="117">
        <f t="shared" si="96"/>
        <v>0</v>
      </c>
      <c r="S506" s="104" t="str">
        <f t="shared" si="94"/>
        <v>NO</v>
      </c>
    </row>
    <row r="507" spans="1:19" x14ac:dyDescent="0.25">
      <c r="A507" s="221">
        <f t="shared" si="95"/>
        <v>45795</v>
      </c>
      <c r="B507" s="130" t="str">
        <f t="shared" si="86"/>
        <v/>
      </c>
      <c r="C507" s="217">
        <f t="shared" si="87"/>
        <v>0</v>
      </c>
      <c r="D507" s="217">
        <f t="shared" si="88"/>
        <v>0</v>
      </c>
      <c r="E507" s="218">
        <f>SUMIF(Consolidado!$A$6:$A$380,'TOTALES DIARIOS'!A507,Consolidado!$E$6:$E$380)</f>
        <v>0</v>
      </c>
      <c r="F507" s="218">
        <f>SUMIF(Consolidado!$A$6:$A$380,'TOTALES DIARIOS'!A507,Consolidado!$F$6:$F$380)</f>
        <v>0</v>
      </c>
      <c r="G507" s="218">
        <f>SUMIF(Consolidado!$A$6:$A$380,'TOTALES DIARIOS'!A507,Consolidado!$G$6:$G$380)</f>
        <v>0</v>
      </c>
      <c r="H507" s="219">
        <f t="shared" si="89"/>
        <v>0</v>
      </c>
      <c r="I507" s="99">
        <f t="shared" si="90"/>
        <v>0</v>
      </c>
      <c r="J507" s="99">
        <f t="shared" si="91"/>
        <v>0</v>
      </c>
      <c r="K507" s="113">
        <f t="shared" si="92"/>
        <v>2025</v>
      </c>
      <c r="L507" s="113">
        <f t="shared" si="93"/>
        <v>5</v>
      </c>
      <c r="M507" s="115">
        <f t="array" ref="M507">MIN(IF(Consolidado!$A$6:$A$1000='TOTALES DIARIOS'!A507,IF(Consolidado!$C$6:$C$1000&gt;TIMEVALUE("07:00"),Consolidado!$C$6:$C$1000,1)))</f>
        <v>0</v>
      </c>
      <c r="N507" s="115">
        <f t="array" ref="N507">MIN(IF(Consolidado!$A$6:$A$1000='TOTALES DIARIOS'!A507,IF(Consolidado!$C$6:$C$1000&lt;=M507,Consolidado!$C$6:$C$1000,1)))</f>
        <v>0</v>
      </c>
      <c r="O507" s="115">
        <f t="array" ref="O507">MAX(IF(Consolidado!$A$6:$A$1000='TOTALES DIARIOS'!A507,IF(Consolidado!$D$6:$D$1000&gt;=M507,Consolidado!$D$6:$D$1000,0)))</f>
        <v>0</v>
      </c>
      <c r="P507" s="118">
        <f t="array" ref="P507">MAX(IF(Consolidado!$A$6:$A$1000='TOTALES DIARIOS'!A507,IF(Consolidado!$D$6:$D$1000&lt;=M507,Consolidado!$D$6:$D$1000,0)))</f>
        <v>0</v>
      </c>
      <c r="Q507" s="117">
        <f t="shared" si="97"/>
        <v>0</v>
      </c>
      <c r="R507" s="117">
        <f t="shared" si="96"/>
        <v>0</v>
      </c>
      <c r="S507" s="104" t="str">
        <f t="shared" si="94"/>
        <v>NO</v>
      </c>
    </row>
    <row r="508" spans="1:19" x14ac:dyDescent="0.25">
      <c r="A508" s="221">
        <f t="shared" si="95"/>
        <v>45796</v>
      </c>
      <c r="B508" s="130" t="str">
        <f t="shared" si="86"/>
        <v/>
      </c>
      <c r="C508" s="217">
        <f t="shared" si="87"/>
        <v>0</v>
      </c>
      <c r="D508" s="217">
        <f t="shared" si="88"/>
        <v>0</v>
      </c>
      <c r="E508" s="218">
        <f>SUMIF(Consolidado!$A$6:$A$380,'TOTALES DIARIOS'!A508,Consolidado!$E$6:$E$380)</f>
        <v>0</v>
      </c>
      <c r="F508" s="218">
        <f>SUMIF(Consolidado!$A$6:$A$380,'TOTALES DIARIOS'!A508,Consolidado!$F$6:$F$380)</f>
        <v>0</v>
      </c>
      <c r="G508" s="218">
        <f>SUMIF(Consolidado!$A$6:$A$380,'TOTALES DIARIOS'!A508,Consolidado!$G$6:$G$380)</f>
        <v>0</v>
      </c>
      <c r="H508" s="219">
        <f t="shared" si="89"/>
        <v>0</v>
      </c>
      <c r="I508" s="99">
        <f t="shared" si="90"/>
        <v>0</v>
      </c>
      <c r="J508" s="99">
        <f t="shared" si="91"/>
        <v>0</v>
      </c>
      <c r="K508" s="113">
        <f t="shared" si="92"/>
        <v>2025</v>
      </c>
      <c r="L508" s="113">
        <f t="shared" si="93"/>
        <v>5</v>
      </c>
      <c r="M508" s="115">
        <f t="array" ref="M508">MIN(IF(Consolidado!$A$6:$A$1000='TOTALES DIARIOS'!A508,IF(Consolidado!$C$6:$C$1000&gt;TIMEVALUE("07:00"),Consolidado!$C$6:$C$1000,1)))</f>
        <v>0</v>
      </c>
      <c r="N508" s="115">
        <f t="array" ref="N508">MIN(IF(Consolidado!$A$6:$A$1000='TOTALES DIARIOS'!A508,IF(Consolidado!$C$6:$C$1000&lt;=M508,Consolidado!$C$6:$C$1000,1)))</f>
        <v>0</v>
      </c>
      <c r="O508" s="115">
        <f t="array" ref="O508">MAX(IF(Consolidado!$A$6:$A$1000='TOTALES DIARIOS'!A508,IF(Consolidado!$D$6:$D$1000&gt;=M508,Consolidado!$D$6:$D$1000,0)))</f>
        <v>0</v>
      </c>
      <c r="P508" s="118">
        <f t="array" ref="P508">MAX(IF(Consolidado!$A$6:$A$1000='TOTALES DIARIOS'!A508,IF(Consolidado!$D$6:$D$1000&lt;=M508,Consolidado!$D$6:$D$1000,0)))</f>
        <v>0</v>
      </c>
      <c r="Q508" s="117">
        <f t="shared" si="97"/>
        <v>0</v>
      </c>
      <c r="R508" s="117">
        <f t="shared" si="96"/>
        <v>0</v>
      </c>
      <c r="S508" s="104" t="str">
        <f t="shared" si="94"/>
        <v>NO</v>
      </c>
    </row>
  </sheetData>
  <sheetProtection sheet="1" objects="1" scenarios="1" formatCells="0" formatColumns="0" formatRows="0"/>
  <mergeCells count="5">
    <mergeCell ref="T2:V2"/>
    <mergeCell ref="A1:H1"/>
    <mergeCell ref="M2:P2"/>
    <mergeCell ref="AA2:AB2"/>
    <mergeCell ref="AC2:AD2"/>
  </mergeCells>
  <dataValidations count="1">
    <dataValidation type="time" operator="greaterThanOrEqual" allowBlank="1" showInputMessage="1" showErrorMessage="1" sqref="B4:B508" xr:uid="{00000000-0002-0000-0200-000000000000}">
      <formula1>0</formula1>
    </dataValidation>
  </dataValidations>
  <pageMargins left="0.7" right="0.7" top="0.75" bottom="0.75" header="0.3" footer="0.3"/>
  <pageSetup paperSize="9" scale="11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0"/>
  <sheetViews>
    <sheetView workbookViewId="0"/>
  </sheetViews>
  <sheetFormatPr baseColWidth="10" defaultRowHeight="13.2" x14ac:dyDescent="0.25"/>
  <cols>
    <col min="1" max="1" width="33.44140625" bestFit="1" customWidth="1"/>
    <col min="2" max="2" width="33.44140625" customWidth="1"/>
    <col min="5" max="7" width="11.44140625" style="53"/>
    <col min="8" max="8" width="12.33203125" bestFit="1" customWidth="1"/>
  </cols>
  <sheetData>
    <row r="1" spans="1:8" x14ac:dyDescent="0.25">
      <c r="A1" s="23"/>
      <c r="B1" s="23"/>
    </row>
    <row r="2" spans="1:8" ht="13.8" thickBot="1" x14ac:dyDescent="0.3">
      <c r="A2" s="23"/>
      <c r="B2" s="23"/>
    </row>
    <row r="3" spans="1:8" ht="21.6" thickBot="1" x14ac:dyDescent="0.45">
      <c r="A3" s="304" t="s">
        <v>102</v>
      </c>
      <c r="B3" s="305"/>
      <c r="C3" s="305"/>
      <c r="D3" s="305"/>
      <c r="E3" s="305"/>
      <c r="F3" s="305"/>
      <c r="G3" s="306"/>
    </row>
    <row r="4" spans="1:8" ht="13.8" thickBot="1" x14ac:dyDescent="0.3">
      <c r="A4" s="23"/>
      <c r="B4" s="23"/>
    </row>
    <row r="5" spans="1:8" ht="33" customHeight="1" thickBot="1" x14ac:dyDescent="0.3">
      <c r="A5" s="54" t="s">
        <v>81</v>
      </c>
      <c r="B5" s="55" t="s">
        <v>83</v>
      </c>
      <c r="C5" s="56" t="s">
        <v>82</v>
      </c>
      <c r="D5" s="56" t="s">
        <v>109</v>
      </c>
      <c r="E5" s="57" t="s">
        <v>84</v>
      </c>
      <c r="F5" s="57" t="s">
        <v>85</v>
      </c>
      <c r="G5" s="58" t="s">
        <v>86</v>
      </c>
    </row>
    <row r="6" spans="1:8" x14ac:dyDescent="0.25">
      <c r="A6" s="152">
        <f>IFERROR(DATEVALUE(CONCATENATE(CONCATENATE(REPT("0",2-LEN(Hoja1!A7)),Hoja1!A7),"/",CONCATENATE(REPT("0",2-LEN(Hoja1!B7)),Hoja1!B7),"/",Hoja1!$A$4)),"2019")</f>
        <v>45292</v>
      </c>
      <c r="B6" s="153" t="str">
        <f>CONCATENATE(Hoja1!D7,"-",Hoja1!E7)</f>
        <v>AEP-COR</v>
      </c>
      <c r="C6" s="154">
        <f>Hoja1!C7</f>
        <v>4.1666666666666664E-2</v>
      </c>
      <c r="D6" s="154">
        <f>Hoja1!F7</f>
        <v>8.3333333333333329E-2</v>
      </c>
      <c r="E6" s="155">
        <f>Hoja1!K7</f>
        <v>0</v>
      </c>
      <c r="F6" s="155">
        <f>Hoja1!L7</f>
        <v>1.5</v>
      </c>
      <c r="G6" s="156">
        <f>+E6+F6</f>
        <v>1.5</v>
      </c>
    </row>
    <row r="7" spans="1:8" ht="16.8" x14ac:dyDescent="0.4">
      <c r="A7" s="157" t="str">
        <f>IFERROR(DATEVALUE(CONCATENATE(CONCATENATE(REPT("0",2-LEN(Hoja1!A8)),Hoja1!A8),"/",CONCATENATE(REPT("0",2-LEN(Hoja1!B8)),Hoja1!B8),"/",Hoja1!$A$4)),"")</f>
        <v/>
      </c>
      <c r="B7" s="158" t="str">
        <f>CONCATENATE(Hoja1!D8,"-",Hoja1!E8)</f>
        <v>-</v>
      </c>
      <c r="C7" s="159">
        <f>Hoja1!C8</f>
        <v>0</v>
      </c>
      <c r="D7" s="159">
        <f>Hoja1!F8</f>
        <v>0</v>
      </c>
      <c r="E7" s="160">
        <f>Hoja1!K8</f>
        <v>0</v>
      </c>
      <c r="F7" s="160">
        <f>Hoja1!L8</f>
        <v>0</v>
      </c>
      <c r="G7" s="161">
        <f t="shared" ref="G7:G66" si="0">+E7+F7</f>
        <v>0</v>
      </c>
      <c r="H7" s="45"/>
    </row>
    <row r="8" spans="1:8" x14ac:dyDescent="0.25">
      <c r="A8" s="157" t="str">
        <f>IFERROR(DATEVALUE(CONCATENATE(CONCATENATE(REPT("0",2-LEN(Hoja1!A9)),Hoja1!A9),"/",CONCATENATE(REPT("0",2-LEN(Hoja1!B9)),Hoja1!B9),"/",Hoja1!$A$4)),"")</f>
        <v/>
      </c>
      <c r="B8" s="158" t="str">
        <f>CONCATENATE(Hoja1!D9,"-",Hoja1!E9)</f>
        <v>-</v>
      </c>
      <c r="C8" s="159">
        <f>Hoja1!C9</f>
        <v>0</v>
      </c>
      <c r="D8" s="159">
        <f>Hoja1!F9</f>
        <v>0</v>
      </c>
      <c r="E8" s="160">
        <f>Hoja1!K9</f>
        <v>0</v>
      </c>
      <c r="F8" s="160">
        <f>Hoja1!L9</f>
        <v>0</v>
      </c>
      <c r="G8" s="161">
        <f t="shared" si="0"/>
        <v>0</v>
      </c>
      <c r="H8" s="44"/>
    </row>
    <row r="9" spans="1:8" x14ac:dyDescent="0.25">
      <c r="A9" s="157" t="str">
        <f>IFERROR(DATEVALUE(CONCATENATE(CONCATENATE(REPT("0",2-LEN(Hoja1!A10)),Hoja1!A10),"/",CONCATENATE(REPT("0",2-LEN(Hoja1!B10)),Hoja1!B10),"/",Hoja1!$A$4)),"")</f>
        <v/>
      </c>
      <c r="B9" s="158" t="str">
        <f>CONCATENATE(Hoja1!D10,"-",Hoja1!E10)</f>
        <v>-</v>
      </c>
      <c r="C9" s="159">
        <f>Hoja1!C10</f>
        <v>0</v>
      </c>
      <c r="D9" s="159">
        <f>Hoja1!F10</f>
        <v>0</v>
      </c>
      <c r="E9" s="160">
        <f>Hoja1!K10</f>
        <v>0</v>
      </c>
      <c r="F9" s="160">
        <f>Hoja1!L10</f>
        <v>0</v>
      </c>
      <c r="G9" s="161">
        <f t="shared" si="0"/>
        <v>0</v>
      </c>
      <c r="H9" s="47"/>
    </row>
    <row r="10" spans="1:8" x14ac:dyDescent="0.25">
      <c r="A10" s="157" t="str">
        <f>IFERROR(DATEVALUE(CONCATENATE(CONCATENATE(REPT("0",2-LEN(Hoja1!A11)),Hoja1!A11),"/",CONCATENATE(REPT("0",2-LEN(Hoja1!B11)),Hoja1!B11),"/",Hoja1!$A$4)),"")</f>
        <v/>
      </c>
      <c r="B10" s="158" t="str">
        <f>CONCATENATE(Hoja1!D11,"-",Hoja1!E11)</f>
        <v>-</v>
      </c>
      <c r="C10" s="159">
        <f>Hoja1!C11</f>
        <v>0</v>
      </c>
      <c r="D10" s="159">
        <f>Hoja1!F11</f>
        <v>0</v>
      </c>
      <c r="E10" s="160">
        <f>Hoja1!K11</f>
        <v>0</v>
      </c>
      <c r="F10" s="160">
        <f>Hoja1!L11</f>
        <v>0</v>
      </c>
      <c r="G10" s="161">
        <f t="shared" si="0"/>
        <v>0</v>
      </c>
      <c r="H10" s="48"/>
    </row>
    <row r="11" spans="1:8" x14ac:dyDescent="0.25">
      <c r="A11" s="157" t="str">
        <f>IFERROR(DATEVALUE(CONCATENATE(CONCATENATE(REPT("0",2-LEN(Hoja1!A12)),Hoja1!A12),"/",CONCATENATE(REPT("0",2-LEN(Hoja1!B12)),Hoja1!B12),"/",Hoja1!$A$4)),"")</f>
        <v/>
      </c>
      <c r="B11" s="158" t="str">
        <f>CONCATENATE(Hoja1!D12,"-",Hoja1!E12)</f>
        <v>-</v>
      </c>
      <c r="C11" s="159">
        <f>Hoja1!C12</f>
        <v>0</v>
      </c>
      <c r="D11" s="159">
        <f>Hoja1!F12</f>
        <v>0</v>
      </c>
      <c r="E11" s="160">
        <f>Hoja1!K12</f>
        <v>0</v>
      </c>
      <c r="F11" s="160">
        <f>Hoja1!L12</f>
        <v>0</v>
      </c>
      <c r="G11" s="161">
        <f t="shared" si="0"/>
        <v>0</v>
      </c>
      <c r="H11" s="48"/>
    </row>
    <row r="12" spans="1:8" x14ac:dyDescent="0.25">
      <c r="A12" s="157" t="str">
        <f>IFERROR(DATEVALUE(CONCATENATE(CONCATENATE(REPT("0",2-LEN(Hoja1!A13)),Hoja1!A13),"/",CONCATENATE(REPT("0",2-LEN(Hoja1!B13)),Hoja1!B13),"/",Hoja1!$A$4)),"")</f>
        <v/>
      </c>
      <c r="B12" s="158" t="str">
        <f>CONCATENATE(Hoja1!D13,"-",Hoja1!E13)</f>
        <v>-</v>
      </c>
      <c r="C12" s="159">
        <f>Hoja1!C13</f>
        <v>0</v>
      </c>
      <c r="D12" s="159">
        <f>Hoja1!F13</f>
        <v>0</v>
      </c>
      <c r="E12" s="160">
        <f>Hoja1!K13</f>
        <v>0</v>
      </c>
      <c r="F12" s="160">
        <f>Hoja1!L13</f>
        <v>0</v>
      </c>
      <c r="G12" s="161">
        <f t="shared" si="0"/>
        <v>0</v>
      </c>
      <c r="H12" s="46"/>
    </row>
    <row r="13" spans="1:8" x14ac:dyDescent="0.25">
      <c r="A13" s="157" t="str">
        <f>IFERROR(DATEVALUE(CONCATENATE(CONCATENATE(REPT("0",2-LEN(Hoja1!A14)),Hoja1!A14),"/",CONCATENATE(REPT("0",2-LEN(Hoja1!B14)),Hoja1!B14),"/",Hoja1!$A$4)),"")</f>
        <v/>
      </c>
      <c r="B13" s="158" t="str">
        <f>CONCATENATE(Hoja1!D14,"-",Hoja1!E14)</f>
        <v>-</v>
      </c>
      <c r="C13" s="159">
        <f>Hoja1!C14</f>
        <v>0</v>
      </c>
      <c r="D13" s="159">
        <f>Hoja1!F14</f>
        <v>0</v>
      </c>
      <c r="E13" s="160">
        <f>Hoja1!K14</f>
        <v>0</v>
      </c>
      <c r="F13" s="160">
        <f>Hoja1!L14</f>
        <v>0</v>
      </c>
      <c r="G13" s="161">
        <f t="shared" si="0"/>
        <v>0</v>
      </c>
    </row>
    <row r="14" spans="1:8" x14ac:dyDescent="0.25">
      <c r="A14" s="157" t="str">
        <f>IFERROR(DATEVALUE(CONCATENATE(CONCATENATE(REPT("0",2-LEN(Hoja1!A15)),Hoja1!A15),"/",CONCATENATE(REPT("0",2-LEN(Hoja1!B15)),Hoja1!B15),"/",Hoja1!$A$4)),"")</f>
        <v/>
      </c>
      <c r="B14" s="158" t="str">
        <f>CONCATENATE(Hoja1!D15,"-",Hoja1!E15)</f>
        <v>-</v>
      </c>
      <c r="C14" s="159">
        <f>Hoja1!C15</f>
        <v>0</v>
      </c>
      <c r="D14" s="159">
        <f>Hoja1!F15</f>
        <v>0</v>
      </c>
      <c r="E14" s="160">
        <f>Hoja1!K15</f>
        <v>0</v>
      </c>
      <c r="F14" s="160">
        <f>Hoja1!L15</f>
        <v>0</v>
      </c>
      <c r="G14" s="161">
        <f t="shared" si="0"/>
        <v>0</v>
      </c>
    </row>
    <row r="15" spans="1:8" x14ac:dyDescent="0.25">
      <c r="A15" s="157" t="str">
        <f>IFERROR(DATEVALUE(CONCATENATE(CONCATENATE(REPT("0",2-LEN(Hoja1!A16)),Hoja1!A16),"/",CONCATENATE(REPT("0",2-LEN(Hoja1!B16)),Hoja1!B16),"/",Hoja1!$A$4)),"")</f>
        <v/>
      </c>
      <c r="B15" s="158" t="str">
        <f>CONCATENATE(Hoja1!D16,"-",Hoja1!E16)</f>
        <v>-</v>
      </c>
      <c r="C15" s="159">
        <f>Hoja1!C16</f>
        <v>0</v>
      </c>
      <c r="D15" s="159">
        <f>Hoja1!F16</f>
        <v>0</v>
      </c>
      <c r="E15" s="160">
        <f>Hoja1!K16</f>
        <v>0</v>
      </c>
      <c r="F15" s="160">
        <f>Hoja1!L16</f>
        <v>0</v>
      </c>
      <c r="G15" s="161">
        <f t="shared" si="0"/>
        <v>0</v>
      </c>
    </row>
    <row r="16" spans="1:8" x14ac:dyDescent="0.25">
      <c r="A16" s="157" t="str">
        <f>IFERROR(DATEVALUE(CONCATENATE(CONCATENATE(REPT("0",2-LEN(Hoja1!A17)),Hoja1!A17),"/",CONCATENATE(REPT("0",2-LEN(Hoja1!B17)),Hoja1!B17),"/",Hoja1!$A$4)),"")</f>
        <v/>
      </c>
      <c r="B16" s="158" t="str">
        <f>CONCATENATE(Hoja1!D17,"-",Hoja1!E17)</f>
        <v>-</v>
      </c>
      <c r="C16" s="159">
        <f>Hoja1!C17</f>
        <v>0</v>
      </c>
      <c r="D16" s="159">
        <f>Hoja1!F17</f>
        <v>0</v>
      </c>
      <c r="E16" s="160">
        <f>Hoja1!K17</f>
        <v>0</v>
      </c>
      <c r="F16" s="160">
        <f>Hoja1!L17</f>
        <v>0</v>
      </c>
      <c r="G16" s="161">
        <f t="shared" si="0"/>
        <v>0</v>
      </c>
    </row>
    <row r="17" spans="1:7" x14ac:dyDescent="0.25">
      <c r="A17" s="157" t="str">
        <f>IFERROR(DATEVALUE(CONCATENATE(CONCATENATE(REPT("0",2-LEN(Hoja1!A18)),Hoja1!A18),"/",CONCATENATE(REPT("0",2-LEN(Hoja1!B18)),Hoja1!B18),"/",Hoja1!$A$4)),"")</f>
        <v/>
      </c>
      <c r="B17" s="158" t="str">
        <f>CONCATENATE(Hoja1!D18,"-",Hoja1!E18)</f>
        <v>-</v>
      </c>
      <c r="C17" s="159">
        <f>Hoja1!C18</f>
        <v>0</v>
      </c>
      <c r="D17" s="159">
        <f>Hoja1!F18</f>
        <v>0</v>
      </c>
      <c r="E17" s="160">
        <f>Hoja1!K18</f>
        <v>0</v>
      </c>
      <c r="F17" s="160">
        <f>Hoja1!L18</f>
        <v>0</v>
      </c>
      <c r="G17" s="161">
        <f t="shared" si="0"/>
        <v>0</v>
      </c>
    </row>
    <row r="18" spans="1:7" x14ac:dyDescent="0.25">
      <c r="A18" s="157" t="str">
        <f>IFERROR(DATEVALUE(CONCATENATE(CONCATENATE(REPT("0",2-LEN(Hoja1!A19)),Hoja1!A19),"/",CONCATENATE(REPT("0",2-LEN(Hoja1!B19)),Hoja1!B19),"/",Hoja1!$A$4)),"")</f>
        <v/>
      </c>
      <c r="B18" s="158" t="str">
        <f>CONCATENATE(Hoja1!D19,"-",Hoja1!E19)</f>
        <v>-</v>
      </c>
      <c r="C18" s="159">
        <f>Hoja1!C19</f>
        <v>0</v>
      </c>
      <c r="D18" s="159">
        <f>Hoja1!F19</f>
        <v>0</v>
      </c>
      <c r="E18" s="160">
        <f>Hoja1!K19</f>
        <v>0</v>
      </c>
      <c r="F18" s="160">
        <f>Hoja1!L19</f>
        <v>0</v>
      </c>
      <c r="G18" s="161">
        <f t="shared" si="0"/>
        <v>0</v>
      </c>
    </row>
    <row r="19" spans="1:7" x14ac:dyDescent="0.25">
      <c r="A19" s="157" t="str">
        <f>IFERROR(DATEVALUE(CONCATENATE(CONCATENATE(REPT("0",2-LEN(Hoja1!A20)),Hoja1!A20),"/",CONCATENATE(REPT("0",2-LEN(Hoja1!B20)),Hoja1!B20),"/",Hoja1!$A$4)),"")</f>
        <v/>
      </c>
      <c r="B19" s="158" t="str">
        <f>CONCATENATE(Hoja1!D20,"-",Hoja1!E20)</f>
        <v>-</v>
      </c>
      <c r="C19" s="159">
        <f>Hoja1!C20</f>
        <v>0</v>
      </c>
      <c r="D19" s="159">
        <f>Hoja1!F20</f>
        <v>0</v>
      </c>
      <c r="E19" s="160">
        <f>Hoja1!K20</f>
        <v>0</v>
      </c>
      <c r="F19" s="160">
        <f>Hoja1!L20</f>
        <v>0</v>
      </c>
      <c r="G19" s="161">
        <f t="shared" si="0"/>
        <v>0</v>
      </c>
    </row>
    <row r="20" spans="1:7" ht="13.8" thickBot="1" x14ac:dyDescent="0.3">
      <c r="A20" s="162" t="str">
        <f>IFERROR(DATEVALUE(CONCATENATE(CONCATENATE(REPT("0",2-LEN(Hoja1!A21)),Hoja1!A21),"/",CONCATENATE(REPT("0",2-LEN(Hoja1!B21)),Hoja1!B21),"/",Hoja1!$A$4)),"")</f>
        <v/>
      </c>
      <c r="B20" s="163" t="str">
        <f>CONCATENATE(Hoja1!D21,"-",Hoja1!E21)</f>
        <v>-</v>
      </c>
      <c r="C20" s="164">
        <f>Hoja1!C21</f>
        <v>0</v>
      </c>
      <c r="D20" s="164">
        <f>Hoja1!F21</f>
        <v>0</v>
      </c>
      <c r="E20" s="165">
        <f>Hoja1!K21</f>
        <v>0</v>
      </c>
      <c r="F20" s="165">
        <f>Hoja1!L21</f>
        <v>0</v>
      </c>
      <c r="G20" s="166">
        <f t="shared" si="0"/>
        <v>0</v>
      </c>
    </row>
    <row r="21" spans="1:7" x14ac:dyDescent="0.25">
      <c r="A21" s="167" t="str">
        <f>IFERROR(DATEVALUE(CONCATENATE(CONCATENATE(REPT("0",2-LEN(Hoja2!A7)),Hoja2!A7),"/",CONCATENATE(REPT("0",2-LEN(Hoja2!B7)),Hoja2!B7),"/",Hoja2!$A$4)),"")</f>
        <v/>
      </c>
      <c r="B21" s="168" t="str">
        <f>CONCATENATE(Hoja2!D7,"-",Hoja2!E7)</f>
        <v>-</v>
      </c>
      <c r="C21" s="169">
        <f>Hoja2!C7</f>
        <v>0</v>
      </c>
      <c r="D21" s="169">
        <f>Hoja2!F7</f>
        <v>0</v>
      </c>
      <c r="E21" s="134">
        <f>Hoja2!K7</f>
        <v>0</v>
      </c>
      <c r="F21" s="134">
        <f>Hoja2!L7</f>
        <v>0</v>
      </c>
      <c r="G21" s="135">
        <f t="shared" si="0"/>
        <v>0</v>
      </c>
    </row>
    <row r="22" spans="1:7" x14ac:dyDescent="0.25">
      <c r="A22" s="170" t="str">
        <f>IFERROR(DATEVALUE(CONCATENATE(CONCATENATE(REPT("0",2-LEN(Hoja2!A8)),Hoja2!A8),"/",CONCATENATE(REPT("0",2-LEN(Hoja2!B8)),Hoja2!B8),"/",Hoja2!$A$4)),"")</f>
        <v/>
      </c>
      <c r="B22" s="171" t="str">
        <f>CONCATENATE(Hoja2!D8,"-",Hoja2!E8)</f>
        <v>-</v>
      </c>
      <c r="C22" s="172">
        <f>Hoja2!C8</f>
        <v>0</v>
      </c>
      <c r="D22" s="172">
        <f>Hoja2!F8</f>
        <v>0</v>
      </c>
      <c r="E22" s="126">
        <f>Hoja2!K8</f>
        <v>0</v>
      </c>
      <c r="F22" s="126">
        <f>Hoja2!L8</f>
        <v>0</v>
      </c>
      <c r="G22" s="127">
        <f t="shared" si="0"/>
        <v>0</v>
      </c>
    </row>
    <row r="23" spans="1:7" x14ac:dyDescent="0.25">
      <c r="A23" s="170" t="str">
        <f>IFERROR(DATEVALUE(CONCATENATE(CONCATENATE(REPT("0",2-LEN(Hoja2!A9)),Hoja2!A9),"/",CONCATENATE(REPT("0",2-LEN(Hoja2!B9)),Hoja2!B9),"/",Hoja2!$A$4)),"")</f>
        <v/>
      </c>
      <c r="B23" s="171" t="str">
        <f>CONCATENATE(Hoja2!D9,"-",Hoja2!E9)</f>
        <v>-</v>
      </c>
      <c r="C23" s="172">
        <f>Hoja2!C9</f>
        <v>0</v>
      </c>
      <c r="D23" s="172">
        <f>Hoja2!F9</f>
        <v>0</v>
      </c>
      <c r="E23" s="126">
        <f>Hoja2!K9</f>
        <v>0</v>
      </c>
      <c r="F23" s="126">
        <f>Hoja2!L9</f>
        <v>0</v>
      </c>
      <c r="G23" s="127">
        <f t="shared" si="0"/>
        <v>0</v>
      </c>
    </row>
    <row r="24" spans="1:7" x14ac:dyDescent="0.25">
      <c r="A24" s="170" t="str">
        <f>IFERROR(DATEVALUE(CONCATENATE(CONCATENATE(REPT("0",2-LEN(Hoja2!A10)),Hoja2!A10),"/",CONCATENATE(REPT("0",2-LEN(Hoja2!B10)),Hoja2!B10),"/",Hoja2!$A$4)),"")</f>
        <v/>
      </c>
      <c r="B24" s="171" t="str">
        <f>CONCATENATE(Hoja2!D10,"-",Hoja2!E10)</f>
        <v>-</v>
      </c>
      <c r="C24" s="172">
        <f>Hoja2!C10</f>
        <v>0</v>
      </c>
      <c r="D24" s="172">
        <f>Hoja2!F10</f>
        <v>0</v>
      </c>
      <c r="E24" s="126">
        <f>Hoja2!K10</f>
        <v>0</v>
      </c>
      <c r="F24" s="126">
        <f>Hoja2!L10</f>
        <v>0</v>
      </c>
      <c r="G24" s="127">
        <f t="shared" si="0"/>
        <v>0</v>
      </c>
    </row>
    <row r="25" spans="1:7" x14ac:dyDescent="0.25">
      <c r="A25" s="170" t="str">
        <f>IFERROR(DATEVALUE(CONCATENATE(CONCATENATE(REPT("0",2-LEN(Hoja2!A11)),Hoja2!A11),"/",CONCATENATE(REPT("0",2-LEN(Hoja2!B11)),Hoja2!B11),"/",Hoja2!$A$4)),"")</f>
        <v/>
      </c>
      <c r="B25" s="171" t="str">
        <f>CONCATENATE(Hoja2!D11,"-",Hoja2!E11)</f>
        <v>-</v>
      </c>
      <c r="C25" s="172">
        <f>Hoja2!C11</f>
        <v>0</v>
      </c>
      <c r="D25" s="172">
        <f>Hoja2!F11</f>
        <v>0</v>
      </c>
      <c r="E25" s="126">
        <f>Hoja2!K11</f>
        <v>0</v>
      </c>
      <c r="F25" s="126">
        <f>Hoja2!L11</f>
        <v>0</v>
      </c>
      <c r="G25" s="127">
        <f t="shared" si="0"/>
        <v>0</v>
      </c>
    </row>
    <row r="26" spans="1:7" x14ac:dyDescent="0.25">
      <c r="A26" s="170" t="str">
        <f>IFERROR(DATEVALUE(CONCATENATE(CONCATENATE(REPT("0",2-LEN(Hoja2!A12)),Hoja2!A12),"/",CONCATENATE(REPT("0",2-LEN(Hoja2!B12)),Hoja2!B12),"/",Hoja2!$A$4)),"")</f>
        <v/>
      </c>
      <c r="B26" s="171" t="str">
        <f>CONCATENATE(Hoja2!D12,"-",Hoja2!E12)</f>
        <v>-</v>
      </c>
      <c r="C26" s="172">
        <f>Hoja2!C12</f>
        <v>0</v>
      </c>
      <c r="D26" s="172">
        <f>Hoja2!F12</f>
        <v>0</v>
      </c>
      <c r="E26" s="126">
        <f>Hoja2!K12</f>
        <v>0</v>
      </c>
      <c r="F26" s="126">
        <f>Hoja2!L12</f>
        <v>0</v>
      </c>
      <c r="G26" s="127">
        <f t="shared" si="0"/>
        <v>0</v>
      </c>
    </row>
    <row r="27" spans="1:7" x14ac:dyDescent="0.25">
      <c r="A27" s="170" t="str">
        <f>IFERROR(DATEVALUE(CONCATENATE(CONCATENATE(REPT("0",2-LEN(Hoja2!A13)),Hoja2!A13),"/",CONCATENATE(REPT("0",2-LEN(Hoja2!B13)),Hoja2!B13),"/",Hoja2!$A$4)),"")</f>
        <v/>
      </c>
      <c r="B27" s="171" t="str">
        <f>CONCATENATE(Hoja2!D13,"-",Hoja2!E13)</f>
        <v>-</v>
      </c>
      <c r="C27" s="172">
        <f>Hoja2!C13</f>
        <v>0</v>
      </c>
      <c r="D27" s="172">
        <f>Hoja2!F13</f>
        <v>0</v>
      </c>
      <c r="E27" s="126">
        <f>Hoja2!K13</f>
        <v>0</v>
      </c>
      <c r="F27" s="126">
        <f>Hoja2!L13</f>
        <v>0</v>
      </c>
      <c r="G27" s="127">
        <f t="shared" si="0"/>
        <v>0</v>
      </c>
    </row>
    <row r="28" spans="1:7" x14ac:dyDescent="0.25">
      <c r="A28" s="170" t="str">
        <f>IFERROR(DATEVALUE(CONCATENATE(CONCATENATE(REPT("0",2-LEN(Hoja2!A14)),Hoja2!A14),"/",CONCATENATE(REPT("0",2-LEN(Hoja2!B14)),Hoja2!B14),"/",Hoja2!$A$4)),"")</f>
        <v/>
      </c>
      <c r="B28" s="171" t="str">
        <f>CONCATENATE(Hoja2!D14,"-",Hoja2!E14)</f>
        <v>-</v>
      </c>
      <c r="C28" s="172">
        <f>Hoja2!C14</f>
        <v>0</v>
      </c>
      <c r="D28" s="172">
        <f>Hoja2!F14</f>
        <v>0</v>
      </c>
      <c r="E28" s="126">
        <f>Hoja2!K14</f>
        <v>0</v>
      </c>
      <c r="F28" s="126">
        <f>Hoja2!L14</f>
        <v>0</v>
      </c>
      <c r="G28" s="127">
        <f t="shared" si="0"/>
        <v>0</v>
      </c>
    </row>
    <row r="29" spans="1:7" x14ac:dyDescent="0.25">
      <c r="A29" s="170" t="str">
        <f>IFERROR(DATEVALUE(CONCATENATE(CONCATENATE(REPT("0",2-LEN(Hoja2!A15)),Hoja2!A15),"/",CONCATENATE(REPT("0",2-LEN(Hoja2!B15)),Hoja2!B15),"/",Hoja2!$A$4)),"")</f>
        <v/>
      </c>
      <c r="B29" s="171" t="str">
        <f>CONCATENATE(Hoja2!D15,"-",Hoja2!E15)</f>
        <v>-</v>
      </c>
      <c r="C29" s="172">
        <f>Hoja2!C15</f>
        <v>0</v>
      </c>
      <c r="D29" s="172">
        <f>Hoja2!F15</f>
        <v>0</v>
      </c>
      <c r="E29" s="126">
        <f>Hoja2!K15</f>
        <v>0</v>
      </c>
      <c r="F29" s="126">
        <f>Hoja2!L15</f>
        <v>0</v>
      </c>
      <c r="G29" s="127">
        <f t="shared" si="0"/>
        <v>0</v>
      </c>
    </row>
    <row r="30" spans="1:7" x14ac:dyDescent="0.25">
      <c r="A30" s="170" t="str">
        <f>IFERROR(DATEVALUE(CONCATENATE(CONCATENATE(REPT("0",2-LEN(Hoja2!A16)),Hoja2!A16),"/",CONCATENATE(REPT("0",2-LEN(Hoja2!B16)),Hoja2!B16),"/",Hoja2!$A$4)),"")</f>
        <v/>
      </c>
      <c r="B30" s="171" t="str">
        <f>CONCATENATE(Hoja2!D16,"-",Hoja2!E16)</f>
        <v>-</v>
      </c>
      <c r="C30" s="172">
        <f>Hoja2!C16</f>
        <v>0</v>
      </c>
      <c r="D30" s="172">
        <f>Hoja2!F16</f>
        <v>0</v>
      </c>
      <c r="E30" s="126">
        <f>Hoja2!K16</f>
        <v>0</v>
      </c>
      <c r="F30" s="126">
        <f>Hoja2!L16</f>
        <v>0</v>
      </c>
      <c r="G30" s="127">
        <f t="shared" si="0"/>
        <v>0</v>
      </c>
    </row>
    <row r="31" spans="1:7" x14ac:dyDescent="0.25">
      <c r="A31" s="170" t="str">
        <f>IFERROR(DATEVALUE(CONCATENATE(CONCATENATE(REPT("0",2-LEN(Hoja2!A17)),Hoja2!A17),"/",CONCATENATE(REPT("0",2-LEN(Hoja2!B17)),Hoja2!B17),"/",Hoja2!$A$4)),"")</f>
        <v/>
      </c>
      <c r="B31" s="171" t="str">
        <f>CONCATENATE(Hoja2!D17,"-",Hoja2!E17)</f>
        <v>-</v>
      </c>
      <c r="C31" s="172">
        <f>Hoja2!C17</f>
        <v>0</v>
      </c>
      <c r="D31" s="172">
        <f>Hoja2!F17</f>
        <v>0</v>
      </c>
      <c r="E31" s="126">
        <f>Hoja2!K17</f>
        <v>0</v>
      </c>
      <c r="F31" s="126">
        <f>Hoja2!L17</f>
        <v>0</v>
      </c>
      <c r="G31" s="127">
        <f t="shared" si="0"/>
        <v>0</v>
      </c>
    </row>
    <row r="32" spans="1:7" x14ac:dyDescent="0.25">
      <c r="A32" s="170" t="str">
        <f>IFERROR(DATEVALUE(CONCATENATE(CONCATENATE(REPT("0",2-LEN(Hoja2!A18)),Hoja2!A18),"/",CONCATENATE(REPT("0",2-LEN(Hoja2!B18)),Hoja2!B18),"/",Hoja2!$A$4)),"")</f>
        <v/>
      </c>
      <c r="B32" s="171" t="str">
        <f>CONCATENATE(Hoja2!D18,"-",Hoja2!E18)</f>
        <v>-</v>
      </c>
      <c r="C32" s="172">
        <f>Hoja2!C18</f>
        <v>0</v>
      </c>
      <c r="D32" s="172">
        <f>Hoja2!F18</f>
        <v>0</v>
      </c>
      <c r="E32" s="126">
        <f>Hoja2!K18</f>
        <v>0</v>
      </c>
      <c r="F32" s="126">
        <f>Hoja2!L18</f>
        <v>0</v>
      </c>
      <c r="G32" s="127">
        <f t="shared" si="0"/>
        <v>0</v>
      </c>
    </row>
    <row r="33" spans="1:7" x14ac:dyDescent="0.25">
      <c r="A33" s="170" t="str">
        <f>IFERROR(DATEVALUE(CONCATENATE(CONCATENATE(REPT("0",2-LEN(Hoja2!A19)),Hoja2!A19),"/",CONCATENATE(REPT("0",2-LEN(Hoja2!B19)),Hoja2!B19),"/",Hoja2!$A$4)),"")</f>
        <v/>
      </c>
      <c r="B33" s="171" t="str">
        <f>CONCATENATE(Hoja2!D19,"-",Hoja2!E19)</f>
        <v>-</v>
      </c>
      <c r="C33" s="172">
        <f>Hoja2!C19</f>
        <v>0</v>
      </c>
      <c r="D33" s="172">
        <f>Hoja2!F19</f>
        <v>0</v>
      </c>
      <c r="E33" s="126">
        <f>Hoja2!K19</f>
        <v>0</v>
      </c>
      <c r="F33" s="126">
        <f>Hoja2!L19</f>
        <v>0</v>
      </c>
      <c r="G33" s="127">
        <f t="shared" si="0"/>
        <v>0</v>
      </c>
    </row>
    <row r="34" spans="1:7" x14ac:dyDescent="0.25">
      <c r="A34" s="170" t="str">
        <f>IFERROR(DATEVALUE(CONCATENATE(CONCATENATE(REPT("0",2-LEN(Hoja2!A20)),Hoja2!A20),"/",CONCATENATE(REPT("0",2-LEN(Hoja2!B20)),Hoja2!B20),"/",Hoja2!$A$4)),"")</f>
        <v/>
      </c>
      <c r="B34" s="171" t="str">
        <f>CONCATENATE(Hoja2!D20,"-",Hoja2!E20)</f>
        <v>-</v>
      </c>
      <c r="C34" s="172">
        <f>Hoja2!C20</f>
        <v>0</v>
      </c>
      <c r="D34" s="172">
        <f>Hoja2!F20</f>
        <v>0</v>
      </c>
      <c r="E34" s="126">
        <f>Hoja2!K20</f>
        <v>0</v>
      </c>
      <c r="F34" s="126">
        <f>Hoja2!L20</f>
        <v>0</v>
      </c>
      <c r="G34" s="127">
        <f t="shared" si="0"/>
        <v>0</v>
      </c>
    </row>
    <row r="35" spans="1:7" ht="13.8" thickBot="1" x14ac:dyDescent="0.3">
      <c r="A35" s="173" t="str">
        <f>IFERROR(DATEVALUE(CONCATENATE(CONCATENATE(REPT("0",2-LEN(Hoja2!A21)),Hoja2!A21),"/",CONCATENATE(REPT("0",2-LEN(Hoja2!B21)),Hoja2!B21),"/",Hoja2!$A$4)),"")</f>
        <v/>
      </c>
      <c r="B35" s="174" t="str">
        <f>CONCATENATE(Hoja2!D21,"-",Hoja2!E21)</f>
        <v>-</v>
      </c>
      <c r="C35" s="175">
        <f>Hoja2!C21</f>
        <v>0</v>
      </c>
      <c r="D35" s="175">
        <f>Hoja2!F21</f>
        <v>0</v>
      </c>
      <c r="E35" s="128">
        <f>Hoja2!K21</f>
        <v>0</v>
      </c>
      <c r="F35" s="128">
        <f>Hoja2!L21</f>
        <v>0</v>
      </c>
      <c r="G35" s="129">
        <f t="shared" si="0"/>
        <v>0</v>
      </c>
    </row>
    <row r="36" spans="1:7" x14ac:dyDescent="0.25">
      <c r="A36" s="152" t="str">
        <f>IFERROR(DATEVALUE(CONCATENATE(CONCATENATE(REPT("0",2-LEN(Hoja3!A7)),Hoja3!A7),"/",CONCATENATE(REPT("0",2-LEN(Hoja3!B7)),Hoja3!B7),"/",Hoja3!$A$4)),"")</f>
        <v/>
      </c>
      <c r="B36" s="153" t="str">
        <f>CONCATENATE(Hoja3!D7,"-",Hoja3!E7)</f>
        <v>-</v>
      </c>
      <c r="C36" s="154">
        <f>Hoja3!C7</f>
        <v>0</v>
      </c>
      <c r="D36" s="154">
        <f>Hoja3!F7</f>
        <v>0</v>
      </c>
      <c r="E36" s="155">
        <f>Hoja3!K7</f>
        <v>0</v>
      </c>
      <c r="F36" s="155">
        <f>Hoja3!L7</f>
        <v>0</v>
      </c>
      <c r="G36" s="156">
        <f t="shared" si="0"/>
        <v>0</v>
      </c>
    </row>
    <row r="37" spans="1:7" x14ac:dyDescent="0.25">
      <c r="A37" s="157" t="str">
        <f>IFERROR(DATEVALUE(CONCATENATE(CONCATENATE(REPT("0",2-LEN(Hoja3!A8)),Hoja3!A8),"/",CONCATENATE(REPT("0",2-LEN(Hoja3!B8)),Hoja3!B8),"/",Hoja3!$A$4)),"")</f>
        <v/>
      </c>
      <c r="B37" s="158" t="str">
        <f>CONCATENATE(Hoja3!D8,"-",Hoja3!E8)</f>
        <v>-</v>
      </c>
      <c r="C37" s="159">
        <f>Hoja3!C8</f>
        <v>0</v>
      </c>
      <c r="D37" s="159">
        <f>Hoja3!F8</f>
        <v>0</v>
      </c>
      <c r="E37" s="160">
        <f>Hoja3!K8</f>
        <v>0</v>
      </c>
      <c r="F37" s="160">
        <f>Hoja3!L8</f>
        <v>0</v>
      </c>
      <c r="G37" s="161">
        <f t="shared" si="0"/>
        <v>0</v>
      </c>
    </row>
    <row r="38" spans="1:7" x14ac:dyDescent="0.25">
      <c r="A38" s="157" t="str">
        <f>IFERROR(DATEVALUE(CONCATENATE(CONCATENATE(REPT("0",2-LEN(Hoja3!A9)),Hoja3!A9),"/",CONCATENATE(REPT("0",2-LEN(Hoja3!B9)),Hoja3!B9),"/",Hoja3!$A$4)),"")</f>
        <v/>
      </c>
      <c r="B38" s="158" t="str">
        <f>CONCATENATE(Hoja3!D9,"-",Hoja3!E9)</f>
        <v>-</v>
      </c>
      <c r="C38" s="159">
        <f>Hoja3!C9</f>
        <v>0</v>
      </c>
      <c r="D38" s="159">
        <f>Hoja3!F9</f>
        <v>0</v>
      </c>
      <c r="E38" s="160">
        <f>Hoja3!K9</f>
        <v>0</v>
      </c>
      <c r="F38" s="160">
        <f>Hoja3!L9</f>
        <v>0</v>
      </c>
      <c r="G38" s="161">
        <f t="shared" si="0"/>
        <v>0</v>
      </c>
    </row>
    <row r="39" spans="1:7" x14ac:dyDescent="0.25">
      <c r="A39" s="157" t="str">
        <f>IFERROR(DATEVALUE(CONCATENATE(CONCATENATE(REPT("0",2-LEN(Hoja3!A10)),Hoja3!A10),"/",CONCATENATE(REPT("0",2-LEN(Hoja3!B10)),Hoja3!B10),"/",Hoja3!$A$4)),"")</f>
        <v/>
      </c>
      <c r="B39" s="158" t="str">
        <f>CONCATENATE(Hoja3!D10,"-",Hoja3!E10)</f>
        <v>-</v>
      </c>
      <c r="C39" s="159">
        <f>Hoja3!C10</f>
        <v>0</v>
      </c>
      <c r="D39" s="159">
        <f>Hoja3!F10</f>
        <v>0</v>
      </c>
      <c r="E39" s="160">
        <f>Hoja3!K10</f>
        <v>0</v>
      </c>
      <c r="F39" s="160">
        <f>Hoja3!L10</f>
        <v>0</v>
      </c>
      <c r="G39" s="161">
        <f t="shared" si="0"/>
        <v>0</v>
      </c>
    </row>
    <row r="40" spans="1:7" x14ac:dyDescent="0.25">
      <c r="A40" s="157" t="str">
        <f>IFERROR(DATEVALUE(CONCATENATE(CONCATENATE(REPT("0",2-LEN(Hoja3!A11)),Hoja3!A11),"/",CONCATENATE(REPT("0",2-LEN(Hoja3!B11)),Hoja3!B11),"/",Hoja3!$A$4)),"")</f>
        <v/>
      </c>
      <c r="B40" s="158" t="str">
        <f>CONCATENATE(Hoja3!D11,"-",Hoja3!E11)</f>
        <v>-</v>
      </c>
      <c r="C40" s="159">
        <f>Hoja3!C11</f>
        <v>0</v>
      </c>
      <c r="D40" s="159">
        <f>Hoja3!F11</f>
        <v>0</v>
      </c>
      <c r="E40" s="160">
        <f>Hoja3!K11</f>
        <v>0</v>
      </c>
      <c r="F40" s="160">
        <f>Hoja3!L11</f>
        <v>0</v>
      </c>
      <c r="G40" s="161">
        <f t="shared" si="0"/>
        <v>0</v>
      </c>
    </row>
    <row r="41" spans="1:7" x14ac:dyDescent="0.25">
      <c r="A41" s="157" t="str">
        <f>IFERROR(DATEVALUE(CONCATENATE(CONCATENATE(REPT("0",2-LEN(Hoja3!A12)),Hoja3!A12),"/",CONCATENATE(REPT("0",2-LEN(Hoja3!B12)),Hoja3!B12),"/",Hoja3!$A$4)),"")</f>
        <v/>
      </c>
      <c r="B41" s="158" t="str">
        <f>CONCATENATE(Hoja3!D12,"-",Hoja3!E12)</f>
        <v>-</v>
      </c>
      <c r="C41" s="159">
        <f>Hoja3!C12</f>
        <v>0</v>
      </c>
      <c r="D41" s="159">
        <f>Hoja3!F12</f>
        <v>0</v>
      </c>
      <c r="E41" s="160">
        <f>Hoja3!K12</f>
        <v>0</v>
      </c>
      <c r="F41" s="160">
        <f>Hoja3!L12</f>
        <v>0</v>
      </c>
      <c r="G41" s="161">
        <f t="shared" si="0"/>
        <v>0</v>
      </c>
    </row>
    <row r="42" spans="1:7" x14ac:dyDescent="0.25">
      <c r="A42" s="157" t="str">
        <f>IFERROR(DATEVALUE(CONCATENATE(CONCATENATE(REPT("0",2-LEN(Hoja3!A13)),Hoja3!A13),"/",CONCATENATE(REPT("0",2-LEN(Hoja3!B13)),Hoja3!B13),"/",Hoja3!$A$4)),"")</f>
        <v/>
      </c>
      <c r="B42" s="158" t="str">
        <f>CONCATENATE(Hoja3!D13,"-",Hoja3!E13)</f>
        <v>-</v>
      </c>
      <c r="C42" s="159">
        <f>Hoja3!C13</f>
        <v>0</v>
      </c>
      <c r="D42" s="159">
        <f>Hoja3!F13</f>
        <v>0</v>
      </c>
      <c r="E42" s="160">
        <f>Hoja3!K13</f>
        <v>0</v>
      </c>
      <c r="F42" s="160">
        <f>Hoja3!L13</f>
        <v>0</v>
      </c>
      <c r="G42" s="161">
        <f t="shared" si="0"/>
        <v>0</v>
      </c>
    </row>
    <row r="43" spans="1:7" x14ac:dyDescent="0.25">
      <c r="A43" s="157" t="str">
        <f>IFERROR(DATEVALUE(CONCATENATE(CONCATENATE(REPT("0",2-LEN(Hoja3!A14)),Hoja3!A14),"/",CONCATENATE(REPT("0",2-LEN(Hoja3!B14)),Hoja3!B14),"/",Hoja3!$A$4)),"")</f>
        <v/>
      </c>
      <c r="B43" s="158" t="str">
        <f>CONCATENATE(Hoja3!D14,"-",Hoja3!E14)</f>
        <v>-</v>
      </c>
      <c r="C43" s="159">
        <f>Hoja3!C14</f>
        <v>0</v>
      </c>
      <c r="D43" s="159">
        <f>Hoja3!F14</f>
        <v>0</v>
      </c>
      <c r="E43" s="160">
        <f>Hoja3!K14</f>
        <v>0</v>
      </c>
      <c r="F43" s="160">
        <f>Hoja3!L14</f>
        <v>0</v>
      </c>
      <c r="G43" s="161">
        <f t="shared" si="0"/>
        <v>0</v>
      </c>
    </row>
    <row r="44" spans="1:7" x14ac:dyDescent="0.25">
      <c r="A44" s="157" t="str">
        <f>IFERROR(DATEVALUE(CONCATENATE(CONCATENATE(REPT("0",2-LEN(Hoja3!A15)),Hoja3!A15),"/",CONCATENATE(REPT("0",2-LEN(Hoja3!B15)),Hoja3!B15),"/",Hoja3!$A$4)),"")</f>
        <v/>
      </c>
      <c r="B44" s="158" t="str">
        <f>CONCATENATE(Hoja3!D15,"-",Hoja3!E15)</f>
        <v>-</v>
      </c>
      <c r="C44" s="159">
        <f>Hoja3!C15</f>
        <v>0</v>
      </c>
      <c r="D44" s="159">
        <f>Hoja3!F15</f>
        <v>0</v>
      </c>
      <c r="E44" s="160">
        <f>Hoja3!K15</f>
        <v>0</v>
      </c>
      <c r="F44" s="160">
        <f>Hoja3!L15</f>
        <v>0</v>
      </c>
      <c r="G44" s="161">
        <f t="shared" si="0"/>
        <v>0</v>
      </c>
    </row>
    <row r="45" spans="1:7" x14ac:dyDescent="0.25">
      <c r="A45" s="157" t="str">
        <f>IFERROR(DATEVALUE(CONCATENATE(CONCATENATE(REPT("0",2-LEN(Hoja3!A16)),Hoja3!A16),"/",CONCATENATE(REPT("0",2-LEN(Hoja3!B16)),Hoja3!B16),"/",Hoja3!$A$4)),"")</f>
        <v/>
      </c>
      <c r="B45" s="158" t="str">
        <f>CONCATENATE(Hoja3!D16,"-",Hoja3!E16)</f>
        <v>-</v>
      </c>
      <c r="C45" s="159">
        <f>Hoja3!C16</f>
        <v>0</v>
      </c>
      <c r="D45" s="159">
        <f>Hoja3!F16</f>
        <v>0</v>
      </c>
      <c r="E45" s="160">
        <f>Hoja3!K16</f>
        <v>0</v>
      </c>
      <c r="F45" s="160">
        <f>Hoja3!L16</f>
        <v>0</v>
      </c>
      <c r="G45" s="161">
        <f t="shared" si="0"/>
        <v>0</v>
      </c>
    </row>
    <row r="46" spans="1:7" x14ac:dyDescent="0.25">
      <c r="A46" s="157" t="str">
        <f>IFERROR(DATEVALUE(CONCATENATE(CONCATENATE(REPT("0",2-LEN(Hoja3!A17)),Hoja3!A17),"/",CONCATENATE(REPT("0",2-LEN(Hoja3!B17)),Hoja3!B17),"/",Hoja3!$A$4)),"")</f>
        <v/>
      </c>
      <c r="B46" s="158" t="str">
        <f>CONCATENATE(Hoja3!D17,"-",Hoja3!E17)</f>
        <v>-</v>
      </c>
      <c r="C46" s="159">
        <f>Hoja3!C17</f>
        <v>0</v>
      </c>
      <c r="D46" s="159">
        <f>Hoja3!F17</f>
        <v>0</v>
      </c>
      <c r="E46" s="160">
        <f>Hoja3!K17</f>
        <v>0</v>
      </c>
      <c r="F46" s="160">
        <f>Hoja3!L17</f>
        <v>0</v>
      </c>
      <c r="G46" s="161">
        <f t="shared" si="0"/>
        <v>0</v>
      </c>
    </row>
    <row r="47" spans="1:7" x14ac:dyDescent="0.25">
      <c r="A47" s="157" t="str">
        <f>IFERROR(DATEVALUE(CONCATENATE(CONCATENATE(REPT("0",2-LEN(Hoja3!A18)),Hoja3!A18),"/",CONCATENATE(REPT("0",2-LEN(Hoja3!B18)),Hoja3!B18),"/",Hoja3!$A$4)),"")</f>
        <v/>
      </c>
      <c r="B47" s="158" t="str">
        <f>CONCATENATE(Hoja3!D18,"-",Hoja3!E18)</f>
        <v>-</v>
      </c>
      <c r="C47" s="159">
        <f>Hoja3!C18</f>
        <v>0</v>
      </c>
      <c r="D47" s="159">
        <f>Hoja3!F18</f>
        <v>0</v>
      </c>
      <c r="E47" s="160">
        <f>Hoja3!K18</f>
        <v>0</v>
      </c>
      <c r="F47" s="160">
        <f>Hoja3!L18</f>
        <v>0</v>
      </c>
      <c r="G47" s="161">
        <f t="shared" si="0"/>
        <v>0</v>
      </c>
    </row>
    <row r="48" spans="1:7" x14ac:dyDescent="0.25">
      <c r="A48" s="157" t="str">
        <f>IFERROR(DATEVALUE(CONCATENATE(CONCATENATE(REPT("0",2-LEN(Hoja3!A19)),Hoja3!A19),"/",CONCATENATE(REPT("0",2-LEN(Hoja3!B19)),Hoja3!B19),"/",Hoja3!$A$4)),"")</f>
        <v/>
      </c>
      <c r="B48" s="158" t="str">
        <f>CONCATENATE(Hoja3!D19,"-",Hoja3!E19)</f>
        <v>-</v>
      </c>
      <c r="C48" s="159">
        <f>Hoja3!C19</f>
        <v>0</v>
      </c>
      <c r="D48" s="159">
        <f>Hoja3!F19</f>
        <v>0</v>
      </c>
      <c r="E48" s="160">
        <f>Hoja3!K19</f>
        <v>0</v>
      </c>
      <c r="F48" s="160">
        <f>Hoja3!L19</f>
        <v>0</v>
      </c>
      <c r="G48" s="161">
        <f t="shared" si="0"/>
        <v>0</v>
      </c>
    </row>
    <row r="49" spans="1:7" x14ac:dyDescent="0.25">
      <c r="A49" s="157" t="str">
        <f>IFERROR(DATEVALUE(CONCATENATE(CONCATENATE(REPT("0",2-LEN(Hoja3!A20)),Hoja3!A20),"/",CONCATENATE(REPT("0",2-LEN(Hoja3!B20)),Hoja3!B20),"/",Hoja3!$A$4)),"")</f>
        <v/>
      </c>
      <c r="B49" s="158" t="str">
        <f>CONCATENATE(Hoja3!D20,"-",Hoja3!E20)</f>
        <v>-</v>
      </c>
      <c r="C49" s="159">
        <f>Hoja3!C20</f>
        <v>0</v>
      </c>
      <c r="D49" s="159">
        <f>Hoja3!F20</f>
        <v>0</v>
      </c>
      <c r="E49" s="160">
        <f>Hoja3!K20</f>
        <v>0</v>
      </c>
      <c r="F49" s="160">
        <f>Hoja3!L20</f>
        <v>0</v>
      </c>
      <c r="G49" s="161">
        <f t="shared" si="0"/>
        <v>0</v>
      </c>
    </row>
    <row r="50" spans="1:7" ht="13.8" thickBot="1" x14ac:dyDescent="0.3">
      <c r="A50" s="176" t="str">
        <f>IFERROR(DATEVALUE(CONCATENATE(CONCATENATE(REPT("0",2-LEN(Hoja3!A21)),Hoja3!A21),"/",CONCATENATE(REPT("0",2-LEN(Hoja3!B21)),Hoja3!B21),"/",Hoja3!$A$4)),"")</f>
        <v/>
      </c>
      <c r="B50" s="177" t="str">
        <f>CONCATENATE(Hoja3!D21,"-",Hoja3!E21)</f>
        <v>-</v>
      </c>
      <c r="C50" s="178">
        <f>Hoja3!C21</f>
        <v>0</v>
      </c>
      <c r="D50" s="178">
        <f>Hoja3!F21</f>
        <v>0</v>
      </c>
      <c r="E50" s="179">
        <f>Hoja3!K21</f>
        <v>0</v>
      </c>
      <c r="F50" s="179">
        <f>Hoja3!L21</f>
        <v>0</v>
      </c>
      <c r="G50" s="180">
        <f t="shared" si="0"/>
        <v>0</v>
      </c>
    </row>
    <row r="51" spans="1:7" x14ac:dyDescent="0.25">
      <c r="A51" s="167" t="str">
        <f>IFERROR(DATEVALUE(CONCATENATE(CONCATENATE(REPT("0",2-LEN(Hoja4!A7)),Hoja4!A7),"/",CONCATENATE(REPT("0",2-LEN(Hoja4!B7)),Hoja4!B7),"/",Hoja4!$A$4)),"")</f>
        <v/>
      </c>
      <c r="B51" s="168" t="str">
        <f>CONCATENATE(Hoja4!D7,"-",Hoja4!E7)</f>
        <v>-</v>
      </c>
      <c r="C51" s="169">
        <f>Hoja4!C7</f>
        <v>0</v>
      </c>
      <c r="D51" s="169">
        <f>Hoja4!F7</f>
        <v>0</v>
      </c>
      <c r="E51" s="134">
        <f>Hoja4!K7</f>
        <v>0</v>
      </c>
      <c r="F51" s="134">
        <f>Hoja4!L7</f>
        <v>0</v>
      </c>
      <c r="G51" s="135">
        <f t="shared" si="0"/>
        <v>0</v>
      </c>
    </row>
    <row r="52" spans="1:7" x14ac:dyDescent="0.25">
      <c r="A52" s="170" t="str">
        <f>IFERROR(DATEVALUE(CONCATENATE(CONCATENATE(REPT("0",2-LEN(Hoja4!A8)),Hoja4!A8),"/",CONCATENATE(REPT("0",2-LEN(Hoja4!B8)),Hoja4!B8),"/",Hoja4!$A$4)),"")</f>
        <v/>
      </c>
      <c r="B52" s="171" t="str">
        <f>CONCATENATE(Hoja4!D8,"-",Hoja4!E8)</f>
        <v>-</v>
      </c>
      <c r="C52" s="172">
        <f>Hoja4!C8</f>
        <v>0</v>
      </c>
      <c r="D52" s="172">
        <f>Hoja4!F8</f>
        <v>0</v>
      </c>
      <c r="E52" s="126">
        <f>Hoja4!K8</f>
        <v>0</v>
      </c>
      <c r="F52" s="126">
        <f>Hoja4!L8</f>
        <v>0</v>
      </c>
      <c r="G52" s="127">
        <f t="shared" si="0"/>
        <v>0</v>
      </c>
    </row>
    <row r="53" spans="1:7" x14ac:dyDescent="0.25">
      <c r="A53" s="170" t="str">
        <f>IFERROR(DATEVALUE(CONCATENATE(CONCATENATE(REPT("0",2-LEN(Hoja4!A9)),Hoja4!A9),"/",CONCATENATE(REPT("0",2-LEN(Hoja4!B9)),Hoja4!B9),"/",Hoja4!$A$4)),"")</f>
        <v/>
      </c>
      <c r="B53" s="171" t="str">
        <f>CONCATENATE(Hoja4!D9,"-",Hoja4!E9)</f>
        <v>-</v>
      </c>
      <c r="C53" s="172">
        <f>Hoja4!C9</f>
        <v>0</v>
      </c>
      <c r="D53" s="172">
        <f>Hoja4!F9</f>
        <v>0</v>
      </c>
      <c r="E53" s="126">
        <f>Hoja4!K9</f>
        <v>0</v>
      </c>
      <c r="F53" s="126">
        <f>Hoja4!L9</f>
        <v>0</v>
      </c>
      <c r="G53" s="127">
        <f t="shared" si="0"/>
        <v>0</v>
      </c>
    </row>
    <row r="54" spans="1:7" x14ac:dyDescent="0.25">
      <c r="A54" s="170" t="str">
        <f>IFERROR(DATEVALUE(CONCATENATE(CONCATENATE(REPT("0",2-LEN(Hoja4!A10)),Hoja4!A10),"/",CONCATENATE(REPT("0",2-LEN(Hoja4!B10)),Hoja4!B10),"/",Hoja4!$A$4)),"")</f>
        <v/>
      </c>
      <c r="B54" s="171" t="str">
        <f>CONCATENATE(Hoja4!D10,"-",Hoja4!E10)</f>
        <v>-</v>
      </c>
      <c r="C54" s="172">
        <f>Hoja4!C10</f>
        <v>0</v>
      </c>
      <c r="D54" s="172">
        <f>Hoja4!F10</f>
        <v>0</v>
      </c>
      <c r="E54" s="126">
        <f>Hoja4!K10</f>
        <v>0</v>
      </c>
      <c r="F54" s="126">
        <f>Hoja4!L10</f>
        <v>0</v>
      </c>
      <c r="G54" s="127">
        <f t="shared" si="0"/>
        <v>0</v>
      </c>
    </row>
    <row r="55" spans="1:7" x14ac:dyDescent="0.25">
      <c r="A55" s="170" t="str">
        <f>IFERROR(DATEVALUE(CONCATENATE(CONCATENATE(REPT("0",2-LEN(Hoja4!A11)),Hoja4!A11),"/",CONCATENATE(REPT("0",2-LEN(Hoja4!B11)),Hoja4!B11),"/",Hoja4!$A$4)),"")</f>
        <v/>
      </c>
      <c r="B55" s="171" t="str">
        <f>CONCATENATE(Hoja4!D11,"-",Hoja4!E11)</f>
        <v>-</v>
      </c>
      <c r="C55" s="172">
        <f>Hoja4!C11</f>
        <v>0</v>
      </c>
      <c r="D55" s="172">
        <f>Hoja4!F11</f>
        <v>0</v>
      </c>
      <c r="E55" s="126">
        <f>Hoja4!K11</f>
        <v>0</v>
      </c>
      <c r="F55" s="126">
        <f>Hoja4!L11</f>
        <v>0</v>
      </c>
      <c r="G55" s="127">
        <f t="shared" si="0"/>
        <v>0</v>
      </c>
    </row>
    <row r="56" spans="1:7" x14ac:dyDescent="0.25">
      <c r="A56" s="170" t="str">
        <f>IFERROR(DATEVALUE(CONCATENATE(CONCATENATE(REPT("0",2-LEN(Hoja4!A12)),Hoja4!A12),"/",CONCATENATE(REPT("0",2-LEN(Hoja4!B12)),Hoja4!B12),"/",Hoja4!$A$4)),"")</f>
        <v/>
      </c>
      <c r="B56" s="171" t="str">
        <f>CONCATENATE(Hoja4!D12,"-",Hoja4!E12)</f>
        <v>-</v>
      </c>
      <c r="C56" s="172">
        <f>Hoja4!C12</f>
        <v>0</v>
      </c>
      <c r="D56" s="172">
        <f>Hoja4!F12</f>
        <v>0</v>
      </c>
      <c r="E56" s="126">
        <f>Hoja4!K12</f>
        <v>0</v>
      </c>
      <c r="F56" s="126">
        <f>Hoja4!L12</f>
        <v>0</v>
      </c>
      <c r="G56" s="127">
        <f t="shared" si="0"/>
        <v>0</v>
      </c>
    </row>
    <row r="57" spans="1:7" x14ac:dyDescent="0.25">
      <c r="A57" s="170" t="str">
        <f>IFERROR(DATEVALUE(CONCATENATE(CONCATENATE(REPT("0",2-LEN(Hoja4!A13)),Hoja4!A13),"/",CONCATENATE(REPT("0",2-LEN(Hoja4!B13)),Hoja4!B13),"/",Hoja4!$A$4)),"")</f>
        <v/>
      </c>
      <c r="B57" s="171" t="str">
        <f>CONCATENATE(Hoja4!D13,"-",Hoja4!E13)</f>
        <v>-</v>
      </c>
      <c r="C57" s="172">
        <f>Hoja4!C13</f>
        <v>0</v>
      </c>
      <c r="D57" s="172">
        <f>Hoja4!F13</f>
        <v>0</v>
      </c>
      <c r="E57" s="126">
        <f>Hoja4!K13</f>
        <v>0</v>
      </c>
      <c r="F57" s="126">
        <f>Hoja4!L13</f>
        <v>0</v>
      </c>
      <c r="G57" s="127">
        <f t="shared" si="0"/>
        <v>0</v>
      </c>
    </row>
    <row r="58" spans="1:7" x14ac:dyDescent="0.25">
      <c r="A58" s="170" t="str">
        <f>IFERROR(DATEVALUE(CONCATENATE(CONCATENATE(REPT("0",2-LEN(Hoja4!A14)),Hoja4!A14),"/",CONCATENATE(REPT("0",2-LEN(Hoja4!B14)),Hoja4!B14),"/",Hoja4!$A$4)),"")</f>
        <v/>
      </c>
      <c r="B58" s="171" t="str">
        <f>CONCATENATE(Hoja4!D14,"-",Hoja4!E14)</f>
        <v>-</v>
      </c>
      <c r="C58" s="172">
        <f>Hoja4!C14</f>
        <v>0</v>
      </c>
      <c r="D58" s="172">
        <f>Hoja4!F14</f>
        <v>0</v>
      </c>
      <c r="E58" s="126">
        <f>Hoja4!K14</f>
        <v>0</v>
      </c>
      <c r="F58" s="126">
        <f>Hoja4!L14</f>
        <v>0</v>
      </c>
      <c r="G58" s="127">
        <f t="shared" si="0"/>
        <v>0</v>
      </c>
    </row>
    <row r="59" spans="1:7" x14ac:dyDescent="0.25">
      <c r="A59" s="170" t="str">
        <f>IFERROR(DATEVALUE(CONCATENATE(CONCATENATE(REPT("0",2-LEN(Hoja4!A15)),Hoja4!A15),"/",CONCATENATE(REPT("0",2-LEN(Hoja4!B15)),Hoja4!B15),"/",Hoja4!$A$4)),"")</f>
        <v/>
      </c>
      <c r="B59" s="171" t="str">
        <f>CONCATENATE(Hoja4!D15,"-",Hoja4!E15)</f>
        <v>-</v>
      </c>
      <c r="C59" s="172">
        <f>Hoja4!C15</f>
        <v>0</v>
      </c>
      <c r="D59" s="172">
        <f>Hoja4!F15</f>
        <v>0</v>
      </c>
      <c r="E59" s="126">
        <f>Hoja4!K15</f>
        <v>0</v>
      </c>
      <c r="F59" s="126">
        <f>Hoja4!L15</f>
        <v>0</v>
      </c>
      <c r="G59" s="127">
        <f t="shared" si="0"/>
        <v>0</v>
      </c>
    </row>
    <row r="60" spans="1:7" x14ac:dyDescent="0.25">
      <c r="A60" s="170" t="str">
        <f>IFERROR(DATEVALUE(CONCATENATE(CONCATENATE(REPT("0",2-LEN(Hoja4!A16)),Hoja4!A16),"/",CONCATENATE(REPT("0",2-LEN(Hoja4!B16)),Hoja4!B16),"/",Hoja4!$A$4)),"")</f>
        <v/>
      </c>
      <c r="B60" s="171" t="str">
        <f>CONCATENATE(Hoja4!D16,"-",Hoja4!E16)</f>
        <v>-</v>
      </c>
      <c r="C60" s="172">
        <f>Hoja4!C16</f>
        <v>0</v>
      </c>
      <c r="D60" s="172">
        <f>Hoja4!F16</f>
        <v>0</v>
      </c>
      <c r="E60" s="126">
        <f>Hoja4!K16</f>
        <v>0</v>
      </c>
      <c r="F60" s="126">
        <f>Hoja4!L16</f>
        <v>0</v>
      </c>
      <c r="G60" s="127">
        <f t="shared" si="0"/>
        <v>0</v>
      </c>
    </row>
    <row r="61" spans="1:7" x14ac:dyDescent="0.25">
      <c r="A61" s="170" t="str">
        <f>IFERROR(DATEVALUE(CONCATENATE(CONCATENATE(REPT("0",2-LEN(Hoja4!A17)),Hoja4!A17),"/",CONCATENATE(REPT("0",2-LEN(Hoja4!B17)),Hoja4!B17),"/",Hoja4!$A$4)),"")</f>
        <v/>
      </c>
      <c r="B61" s="171" t="str">
        <f>CONCATENATE(Hoja4!D17,"-",Hoja4!E17)</f>
        <v>-</v>
      </c>
      <c r="C61" s="172">
        <f>Hoja4!C17</f>
        <v>0</v>
      </c>
      <c r="D61" s="172">
        <f>Hoja4!F17</f>
        <v>0</v>
      </c>
      <c r="E61" s="126">
        <f>Hoja4!K17</f>
        <v>0</v>
      </c>
      <c r="F61" s="126">
        <f>Hoja4!L17</f>
        <v>0</v>
      </c>
      <c r="G61" s="127">
        <f t="shared" si="0"/>
        <v>0</v>
      </c>
    </row>
    <row r="62" spans="1:7" x14ac:dyDescent="0.25">
      <c r="A62" s="170" t="str">
        <f>IFERROR(DATEVALUE(CONCATENATE(CONCATENATE(REPT("0",2-LEN(Hoja4!A18)),Hoja4!A18),"/",CONCATENATE(REPT("0",2-LEN(Hoja4!B18)),Hoja4!B18),"/",Hoja4!$A$4)),"")</f>
        <v/>
      </c>
      <c r="B62" s="171" t="str">
        <f>CONCATENATE(Hoja4!D18,"-",Hoja4!E18)</f>
        <v>-</v>
      </c>
      <c r="C62" s="172">
        <f>Hoja4!C18</f>
        <v>0</v>
      </c>
      <c r="D62" s="172">
        <f>Hoja4!F18</f>
        <v>0</v>
      </c>
      <c r="E62" s="126">
        <f>Hoja4!K18</f>
        <v>0</v>
      </c>
      <c r="F62" s="126">
        <f>Hoja4!L18</f>
        <v>0</v>
      </c>
      <c r="G62" s="127">
        <f t="shared" si="0"/>
        <v>0</v>
      </c>
    </row>
    <row r="63" spans="1:7" x14ac:dyDescent="0.25">
      <c r="A63" s="170" t="str">
        <f>IFERROR(DATEVALUE(CONCATENATE(CONCATENATE(REPT("0",2-LEN(Hoja4!A19)),Hoja4!A19),"/",CONCATENATE(REPT("0",2-LEN(Hoja4!B19)),Hoja4!B19),"/",Hoja4!$A$4)),"")</f>
        <v/>
      </c>
      <c r="B63" s="171" t="str">
        <f>CONCATENATE(Hoja4!D19,"-",Hoja4!E19)</f>
        <v>-</v>
      </c>
      <c r="C63" s="172">
        <f>Hoja4!C19</f>
        <v>0</v>
      </c>
      <c r="D63" s="172">
        <f>Hoja4!F19</f>
        <v>0</v>
      </c>
      <c r="E63" s="126">
        <f>Hoja4!K19</f>
        <v>0</v>
      </c>
      <c r="F63" s="126">
        <f>Hoja4!L19</f>
        <v>0</v>
      </c>
      <c r="G63" s="127">
        <f t="shared" si="0"/>
        <v>0</v>
      </c>
    </row>
    <row r="64" spans="1:7" x14ac:dyDescent="0.25">
      <c r="A64" s="170" t="str">
        <f>IFERROR(DATEVALUE(CONCATENATE(CONCATENATE(REPT("0",2-LEN(Hoja4!A20)),Hoja4!A20),"/",CONCATENATE(REPT("0",2-LEN(Hoja4!B20)),Hoja4!B20),"/",Hoja4!$A$4)),"")</f>
        <v/>
      </c>
      <c r="B64" s="171" t="str">
        <f>CONCATENATE(Hoja4!D20,"-",Hoja4!E20)</f>
        <v>-</v>
      </c>
      <c r="C64" s="172">
        <f>Hoja4!C20</f>
        <v>0</v>
      </c>
      <c r="D64" s="172">
        <f>Hoja4!F20</f>
        <v>0</v>
      </c>
      <c r="E64" s="126">
        <f>Hoja4!K20</f>
        <v>0</v>
      </c>
      <c r="F64" s="126">
        <f>Hoja4!L20</f>
        <v>0</v>
      </c>
      <c r="G64" s="127">
        <f t="shared" si="0"/>
        <v>0</v>
      </c>
    </row>
    <row r="65" spans="1:7" ht="13.8" thickBot="1" x14ac:dyDescent="0.3">
      <c r="A65" s="173" t="str">
        <f>IFERROR(DATEVALUE(CONCATENATE(CONCATENATE(REPT("0",2-LEN(Hoja4!A21)),Hoja4!A21),"/",CONCATENATE(REPT("0",2-LEN(Hoja4!B21)),Hoja4!B21),"/",Hoja4!$A$4)),"")</f>
        <v/>
      </c>
      <c r="B65" s="174" t="str">
        <f>CONCATENATE(Hoja4!D21,"-",Hoja4!E21)</f>
        <v>-</v>
      </c>
      <c r="C65" s="175">
        <f>Hoja4!C21</f>
        <v>0</v>
      </c>
      <c r="D65" s="175">
        <f>Hoja4!F21</f>
        <v>0</v>
      </c>
      <c r="E65" s="128">
        <f>Hoja4!K21</f>
        <v>0</v>
      </c>
      <c r="F65" s="128">
        <f>Hoja4!L21</f>
        <v>0</v>
      </c>
      <c r="G65" s="129">
        <f t="shared" si="0"/>
        <v>0</v>
      </c>
    </row>
    <row r="66" spans="1:7" x14ac:dyDescent="0.25">
      <c r="A66" s="152" t="str">
        <f>IFERROR(DATEVALUE(CONCATENATE(CONCATENATE(REPT("0",2-LEN(Hoja5!A7)),Hoja5!A7),"/",CONCATENATE(REPT("0",2-LEN(Hoja5!B7)),Hoja5!B7),"/",Hoja5!$A$4)),"")</f>
        <v/>
      </c>
      <c r="B66" s="153" t="str">
        <f>CONCATENATE(Hoja5!D7,"-",Hoja5!E7)</f>
        <v>-</v>
      </c>
      <c r="C66" s="154">
        <f>Hoja5!C7</f>
        <v>0</v>
      </c>
      <c r="D66" s="154">
        <f>Hoja5!F7</f>
        <v>0</v>
      </c>
      <c r="E66" s="155">
        <f>Hoja5!K7</f>
        <v>0</v>
      </c>
      <c r="F66" s="155">
        <f>Hoja5!L7</f>
        <v>0</v>
      </c>
      <c r="G66" s="156">
        <f t="shared" si="0"/>
        <v>0</v>
      </c>
    </row>
    <row r="67" spans="1:7" x14ac:dyDescent="0.25">
      <c r="A67" s="157" t="str">
        <f>IFERROR(DATEVALUE(CONCATENATE(CONCATENATE(REPT("0",2-LEN(Hoja5!A8)),Hoja5!A8),"/",CONCATENATE(REPT("0",2-LEN(Hoja5!B8)),Hoja5!B8),"/",Hoja5!$A$4)),"")</f>
        <v/>
      </c>
      <c r="B67" s="158" t="str">
        <f>CONCATENATE(Hoja5!D8,"-",Hoja5!E8)</f>
        <v>-</v>
      </c>
      <c r="C67" s="159">
        <f>Hoja5!C8</f>
        <v>0</v>
      </c>
      <c r="D67" s="159">
        <f>Hoja5!F8</f>
        <v>0</v>
      </c>
      <c r="E67" s="160">
        <f>Hoja5!K8</f>
        <v>0</v>
      </c>
      <c r="F67" s="160">
        <f>Hoja5!L8</f>
        <v>0</v>
      </c>
      <c r="G67" s="161">
        <f t="shared" ref="G67:G80" si="1">+E67+F67</f>
        <v>0</v>
      </c>
    </row>
    <row r="68" spans="1:7" x14ac:dyDescent="0.25">
      <c r="A68" s="157" t="str">
        <f>IFERROR(DATEVALUE(CONCATENATE(CONCATENATE(REPT("0",2-LEN(Hoja5!A9)),Hoja5!A9),"/",CONCATENATE(REPT("0",2-LEN(Hoja5!B9)),Hoja5!B9),"/",Hoja5!$A$4)),"")</f>
        <v/>
      </c>
      <c r="B68" s="158" t="str">
        <f>CONCATENATE(Hoja5!D9,"-",Hoja5!E9)</f>
        <v>-</v>
      </c>
      <c r="C68" s="159">
        <f>Hoja5!C9</f>
        <v>0</v>
      </c>
      <c r="D68" s="159">
        <f>Hoja5!F9</f>
        <v>0</v>
      </c>
      <c r="E68" s="160">
        <f>Hoja5!K9</f>
        <v>0</v>
      </c>
      <c r="F68" s="160">
        <f>Hoja5!L9</f>
        <v>0</v>
      </c>
      <c r="G68" s="161">
        <f t="shared" si="1"/>
        <v>0</v>
      </c>
    </row>
    <row r="69" spans="1:7" x14ac:dyDescent="0.25">
      <c r="A69" s="157" t="str">
        <f>IFERROR(DATEVALUE(CONCATENATE(CONCATENATE(REPT("0",2-LEN(Hoja5!A10)),Hoja5!A10),"/",CONCATENATE(REPT("0",2-LEN(Hoja5!B10)),Hoja5!B10),"/",Hoja5!$A$4)),"")</f>
        <v/>
      </c>
      <c r="B69" s="158" t="str">
        <f>CONCATENATE(Hoja5!D10,"-",Hoja5!E10)</f>
        <v>-</v>
      </c>
      <c r="C69" s="159">
        <f>Hoja5!C10</f>
        <v>0</v>
      </c>
      <c r="D69" s="159">
        <f>Hoja5!F10</f>
        <v>0</v>
      </c>
      <c r="E69" s="160">
        <f>Hoja5!K10</f>
        <v>0</v>
      </c>
      <c r="F69" s="160">
        <f>Hoja5!L10</f>
        <v>0</v>
      </c>
      <c r="G69" s="161">
        <f t="shared" si="1"/>
        <v>0</v>
      </c>
    </row>
    <row r="70" spans="1:7" x14ac:dyDescent="0.25">
      <c r="A70" s="157" t="str">
        <f>IFERROR(DATEVALUE(CONCATENATE(CONCATENATE(REPT("0",2-LEN(Hoja5!A11)),Hoja5!A11),"/",CONCATENATE(REPT("0",2-LEN(Hoja5!B11)),Hoja5!B11),"/",Hoja5!$A$4)),"")</f>
        <v/>
      </c>
      <c r="B70" s="158" t="str">
        <f>CONCATENATE(Hoja5!D11,"-",Hoja5!E11)</f>
        <v>-</v>
      </c>
      <c r="C70" s="159">
        <f>Hoja5!C11</f>
        <v>0</v>
      </c>
      <c r="D70" s="159">
        <f>Hoja5!F11</f>
        <v>0</v>
      </c>
      <c r="E70" s="160">
        <f>Hoja5!K11</f>
        <v>0</v>
      </c>
      <c r="F70" s="160">
        <f>Hoja5!L11</f>
        <v>0</v>
      </c>
      <c r="G70" s="161">
        <f t="shared" si="1"/>
        <v>0</v>
      </c>
    </row>
    <row r="71" spans="1:7" x14ac:dyDescent="0.25">
      <c r="A71" s="157" t="str">
        <f>IFERROR(DATEVALUE(CONCATENATE(CONCATENATE(REPT("0",2-LEN(Hoja5!A12)),Hoja5!A12),"/",CONCATENATE(REPT("0",2-LEN(Hoja5!B12)),Hoja5!B12),"/",Hoja5!$A$4)),"")</f>
        <v/>
      </c>
      <c r="B71" s="158" t="str">
        <f>CONCATENATE(Hoja5!D12,"-",Hoja5!E12)</f>
        <v>-</v>
      </c>
      <c r="C71" s="159">
        <f>Hoja5!C12</f>
        <v>0</v>
      </c>
      <c r="D71" s="159">
        <f>Hoja5!F12</f>
        <v>0</v>
      </c>
      <c r="E71" s="160">
        <f>Hoja5!K12</f>
        <v>0</v>
      </c>
      <c r="F71" s="160">
        <f>Hoja5!L12</f>
        <v>0</v>
      </c>
      <c r="G71" s="161">
        <f t="shared" si="1"/>
        <v>0</v>
      </c>
    </row>
    <row r="72" spans="1:7" x14ac:dyDescent="0.25">
      <c r="A72" s="157" t="str">
        <f>IFERROR(DATEVALUE(CONCATENATE(CONCATENATE(REPT("0",2-LEN(Hoja5!A13)),Hoja5!A13),"/",CONCATENATE(REPT("0",2-LEN(Hoja5!B13)),Hoja5!B13),"/",Hoja5!$A$4)),"")</f>
        <v/>
      </c>
      <c r="B72" s="158" t="str">
        <f>CONCATENATE(Hoja5!D13,"-",Hoja5!E13)</f>
        <v>-</v>
      </c>
      <c r="C72" s="159">
        <f>Hoja5!C13</f>
        <v>0</v>
      </c>
      <c r="D72" s="159">
        <f>Hoja5!F13</f>
        <v>0</v>
      </c>
      <c r="E72" s="160">
        <f>Hoja5!K13</f>
        <v>0</v>
      </c>
      <c r="F72" s="160">
        <f>Hoja5!L13</f>
        <v>0</v>
      </c>
      <c r="G72" s="161">
        <f t="shared" si="1"/>
        <v>0</v>
      </c>
    </row>
    <row r="73" spans="1:7" x14ac:dyDescent="0.25">
      <c r="A73" s="157" t="str">
        <f>IFERROR(DATEVALUE(CONCATENATE(CONCATENATE(REPT("0",2-LEN(Hoja5!A14)),Hoja5!A14),"/",CONCATENATE(REPT("0",2-LEN(Hoja5!B14)),Hoja5!B14),"/",Hoja5!$A$4)),"")</f>
        <v/>
      </c>
      <c r="B73" s="158" t="str">
        <f>CONCATENATE(Hoja5!D14,"-",Hoja5!E14)</f>
        <v>-</v>
      </c>
      <c r="C73" s="159">
        <f>Hoja5!C14</f>
        <v>0</v>
      </c>
      <c r="D73" s="159">
        <f>Hoja5!F14</f>
        <v>0</v>
      </c>
      <c r="E73" s="160">
        <f>Hoja5!K14</f>
        <v>0</v>
      </c>
      <c r="F73" s="160">
        <f>Hoja5!L14</f>
        <v>0</v>
      </c>
      <c r="G73" s="161">
        <f t="shared" si="1"/>
        <v>0</v>
      </c>
    </row>
    <row r="74" spans="1:7" x14ac:dyDescent="0.25">
      <c r="A74" s="157" t="str">
        <f>IFERROR(DATEVALUE(CONCATENATE(CONCATENATE(REPT("0",2-LEN(Hoja5!A15)),Hoja5!A15),"/",CONCATENATE(REPT("0",2-LEN(Hoja5!B15)),Hoja5!B15),"/",Hoja5!$A$4)),"")</f>
        <v/>
      </c>
      <c r="B74" s="158" t="str">
        <f>CONCATENATE(Hoja5!D15,"-",Hoja5!E15)</f>
        <v>-</v>
      </c>
      <c r="C74" s="159">
        <f>Hoja5!C15</f>
        <v>0</v>
      </c>
      <c r="D74" s="159">
        <f>Hoja5!F15</f>
        <v>0</v>
      </c>
      <c r="E74" s="160">
        <f>Hoja5!K15</f>
        <v>0</v>
      </c>
      <c r="F74" s="160">
        <f>Hoja5!L15</f>
        <v>0</v>
      </c>
      <c r="G74" s="161">
        <f t="shared" si="1"/>
        <v>0</v>
      </c>
    </row>
    <row r="75" spans="1:7" x14ac:dyDescent="0.25">
      <c r="A75" s="157" t="str">
        <f>IFERROR(DATEVALUE(CONCATENATE(CONCATENATE(REPT("0",2-LEN(Hoja5!A16)),Hoja5!A16),"/",CONCATENATE(REPT("0",2-LEN(Hoja5!B16)),Hoja5!B16),"/",Hoja5!$A$4)),"")</f>
        <v/>
      </c>
      <c r="B75" s="158" t="str">
        <f>CONCATENATE(Hoja5!D16,"-",Hoja5!E16)</f>
        <v>-</v>
      </c>
      <c r="C75" s="159">
        <f>Hoja5!C16</f>
        <v>0</v>
      </c>
      <c r="D75" s="159">
        <f>Hoja5!F16</f>
        <v>0</v>
      </c>
      <c r="E75" s="160">
        <f>Hoja5!K16</f>
        <v>0</v>
      </c>
      <c r="F75" s="160">
        <f>Hoja5!L16</f>
        <v>0</v>
      </c>
      <c r="G75" s="161">
        <f t="shared" si="1"/>
        <v>0</v>
      </c>
    </row>
    <row r="76" spans="1:7" x14ac:dyDescent="0.25">
      <c r="A76" s="157" t="str">
        <f>IFERROR(DATEVALUE(CONCATENATE(CONCATENATE(REPT("0",2-LEN(Hoja5!A17)),Hoja5!A17),"/",CONCATENATE(REPT("0",2-LEN(Hoja5!B17)),Hoja5!B17),"/",Hoja5!$A$4)),"")</f>
        <v/>
      </c>
      <c r="B76" s="158" t="str">
        <f>CONCATENATE(Hoja5!D17,"-",Hoja5!E17)</f>
        <v>-</v>
      </c>
      <c r="C76" s="159">
        <f>Hoja5!C17</f>
        <v>0</v>
      </c>
      <c r="D76" s="159">
        <f>Hoja5!F17</f>
        <v>0</v>
      </c>
      <c r="E76" s="160">
        <f>Hoja5!K17</f>
        <v>0</v>
      </c>
      <c r="F76" s="160">
        <f>Hoja5!L17</f>
        <v>0</v>
      </c>
      <c r="G76" s="161">
        <f t="shared" si="1"/>
        <v>0</v>
      </c>
    </row>
    <row r="77" spans="1:7" x14ac:dyDescent="0.25">
      <c r="A77" s="157" t="str">
        <f>IFERROR(DATEVALUE(CONCATENATE(CONCATENATE(REPT("0",2-LEN(Hoja5!A18)),Hoja5!A18),"/",CONCATENATE(REPT("0",2-LEN(Hoja5!B18)),Hoja5!B18),"/",Hoja5!$A$4)),"")</f>
        <v/>
      </c>
      <c r="B77" s="158" t="str">
        <f>CONCATENATE(Hoja5!D18,"-",Hoja5!E18)</f>
        <v>-</v>
      </c>
      <c r="C77" s="159">
        <f>Hoja5!C18</f>
        <v>0</v>
      </c>
      <c r="D77" s="159">
        <f>Hoja5!F18</f>
        <v>0</v>
      </c>
      <c r="E77" s="160">
        <f>Hoja5!K18</f>
        <v>0</v>
      </c>
      <c r="F77" s="160">
        <f>Hoja5!L18</f>
        <v>0</v>
      </c>
      <c r="G77" s="161">
        <f t="shared" si="1"/>
        <v>0</v>
      </c>
    </row>
    <row r="78" spans="1:7" x14ac:dyDescent="0.25">
      <c r="A78" s="157" t="str">
        <f>IFERROR(DATEVALUE(CONCATENATE(CONCATENATE(REPT("0",2-LEN(Hoja5!A19)),Hoja5!A19),"/",CONCATENATE(REPT("0",2-LEN(Hoja5!B19)),Hoja5!B19),"/",Hoja5!$A$4)),"")</f>
        <v/>
      </c>
      <c r="B78" s="158" t="str">
        <f>CONCATENATE(Hoja5!D19,"-",Hoja5!E19)</f>
        <v>-</v>
      </c>
      <c r="C78" s="159">
        <f>Hoja5!C19</f>
        <v>0</v>
      </c>
      <c r="D78" s="159">
        <f>Hoja5!F19</f>
        <v>0</v>
      </c>
      <c r="E78" s="160">
        <f>Hoja5!K19</f>
        <v>0</v>
      </c>
      <c r="F78" s="160">
        <f>Hoja5!L19</f>
        <v>0</v>
      </c>
      <c r="G78" s="161">
        <f t="shared" si="1"/>
        <v>0</v>
      </c>
    </row>
    <row r="79" spans="1:7" x14ac:dyDescent="0.25">
      <c r="A79" s="157" t="str">
        <f>IFERROR(DATEVALUE(CONCATENATE(CONCATENATE(REPT("0",2-LEN(Hoja5!A20)),Hoja5!A20),"/",CONCATENATE(REPT("0",2-LEN(Hoja5!B20)),Hoja5!B20),"/",Hoja5!$A$4)),"")</f>
        <v/>
      </c>
      <c r="B79" s="158" t="str">
        <f>CONCATENATE(Hoja5!D20,"-",Hoja5!E20)</f>
        <v>-</v>
      </c>
      <c r="C79" s="159">
        <f>Hoja5!C20</f>
        <v>0</v>
      </c>
      <c r="D79" s="159">
        <f>Hoja5!F20</f>
        <v>0</v>
      </c>
      <c r="E79" s="160">
        <f>Hoja5!K20</f>
        <v>0</v>
      </c>
      <c r="F79" s="160">
        <f>Hoja5!L20</f>
        <v>0</v>
      </c>
      <c r="G79" s="161">
        <f t="shared" si="1"/>
        <v>0</v>
      </c>
    </row>
    <row r="80" spans="1:7" ht="13.8" thickBot="1" x14ac:dyDescent="0.3">
      <c r="A80" s="176" t="str">
        <f>IFERROR(DATEVALUE(CONCATENATE(CONCATENATE(REPT("0",2-LEN(Hoja5!A21)),Hoja5!A21),"/",CONCATENATE(REPT("0",2-LEN(Hoja5!B21)),Hoja5!B21),"/",Hoja5!$A$4)),"")</f>
        <v/>
      </c>
      <c r="B80" s="177" t="str">
        <f>CONCATENATE(Hoja5!D21,"-",Hoja5!E21)</f>
        <v>-</v>
      </c>
      <c r="C80" s="178">
        <f>Hoja5!C21</f>
        <v>0</v>
      </c>
      <c r="D80" s="178">
        <f>Hoja5!F21</f>
        <v>0</v>
      </c>
      <c r="E80" s="179">
        <f>Hoja5!K21</f>
        <v>0</v>
      </c>
      <c r="F80" s="179">
        <f>Hoja5!L21</f>
        <v>0</v>
      </c>
      <c r="G80" s="180">
        <f t="shared" si="1"/>
        <v>0</v>
      </c>
    </row>
    <row r="81" spans="1:7" x14ac:dyDescent="0.25">
      <c r="A81" s="167" t="str">
        <f>IFERROR(DATEVALUE(CONCATENATE(CONCATENATE(REPT("0",2-LEN(Hoja6!A7)),Hoja6!A7),"/",CONCATENATE(REPT("0",2-LEN(Hoja6!B7)),Hoja6!B7),"/",Hoja6!$A$4)),"")</f>
        <v/>
      </c>
      <c r="B81" s="168" t="str">
        <f>CONCATENATE(Hoja6!D7,"-",Hoja6!E7)</f>
        <v>-</v>
      </c>
      <c r="C81" s="169">
        <f>Hoja6!C7</f>
        <v>0</v>
      </c>
      <c r="D81" s="169">
        <f>Hoja6!F7</f>
        <v>0</v>
      </c>
      <c r="E81" s="134">
        <f>Hoja6!K7</f>
        <v>0</v>
      </c>
      <c r="F81" s="134">
        <f>Hoja6!L7</f>
        <v>0</v>
      </c>
      <c r="G81" s="135">
        <f t="shared" ref="G81:G126" si="2">+E81+F81</f>
        <v>0</v>
      </c>
    </row>
    <row r="82" spans="1:7" x14ac:dyDescent="0.25">
      <c r="A82" s="170" t="str">
        <f>IFERROR(DATEVALUE(CONCATENATE(CONCATENATE(REPT("0",2-LEN(Hoja6!A8)),Hoja6!A8),"/",CONCATENATE(REPT("0",2-LEN(Hoja6!B8)),Hoja6!B8),"/",Hoja6!$A$4)),"")</f>
        <v/>
      </c>
      <c r="B82" s="171" t="str">
        <f>CONCATENATE(Hoja6!D8,"-",Hoja6!E8)</f>
        <v>-</v>
      </c>
      <c r="C82" s="172">
        <f>Hoja6!C8</f>
        <v>0</v>
      </c>
      <c r="D82" s="172">
        <f>Hoja6!F8</f>
        <v>0</v>
      </c>
      <c r="E82" s="126">
        <f>Hoja6!K8</f>
        <v>0</v>
      </c>
      <c r="F82" s="126">
        <f>Hoja6!L8</f>
        <v>0</v>
      </c>
      <c r="G82" s="127">
        <f t="shared" si="2"/>
        <v>0</v>
      </c>
    </row>
    <row r="83" spans="1:7" x14ac:dyDescent="0.25">
      <c r="A83" s="170" t="str">
        <f>IFERROR(DATEVALUE(CONCATENATE(CONCATENATE(REPT("0",2-LEN(Hoja6!A9)),Hoja6!A9),"/",CONCATENATE(REPT("0",2-LEN(Hoja6!B9)),Hoja6!B9),"/",Hoja6!$A$4)),"")</f>
        <v/>
      </c>
      <c r="B83" s="171" t="str">
        <f>CONCATENATE(Hoja6!D9,"-",Hoja6!E9)</f>
        <v>-</v>
      </c>
      <c r="C83" s="172">
        <f>Hoja6!C9</f>
        <v>0</v>
      </c>
      <c r="D83" s="172">
        <f>Hoja6!F9</f>
        <v>0</v>
      </c>
      <c r="E83" s="126">
        <f>Hoja6!K9</f>
        <v>0</v>
      </c>
      <c r="F83" s="126">
        <f>Hoja6!L9</f>
        <v>0</v>
      </c>
      <c r="G83" s="127">
        <f t="shared" si="2"/>
        <v>0</v>
      </c>
    </row>
    <row r="84" spans="1:7" x14ac:dyDescent="0.25">
      <c r="A84" s="170" t="str">
        <f>IFERROR(DATEVALUE(CONCATENATE(CONCATENATE(REPT("0",2-LEN(Hoja6!A10)),Hoja6!A10),"/",CONCATENATE(REPT("0",2-LEN(Hoja6!B10)),Hoja6!B10),"/",Hoja6!$A$4)),"")</f>
        <v/>
      </c>
      <c r="B84" s="171" t="str">
        <f>CONCATENATE(Hoja6!D10,"-",Hoja6!E10)</f>
        <v>-</v>
      </c>
      <c r="C84" s="172">
        <f>Hoja6!C10</f>
        <v>0</v>
      </c>
      <c r="D84" s="172">
        <f>Hoja6!F10</f>
        <v>0</v>
      </c>
      <c r="E84" s="126">
        <f>Hoja6!K10</f>
        <v>0</v>
      </c>
      <c r="F84" s="126">
        <f>Hoja6!L10</f>
        <v>0</v>
      </c>
      <c r="G84" s="127">
        <f t="shared" si="2"/>
        <v>0</v>
      </c>
    </row>
    <row r="85" spans="1:7" x14ac:dyDescent="0.25">
      <c r="A85" s="170" t="str">
        <f>IFERROR(DATEVALUE(CONCATENATE(CONCATENATE(REPT("0",2-LEN(Hoja6!A11)),Hoja6!A11),"/",CONCATENATE(REPT("0",2-LEN(Hoja6!B11)),Hoja6!B11),"/",Hoja6!$A$4)),"")</f>
        <v/>
      </c>
      <c r="B85" s="171" t="str">
        <f>CONCATENATE(Hoja6!D11,"-",Hoja6!E11)</f>
        <v>-</v>
      </c>
      <c r="C85" s="172">
        <f>Hoja6!C11</f>
        <v>0</v>
      </c>
      <c r="D85" s="172">
        <f>Hoja6!F11</f>
        <v>0</v>
      </c>
      <c r="E85" s="126">
        <f>Hoja6!K11</f>
        <v>0</v>
      </c>
      <c r="F85" s="126">
        <f>Hoja6!L11</f>
        <v>0</v>
      </c>
      <c r="G85" s="127">
        <f t="shared" si="2"/>
        <v>0</v>
      </c>
    </row>
    <row r="86" spans="1:7" x14ac:dyDescent="0.25">
      <c r="A86" s="170" t="str">
        <f>IFERROR(DATEVALUE(CONCATENATE(CONCATENATE(REPT("0",2-LEN(Hoja6!A12)),Hoja6!A12),"/",CONCATENATE(REPT("0",2-LEN(Hoja6!B12)),Hoja6!B12),"/",Hoja6!$A$4)),"")</f>
        <v/>
      </c>
      <c r="B86" s="171" t="str">
        <f>CONCATENATE(Hoja6!D12,"-",Hoja6!E12)</f>
        <v>-</v>
      </c>
      <c r="C86" s="172">
        <f>Hoja6!C12</f>
        <v>0</v>
      </c>
      <c r="D86" s="172">
        <f>Hoja6!F12</f>
        <v>0</v>
      </c>
      <c r="E86" s="126">
        <f>Hoja6!K12</f>
        <v>0</v>
      </c>
      <c r="F86" s="126">
        <f>Hoja6!L12</f>
        <v>0</v>
      </c>
      <c r="G86" s="127">
        <f t="shared" si="2"/>
        <v>0</v>
      </c>
    </row>
    <row r="87" spans="1:7" x14ac:dyDescent="0.25">
      <c r="A87" s="170" t="str">
        <f>IFERROR(DATEVALUE(CONCATENATE(CONCATENATE(REPT("0",2-LEN(Hoja6!A13)),Hoja6!A13),"/",CONCATENATE(REPT("0",2-LEN(Hoja6!B13)),Hoja6!B13),"/",Hoja6!$A$4)),"")</f>
        <v/>
      </c>
      <c r="B87" s="171" t="str">
        <f>CONCATENATE(Hoja6!D13,"-",Hoja6!E13)</f>
        <v>-</v>
      </c>
      <c r="C87" s="172">
        <f>Hoja6!C13</f>
        <v>0</v>
      </c>
      <c r="D87" s="172">
        <f>Hoja6!F13</f>
        <v>0</v>
      </c>
      <c r="E87" s="126">
        <f>Hoja6!K13</f>
        <v>0</v>
      </c>
      <c r="F87" s="126">
        <f>Hoja6!L13</f>
        <v>0</v>
      </c>
      <c r="G87" s="127">
        <f t="shared" si="2"/>
        <v>0</v>
      </c>
    </row>
    <row r="88" spans="1:7" x14ac:dyDescent="0.25">
      <c r="A88" s="170" t="str">
        <f>IFERROR(DATEVALUE(CONCATENATE(CONCATENATE(REPT("0",2-LEN(Hoja6!A14)),Hoja6!A14),"/",CONCATENATE(REPT("0",2-LEN(Hoja6!B14)),Hoja6!B14),"/",Hoja6!$A$4)),"")</f>
        <v/>
      </c>
      <c r="B88" s="171" t="str">
        <f>CONCATENATE(Hoja6!D14,"-",Hoja6!E14)</f>
        <v>-</v>
      </c>
      <c r="C88" s="172">
        <f>Hoja6!C14</f>
        <v>0</v>
      </c>
      <c r="D88" s="172">
        <f>Hoja6!F14</f>
        <v>0</v>
      </c>
      <c r="E88" s="126">
        <f>Hoja6!K14</f>
        <v>0</v>
      </c>
      <c r="F88" s="126">
        <f>Hoja6!L14</f>
        <v>0</v>
      </c>
      <c r="G88" s="127">
        <f t="shared" si="2"/>
        <v>0</v>
      </c>
    </row>
    <row r="89" spans="1:7" x14ac:dyDescent="0.25">
      <c r="A89" s="170" t="str">
        <f>IFERROR(DATEVALUE(CONCATENATE(CONCATENATE(REPT("0",2-LEN(Hoja6!A15)),Hoja6!A15),"/",CONCATENATE(REPT("0",2-LEN(Hoja6!B15)),Hoja6!B15),"/",Hoja6!$A$4)),"")</f>
        <v/>
      </c>
      <c r="B89" s="171" t="str">
        <f>CONCATENATE(Hoja6!D15,"-",Hoja6!E15)</f>
        <v>-</v>
      </c>
      <c r="C89" s="172">
        <f>Hoja6!C15</f>
        <v>0</v>
      </c>
      <c r="D89" s="172">
        <f>Hoja6!F15</f>
        <v>0</v>
      </c>
      <c r="E89" s="126">
        <f>Hoja6!K15</f>
        <v>0</v>
      </c>
      <c r="F89" s="126">
        <f>Hoja6!L15</f>
        <v>0</v>
      </c>
      <c r="G89" s="127">
        <f t="shared" si="2"/>
        <v>0</v>
      </c>
    </row>
    <row r="90" spans="1:7" x14ac:dyDescent="0.25">
      <c r="A90" s="170" t="str">
        <f>IFERROR(DATEVALUE(CONCATENATE(CONCATENATE(REPT("0",2-LEN(Hoja6!A16)),Hoja6!A16),"/",CONCATENATE(REPT("0",2-LEN(Hoja6!B16)),Hoja6!B16),"/",Hoja6!$A$4)),"")</f>
        <v/>
      </c>
      <c r="B90" s="171" t="str">
        <f>CONCATENATE(Hoja6!D16,"-",Hoja6!E16)</f>
        <v>-</v>
      </c>
      <c r="C90" s="172">
        <f>Hoja6!C16</f>
        <v>0</v>
      </c>
      <c r="D90" s="172">
        <f>Hoja6!F16</f>
        <v>0</v>
      </c>
      <c r="E90" s="126">
        <f>Hoja6!K16</f>
        <v>0</v>
      </c>
      <c r="F90" s="126">
        <f>Hoja6!L16</f>
        <v>0</v>
      </c>
      <c r="G90" s="127">
        <f t="shared" si="2"/>
        <v>0</v>
      </c>
    </row>
    <row r="91" spans="1:7" x14ac:dyDescent="0.25">
      <c r="A91" s="170" t="str">
        <f>IFERROR(DATEVALUE(CONCATENATE(CONCATENATE(REPT("0",2-LEN(Hoja6!A17)),Hoja6!A17),"/",CONCATENATE(REPT("0",2-LEN(Hoja6!B17)),Hoja6!B17),"/",Hoja6!$A$4)),"")</f>
        <v/>
      </c>
      <c r="B91" s="171" t="str">
        <f>CONCATENATE(Hoja6!D17,"-",Hoja6!E17)</f>
        <v>-</v>
      </c>
      <c r="C91" s="172">
        <f>Hoja6!C17</f>
        <v>0</v>
      </c>
      <c r="D91" s="172">
        <f>Hoja6!F17</f>
        <v>0</v>
      </c>
      <c r="E91" s="126">
        <f>Hoja6!K17</f>
        <v>0</v>
      </c>
      <c r="F91" s="126">
        <f>Hoja6!L17</f>
        <v>0</v>
      </c>
      <c r="G91" s="127">
        <f t="shared" si="2"/>
        <v>0</v>
      </c>
    </row>
    <row r="92" spans="1:7" x14ac:dyDescent="0.25">
      <c r="A92" s="170" t="str">
        <f>IFERROR(DATEVALUE(CONCATENATE(CONCATENATE(REPT("0",2-LEN(Hoja6!A18)),Hoja6!A18),"/",CONCATENATE(REPT("0",2-LEN(Hoja6!B18)),Hoja6!B18),"/",Hoja6!$A$4)),"")</f>
        <v/>
      </c>
      <c r="B92" s="171" t="str">
        <f>CONCATENATE(Hoja6!D18,"-",Hoja6!E18)</f>
        <v>-</v>
      </c>
      <c r="C92" s="172">
        <f>Hoja6!C18</f>
        <v>0</v>
      </c>
      <c r="D92" s="172">
        <f>Hoja6!F18</f>
        <v>0</v>
      </c>
      <c r="E92" s="126">
        <f>Hoja6!K18</f>
        <v>0</v>
      </c>
      <c r="F92" s="126">
        <f>Hoja6!L18</f>
        <v>0</v>
      </c>
      <c r="G92" s="127">
        <f t="shared" si="2"/>
        <v>0</v>
      </c>
    </row>
    <row r="93" spans="1:7" x14ac:dyDescent="0.25">
      <c r="A93" s="170" t="str">
        <f>IFERROR(DATEVALUE(CONCATENATE(CONCATENATE(REPT("0",2-LEN(Hoja6!A19)),Hoja6!A19),"/",CONCATENATE(REPT("0",2-LEN(Hoja6!B19)),Hoja6!B19),"/",Hoja6!$A$4)),"")</f>
        <v/>
      </c>
      <c r="B93" s="171" t="str">
        <f>CONCATENATE(Hoja6!D19,"-",Hoja6!E19)</f>
        <v>-</v>
      </c>
      <c r="C93" s="172">
        <f>Hoja6!C19</f>
        <v>0</v>
      </c>
      <c r="D93" s="172">
        <f>Hoja6!F19</f>
        <v>0</v>
      </c>
      <c r="E93" s="126">
        <f>Hoja6!K19</f>
        <v>0</v>
      </c>
      <c r="F93" s="126">
        <f>Hoja6!L19</f>
        <v>0</v>
      </c>
      <c r="G93" s="127">
        <f t="shared" si="2"/>
        <v>0</v>
      </c>
    </row>
    <row r="94" spans="1:7" x14ac:dyDescent="0.25">
      <c r="A94" s="170" t="str">
        <f>IFERROR(DATEVALUE(CONCATENATE(CONCATENATE(REPT("0",2-LEN(Hoja6!A20)),Hoja6!A20),"/",CONCATENATE(REPT("0",2-LEN(Hoja6!B20)),Hoja6!B20),"/",Hoja6!$A$4)),"")</f>
        <v/>
      </c>
      <c r="B94" s="171" t="str">
        <f>CONCATENATE(Hoja6!D20,"-",Hoja6!E20)</f>
        <v>-</v>
      </c>
      <c r="C94" s="172">
        <f>Hoja6!C20</f>
        <v>0</v>
      </c>
      <c r="D94" s="172">
        <f>Hoja6!F20</f>
        <v>0</v>
      </c>
      <c r="E94" s="126">
        <f>Hoja6!K20</f>
        <v>0</v>
      </c>
      <c r="F94" s="126">
        <f>Hoja6!L20</f>
        <v>0</v>
      </c>
      <c r="G94" s="127">
        <f t="shared" si="2"/>
        <v>0</v>
      </c>
    </row>
    <row r="95" spans="1:7" ht="13.8" thickBot="1" x14ac:dyDescent="0.3">
      <c r="A95" s="173" t="str">
        <f>IFERROR(DATEVALUE(CONCATENATE(CONCATENATE(REPT("0",2-LEN(Hoja6!A21)),Hoja6!A21),"/",CONCATENATE(REPT("0",2-LEN(Hoja6!B21)),Hoja6!B21),"/",Hoja6!$A$4)),"")</f>
        <v/>
      </c>
      <c r="B95" s="174" t="str">
        <f>CONCATENATE(Hoja6!D21,"-",Hoja6!E21)</f>
        <v>-</v>
      </c>
      <c r="C95" s="175">
        <f>Hoja6!C21</f>
        <v>0</v>
      </c>
      <c r="D95" s="175">
        <f>Hoja6!F21</f>
        <v>0</v>
      </c>
      <c r="E95" s="128">
        <f>Hoja6!K21</f>
        <v>0</v>
      </c>
      <c r="F95" s="128">
        <f>Hoja6!L21</f>
        <v>0</v>
      </c>
      <c r="G95" s="129">
        <f t="shared" si="2"/>
        <v>0</v>
      </c>
    </row>
    <row r="96" spans="1:7" x14ac:dyDescent="0.25">
      <c r="A96" s="152" t="str">
        <f>IFERROR(DATEVALUE(CONCATENATE(CONCATENATE(REPT("0",2-LEN(Hoja7!A7)),Hoja7!A7),"/",CONCATENATE(REPT("0",2-LEN(Hoja7!B7)),Hoja7!B7),"/",Hoja7!$A$4)),"")</f>
        <v/>
      </c>
      <c r="B96" s="153" t="str">
        <f>CONCATENATE(Hoja7!D7,"-",Hoja7!E7)</f>
        <v>-</v>
      </c>
      <c r="C96" s="154">
        <f>Hoja7!C7</f>
        <v>0</v>
      </c>
      <c r="D96" s="154">
        <f>Hoja7!F7</f>
        <v>0</v>
      </c>
      <c r="E96" s="155">
        <f>Hoja7!K7</f>
        <v>0</v>
      </c>
      <c r="F96" s="155">
        <f>Hoja7!L7</f>
        <v>0</v>
      </c>
      <c r="G96" s="156">
        <f t="shared" si="2"/>
        <v>0</v>
      </c>
    </row>
    <row r="97" spans="1:7" x14ac:dyDescent="0.25">
      <c r="A97" s="157" t="str">
        <f>IFERROR(DATEVALUE(CONCATENATE(CONCATENATE(REPT("0",2-LEN(Hoja7!A8)),Hoja7!A8),"/",CONCATENATE(REPT("0",2-LEN(Hoja7!B8)),Hoja7!B8),"/",Hoja7!$A$4)),"")</f>
        <v/>
      </c>
      <c r="B97" s="158" t="str">
        <f>CONCATENATE(Hoja7!D8,"-",Hoja7!E8)</f>
        <v>-</v>
      </c>
      <c r="C97" s="159">
        <f>Hoja7!C8</f>
        <v>0</v>
      </c>
      <c r="D97" s="159">
        <f>Hoja7!F8</f>
        <v>0</v>
      </c>
      <c r="E97" s="160">
        <f>Hoja7!K8</f>
        <v>0</v>
      </c>
      <c r="F97" s="160">
        <f>Hoja7!L8</f>
        <v>0</v>
      </c>
      <c r="G97" s="161">
        <f t="shared" ref="G97:G110" si="3">+E97+F97</f>
        <v>0</v>
      </c>
    </row>
    <row r="98" spans="1:7" x14ac:dyDescent="0.25">
      <c r="A98" s="157" t="str">
        <f>IFERROR(DATEVALUE(CONCATENATE(CONCATENATE(REPT("0",2-LEN(Hoja7!A9)),Hoja7!A9),"/",CONCATENATE(REPT("0",2-LEN(Hoja7!B9)),Hoja7!B9),"/",Hoja7!$A$4)),"")</f>
        <v/>
      </c>
      <c r="B98" s="158" t="str">
        <f>CONCATENATE(Hoja7!D9,"-",Hoja7!E9)</f>
        <v>-</v>
      </c>
      <c r="C98" s="159">
        <f>Hoja7!C9</f>
        <v>0</v>
      </c>
      <c r="D98" s="159">
        <f>Hoja7!F9</f>
        <v>0</v>
      </c>
      <c r="E98" s="160">
        <f>Hoja7!K9</f>
        <v>0</v>
      </c>
      <c r="F98" s="160">
        <f>Hoja7!L9</f>
        <v>0</v>
      </c>
      <c r="G98" s="161">
        <f t="shared" si="3"/>
        <v>0</v>
      </c>
    </row>
    <row r="99" spans="1:7" x14ac:dyDescent="0.25">
      <c r="A99" s="157" t="str">
        <f>IFERROR(DATEVALUE(CONCATENATE(CONCATENATE(REPT("0",2-LEN(Hoja7!A10)),Hoja7!A10),"/",CONCATENATE(REPT("0",2-LEN(Hoja7!B10)),Hoja7!B10),"/",Hoja7!$A$4)),"")</f>
        <v/>
      </c>
      <c r="B99" s="158" t="str">
        <f>CONCATENATE(Hoja7!D10,"-",Hoja7!E10)</f>
        <v>-</v>
      </c>
      <c r="C99" s="159">
        <f>Hoja7!C10</f>
        <v>0</v>
      </c>
      <c r="D99" s="159">
        <f>Hoja7!F10</f>
        <v>0</v>
      </c>
      <c r="E99" s="160">
        <f>Hoja7!K10</f>
        <v>0</v>
      </c>
      <c r="F99" s="160">
        <f>Hoja7!L10</f>
        <v>0</v>
      </c>
      <c r="G99" s="161">
        <f t="shared" si="3"/>
        <v>0</v>
      </c>
    </row>
    <row r="100" spans="1:7" x14ac:dyDescent="0.25">
      <c r="A100" s="157" t="str">
        <f>IFERROR(DATEVALUE(CONCATENATE(CONCATENATE(REPT("0",2-LEN(Hoja7!A11)),Hoja7!A11),"/",CONCATENATE(REPT("0",2-LEN(Hoja7!B11)),Hoja7!B11),"/",Hoja7!$A$4)),"")</f>
        <v/>
      </c>
      <c r="B100" s="158" t="str">
        <f>CONCATENATE(Hoja7!D11,"-",Hoja7!E11)</f>
        <v>-</v>
      </c>
      <c r="C100" s="159">
        <f>Hoja7!C11</f>
        <v>0</v>
      </c>
      <c r="D100" s="159">
        <f>Hoja7!F11</f>
        <v>0</v>
      </c>
      <c r="E100" s="160">
        <f>Hoja7!K11</f>
        <v>0</v>
      </c>
      <c r="F100" s="160">
        <f>Hoja7!L11</f>
        <v>0</v>
      </c>
      <c r="G100" s="161">
        <f t="shared" si="3"/>
        <v>0</v>
      </c>
    </row>
    <row r="101" spans="1:7" x14ac:dyDescent="0.25">
      <c r="A101" s="157" t="str">
        <f>IFERROR(DATEVALUE(CONCATENATE(CONCATENATE(REPT("0",2-LEN(Hoja7!A12)),Hoja7!A12),"/",CONCATENATE(REPT("0",2-LEN(Hoja7!B12)),Hoja7!B12),"/",Hoja7!$A$4)),"")</f>
        <v/>
      </c>
      <c r="B101" s="158" t="str">
        <f>CONCATENATE(Hoja7!D12,"-",Hoja7!E12)</f>
        <v>-</v>
      </c>
      <c r="C101" s="159">
        <f>Hoja7!C12</f>
        <v>0</v>
      </c>
      <c r="D101" s="159">
        <f>Hoja7!F12</f>
        <v>0</v>
      </c>
      <c r="E101" s="160">
        <f>Hoja7!K12</f>
        <v>0</v>
      </c>
      <c r="F101" s="160">
        <f>Hoja7!L12</f>
        <v>0</v>
      </c>
      <c r="G101" s="161">
        <f t="shared" si="3"/>
        <v>0</v>
      </c>
    </row>
    <row r="102" spans="1:7" x14ac:dyDescent="0.25">
      <c r="A102" s="157" t="str">
        <f>IFERROR(DATEVALUE(CONCATENATE(CONCATENATE(REPT("0",2-LEN(Hoja7!A13)),Hoja7!A13),"/",CONCATENATE(REPT("0",2-LEN(Hoja7!B13)),Hoja7!B13),"/",Hoja7!$A$4)),"")</f>
        <v/>
      </c>
      <c r="B102" s="158" t="str">
        <f>CONCATENATE(Hoja7!D13,"-",Hoja7!E13)</f>
        <v>-</v>
      </c>
      <c r="C102" s="159">
        <f>Hoja7!C13</f>
        <v>0</v>
      </c>
      <c r="D102" s="159">
        <f>Hoja7!F13</f>
        <v>0</v>
      </c>
      <c r="E102" s="160">
        <f>Hoja7!K13</f>
        <v>0</v>
      </c>
      <c r="F102" s="160">
        <f>Hoja7!L13</f>
        <v>0</v>
      </c>
      <c r="G102" s="161">
        <f t="shared" si="3"/>
        <v>0</v>
      </c>
    </row>
    <row r="103" spans="1:7" x14ac:dyDescent="0.25">
      <c r="A103" s="157" t="str">
        <f>IFERROR(DATEVALUE(CONCATENATE(CONCATENATE(REPT("0",2-LEN(Hoja7!A14)),Hoja7!A14),"/",CONCATENATE(REPT("0",2-LEN(Hoja7!B14)),Hoja7!B14),"/",Hoja7!$A$4)),"")</f>
        <v/>
      </c>
      <c r="B103" s="158" t="str">
        <f>CONCATENATE(Hoja7!D14,"-",Hoja7!E14)</f>
        <v>-</v>
      </c>
      <c r="C103" s="159">
        <f>Hoja7!C14</f>
        <v>0</v>
      </c>
      <c r="D103" s="159">
        <f>Hoja7!F14</f>
        <v>0</v>
      </c>
      <c r="E103" s="160">
        <f>Hoja7!K14</f>
        <v>0</v>
      </c>
      <c r="F103" s="160">
        <f>Hoja7!L14</f>
        <v>0</v>
      </c>
      <c r="G103" s="161">
        <f t="shared" si="3"/>
        <v>0</v>
      </c>
    </row>
    <row r="104" spans="1:7" x14ac:dyDescent="0.25">
      <c r="A104" s="157" t="str">
        <f>IFERROR(DATEVALUE(CONCATENATE(CONCATENATE(REPT("0",2-LEN(Hoja7!A15)),Hoja7!A15),"/",CONCATENATE(REPT("0",2-LEN(Hoja7!B15)),Hoja7!B15),"/",Hoja7!$A$4)),"")</f>
        <v/>
      </c>
      <c r="B104" s="158" t="str">
        <f>CONCATENATE(Hoja7!D15,"-",Hoja7!E15)</f>
        <v>-</v>
      </c>
      <c r="C104" s="159">
        <f>Hoja7!C15</f>
        <v>0</v>
      </c>
      <c r="D104" s="159">
        <f>Hoja7!F15</f>
        <v>0</v>
      </c>
      <c r="E104" s="160">
        <f>Hoja7!K15</f>
        <v>0</v>
      </c>
      <c r="F104" s="160">
        <f>Hoja7!L15</f>
        <v>0</v>
      </c>
      <c r="G104" s="161">
        <f t="shared" si="3"/>
        <v>0</v>
      </c>
    </row>
    <row r="105" spans="1:7" x14ac:dyDescent="0.25">
      <c r="A105" s="157" t="str">
        <f>IFERROR(DATEVALUE(CONCATENATE(CONCATENATE(REPT("0",2-LEN(Hoja7!A16)),Hoja7!A16),"/",CONCATENATE(REPT("0",2-LEN(Hoja7!B16)),Hoja7!B16),"/",Hoja7!$A$4)),"")</f>
        <v/>
      </c>
      <c r="B105" s="158" t="str">
        <f>CONCATENATE(Hoja7!D16,"-",Hoja7!E16)</f>
        <v>-</v>
      </c>
      <c r="C105" s="159">
        <f>Hoja7!C16</f>
        <v>0</v>
      </c>
      <c r="D105" s="159">
        <f>Hoja7!F16</f>
        <v>0</v>
      </c>
      <c r="E105" s="160">
        <f>Hoja7!K16</f>
        <v>0</v>
      </c>
      <c r="F105" s="160">
        <f>Hoja7!L16</f>
        <v>0</v>
      </c>
      <c r="G105" s="161">
        <f t="shared" si="3"/>
        <v>0</v>
      </c>
    </row>
    <row r="106" spans="1:7" x14ac:dyDescent="0.25">
      <c r="A106" s="157" t="str">
        <f>IFERROR(DATEVALUE(CONCATENATE(CONCATENATE(REPT("0",2-LEN(Hoja7!A17)),Hoja7!A17),"/",CONCATENATE(REPT("0",2-LEN(Hoja7!B17)),Hoja7!B17),"/",Hoja7!$A$4)),"")</f>
        <v/>
      </c>
      <c r="B106" s="158" t="str">
        <f>CONCATENATE(Hoja7!D17,"-",Hoja7!E17)</f>
        <v>-</v>
      </c>
      <c r="C106" s="159">
        <f>Hoja7!C17</f>
        <v>0</v>
      </c>
      <c r="D106" s="159">
        <f>Hoja7!F17</f>
        <v>0</v>
      </c>
      <c r="E106" s="160">
        <f>Hoja7!K17</f>
        <v>0</v>
      </c>
      <c r="F106" s="160">
        <f>Hoja7!L17</f>
        <v>0</v>
      </c>
      <c r="G106" s="161">
        <f t="shared" si="3"/>
        <v>0</v>
      </c>
    </row>
    <row r="107" spans="1:7" x14ac:dyDescent="0.25">
      <c r="A107" s="157" t="str">
        <f>IFERROR(DATEVALUE(CONCATENATE(CONCATENATE(REPT("0",2-LEN(Hoja7!A18)),Hoja7!A18),"/",CONCATENATE(REPT("0",2-LEN(Hoja7!B18)),Hoja7!B18),"/",Hoja7!$A$4)),"")</f>
        <v/>
      </c>
      <c r="B107" s="158" t="str">
        <f>CONCATENATE(Hoja7!D18,"-",Hoja7!E18)</f>
        <v>-</v>
      </c>
      <c r="C107" s="159">
        <f>Hoja7!C18</f>
        <v>0</v>
      </c>
      <c r="D107" s="159">
        <f>Hoja7!F18</f>
        <v>0</v>
      </c>
      <c r="E107" s="160">
        <f>Hoja7!K18</f>
        <v>0</v>
      </c>
      <c r="F107" s="160">
        <f>Hoja7!L18</f>
        <v>0</v>
      </c>
      <c r="G107" s="161">
        <f t="shared" si="3"/>
        <v>0</v>
      </c>
    </row>
    <row r="108" spans="1:7" x14ac:dyDescent="0.25">
      <c r="A108" s="157" t="str">
        <f>IFERROR(DATEVALUE(CONCATENATE(CONCATENATE(REPT("0",2-LEN(Hoja7!A19)),Hoja7!A19),"/",CONCATENATE(REPT("0",2-LEN(Hoja7!B19)),Hoja7!B19),"/",Hoja7!$A$4)),"")</f>
        <v/>
      </c>
      <c r="B108" s="158" t="str">
        <f>CONCATENATE(Hoja7!D19,"-",Hoja7!E19)</f>
        <v>-</v>
      </c>
      <c r="C108" s="159">
        <f>Hoja7!C19</f>
        <v>0</v>
      </c>
      <c r="D108" s="159">
        <f>Hoja7!F19</f>
        <v>0</v>
      </c>
      <c r="E108" s="160">
        <f>Hoja7!K19</f>
        <v>0</v>
      </c>
      <c r="F108" s="160">
        <f>Hoja7!L19</f>
        <v>0</v>
      </c>
      <c r="G108" s="161">
        <f t="shared" si="3"/>
        <v>0</v>
      </c>
    </row>
    <row r="109" spans="1:7" x14ac:dyDescent="0.25">
      <c r="A109" s="157" t="str">
        <f>IFERROR(DATEVALUE(CONCATENATE(CONCATENATE(REPT("0",2-LEN(Hoja7!A20)),Hoja7!A20),"/",CONCATENATE(REPT("0",2-LEN(Hoja7!B20)),Hoja7!B20),"/",Hoja7!$A$4)),"")</f>
        <v/>
      </c>
      <c r="B109" s="158" t="str">
        <f>CONCATENATE(Hoja7!D20,"-",Hoja7!E20)</f>
        <v>-</v>
      </c>
      <c r="C109" s="159">
        <f>Hoja7!C20</f>
        <v>0</v>
      </c>
      <c r="D109" s="159">
        <f>Hoja7!F20</f>
        <v>0</v>
      </c>
      <c r="E109" s="160">
        <f>Hoja7!K20</f>
        <v>0</v>
      </c>
      <c r="F109" s="160">
        <f>Hoja7!L20</f>
        <v>0</v>
      </c>
      <c r="G109" s="161">
        <f t="shared" si="3"/>
        <v>0</v>
      </c>
    </row>
    <row r="110" spans="1:7" ht="13.8" thickBot="1" x14ac:dyDescent="0.3">
      <c r="A110" s="176" t="str">
        <f>IFERROR(DATEVALUE(CONCATENATE(CONCATENATE(REPT("0",2-LEN(Hoja7!A21)),Hoja7!A21),"/",CONCATENATE(REPT("0",2-LEN(Hoja7!B21)),Hoja7!B21),"/",Hoja7!$A$4)),"")</f>
        <v/>
      </c>
      <c r="B110" s="177" t="str">
        <f>CONCATENATE(Hoja7!D21,"-",Hoja7!E21)</f>
        <v>-</v>
      </c>
      <c r="C110" s="178">
        <f>Hoja7!C21</f>
        <v>0</v>
      </c>
      <c r="D110" s="178">
        <f>Hoja7!F21</f>
        <v>0</v>
      </c>
      <c r="E110" s="179">
        <f>Hoja7!K21</f>
        <v>0</v>
      </c>
      <c r="F110" s="179">
        <f>Hoja7!L21</f>
        <v>0</v>
      </c>
      <c r="G110" s="180">
        <f t="shared" si="3"/>
        <v>0</v>
      </c>
    </row>
    <row r="111" spans="1:7" x14ac:dyDescent="0.25">
      <c r="A111" s="167" t="str">
        <f>IFERROR(DATEVALUE(CONCATENATE(CONCATENATE(REPT("0",2-LEN(Hoja8!A7)),Hoja8!A7),"/",CONCATENATE(REPT("0",2-LEN(Hoja8!B7)),Hoja8!B7),"/",Hoja8!$A$4)),"")</f>
        <v/>
      </c>
      <c r="B111" s="168" t="str">
        <f>CONCATENATE(Hoja8!D7,"-",Hoja8!E7)</f>
        <v>-</v>
      </c>
      <c r="C111" s="169">
        <f>Hoja8!C7</f>
        <v>0</v>
      </c>
      <c r="D111" s="169">
        <f>Hoja8!F7</f>
        <v>0</v>
      </c>
      <c r="E111" s="134">
        <f>Hoja8!K7</f>
        <v>0</v>
      </c>
      <c r="F111" s="134">
        <f>Hoja8!L7</f>
        <v>0</v>
      </c>
      <c r="G111" s="135">
        <f t="shared" si="2"/>
        <v>0</v>
      </c>
    </row>
    <row r="112" spans="1:7" x14ac:dyDescent="0.25">
      <c r="A112" s="170" t="str">
        <f>IFERROR(DATEVALUE(CONCATENATE(CONCATENATE(REPT("0",2-LEN(Hoja8!A8)),Hoja8!A8),"/",CONCATENATE(REPT("0",2-LEN(Hoja8!B8)),Hoja8!B8),"/",Hoja8!$A$4)),"")</f>
        <v/>
      </c>
      <c r="B112" s="171" t="str">
        <f>CONCATENATE(Hoja8!D8,"-",Hoja8!E8)</f>
        <v>-</v>
      </c>
      <c r="C112" s="172">
        <f>Hoja8!C8</f>
        <v>0</v>
      </c>
      <c r="D112" s="172">
        <f>Hoja8!F8</f>
        <v>0</v>
      </c>
      <c r="E112" s="126">
        <f>Hoja8!K8</f>
        <v>0</v>
      </c>
      <c r="F112" s="126">
        <f>Hoja8!L8</f>
        <v>0</v>
      </c>
      <c r="G112" s="127">
        <f t="shared" ref="G112:G125" si="4">+E112+F112</f>
        <v>0</v>
      </c>
    </row>
    <row r="113" spans="1:7" x14ac:dyDescent="0.25">
      <c r="A113" s="170" t="str">
        <f>IFERROR(DATEVALUE(CONCATENATE(CONCATENATE(REPT("0",2-LEN(Hoja8!A9)),Hoja8!A9),"/",CONCATENATE(REPT("0",2-LEN(Hoja8!B9)),Hoja8!B9),"/",Hoja8!$A$4)),"")</f>
        <v/>
      </c>
      <c r="B113" s="171" t="str">
        <f>CONCATENATE(Hoja8!D9,"-",Hoja8!E9)</f>
        <v>-</v>
      </c>
      <c r="C113" s="172">
        <f>Hoja8!C9</f>
        <v>0</v>
      </c>
      <c r="D113" s="172">
        <f>Hoja8!F9</f>
        <v>0</v>
      </c>
      <c r="E113" s="126">
        <f>Hoja8!K9</f>
        <v>0</v>
      </c>
      <c r="F113" s="126">
        <f>Hoja8!L9</f>
        <v>0</v>
      </c>
      <c r="G113" s="127">
        <f t="shared" si="4"/>
        <v>0</v>
      </c>
    </row>
    <row r="114" spans="1:7" x14ac:dyDescent="0.25">
      <c r="A114" s="170" t="str">
        <f>IFERROR(DATEVALUE(CONCATENATE(CONCATENATE(REPT("0",2-LEN(Hoja8!A10)),Hoja8!A10),"/",CONCATENATE(REPT("0",2-LEN(Hoja8!B10)),Hoja8!B10),"/",Hoja8!$A$4)),"")</f>
        <v/>
      </c>
      <c r="B114" s="171" t="str">
        <f>CONCATENATE(Hoja8!D10,"-",Hoja8!E10)</f>
        <v>-</v>
      </c>
      <c r="C114" s="172">
        <f>Hoja8!C10</f>
        <v>0</v>
      </c>
      <c r="D114" s="172">
        <f>Hoja8!F10</f>
        <v>0</v>
      </c>
      <c r="E114" s="126">
        <f>Hoja8!K10</f>
        <v>0</v>
      </c>
      <c r="F114" s="126">
        <f>Hoja8!L10</f>
        <v>0</v>
      </c>
      <c r="G114" s="127">
        <f t="shared" si="4"/>
        <v>0</v>
      </c>
    </row>
    <row r="115" spans="1:7" x14ac:dyDescent="0.25">
      <c r="A115" s="170" t="str">
        <f>IFERROR(DATEVALUE(CONCATENATE(CONCATENATE(REPT("0",2-LEN(Hoja8!A11)),Hoja8!A11),"/",CONCATENATE(REPT("0",2-LEN(Hoja8!B11)),Hoja8!B11),"/",Hoja8!$A$4)),"")</f>
        <v/>
      </c>
      <c r="B115" s="171" t="str">
        <f>CONCATENATE(Hoja8!D11,"-",Hoja8!E11)</f>
        <v>-</v>
      </c>
      <c r="C115" s="172">
        <f>Hoja8!C11</f>
        <v>0</v>
      </c>
      <c r="D115" s="172">
        <f>Hoja8!F11</f>
        <v>0</v>
      </c>
      <c r="E115" s="126">
        <f>Hoja8!K11</f>
        <v>0</v>
      </c>
      <c r="F115" s="126">
        <f>Hoja8!L11</f>
        <v>0</v>
      </c>
      <c r="G115" s="127">
        <f t="shared" si="4"/>
        <v>0</v>
      </c>
    </row>
    <row r="116" spans="1:7" x14ac:dyDescent="0.25">
      <c r="A116" s="170" t="str">
        <f>IFERROR(DATEVALUE(CONCATENATE(CONCATENATE(REPT("0",2-LEN(Hoja8!A12)),Hoja8!A12),"/",CONCATENATE(REPT("0",2-LEN(Hoja8!B12)),Hoja8!B12),"/",Hoja8!$A$4)),"")</f>
        <v/>
      </c>
      <c r="B116" s="171" t="str">
        <f>CONCATENATE(Hoja8!D12,"-",Hoja8!E12)</f>
        <v>-</v>
      </c>
      <c r="C116" s="172">
        <f>Hoja8!C12</f>
        <v>0</v>
      </c>
      <c r="D116" s="172">
        <f>Hoja8!F12</f>
        <v>0</v>
      </c>
      <c r="E116" s="126">
        <f>Hoja8!K12</f>
        <v>0</v>
      </c>
      <c r="F116" s="126">
        <f>Hoja8!L12</f>
        <v>0</v>
      </c>
      <c r="G116" s="127">
        <f t="shared" si="4"/>
        <v>0</v>
      </c>
    </row>
    <row r="117" spans="1:7" x14ac:dyDescent="0.25">
      <c r="A117" s="170" t="str">
        <f>IFERROR(DATEVALUE(CONCATENATE(CONCATENATE(REPT("0",2-LEN(Hoja8!A13)),Hoja8!A13),"/",CONCATENATE(REPT("0",2-LEN(Hoja8!B13)),Hoja8!B13),"/",Hoja8!$A$4)),"")</f>
        <v/>
      </c>
      <c r="B117" s="171" t="str">
        <f>CONCATENATE(Hoja8!D13,"-",Hoja8!E13)</f>
        <v>-</v>
      </c>
      <c r="C117" s="172">
        <f>Hoja8!C13</f>
        <v>0</v>
      </c>
      <c r="D117" s="172">
        <f>Hoja8!F13</f>
        <v>0</v>
      </c>
      <c r="E117" s="126">
        <f>Hoja8!K13</f>
        <v>0</v>
      </c>
      <c r="F117" s="126">
        <f>Hoja8!L13</f>
        <v>0</v>
      </c>
      <c r="G117" s="127">
        <f t="shared" si="4"/>
        <v>0</v>
      </c>
    </row>
    <row r="118" spans="1:7" x14ac:dyDescent="0.25">
      <c r="A118" s="170" t="str">
        <f>IFERROR(DATEVALUE(CONCATENATE(CONCATENATE(REPT("0",2-LEN(Hoja8!A14)),Hoja8!A14),"/",CONCATENATE(REPT("0",2-LEN(Hoja8!B14)),Hoja8!B14),"/",Hoja8!$A$4)),"")</f>
        <v/>
      </c>
      <c r="B118" s="171" t="str">
        <f>CONCATENATE(Hoja8!D14,"-",Hoja8!E14)</f>
        <v>-</v>
      </c>
      <c r="C118" s="172">
        <f>Hoja8!C14</f>
        <v>0</v>
      </c>
      <c r="D118" s="172">
        <f>Hoja8!F14</f>
        <v>0</v>
      </c>
      <c r="E118" s="126">
        <f>Hoja8!K14</f>
        <v>0</v>
      </c>
      <c r="F118" s="126">
        <f>Hoja8!L14</f>
        <v>0</v>
      </c>
      <c r="G118" s="127">
        <f t="shared" si="4"/>
        <v>0</v>
      </c>
    </row>
    <row r="119" spans="1:7" x14ac:dyDescent="0.25">
      <c r="A119" s="170" t="str">
        <f>IFERROR(DATEVALUE(CONCATENATE(CONCATENATE(REPT("0",2-LEN(Hoja8!A15)),Hoja8!A15),"/",CONCATENATE(REPT("0",2-LEN(Hoja8!B15)),Hoja8!B15),"/",Hoja8!$A$4)),"")</f>
        <v/>
      </c>
      <c r="B119" s="171" t="str">
        <f>CONCATENATE(Hoja8!D15,"-",Hoja8!E15)</f>
        <v>-</v>
      </c>
      <c r="C119" s="172">
        <f>Hoja8!C15</f>
        <v>0</v>
      </c>
      <c r="D119" s="172">
        <f>Hoja8!F15</f>
        <v>0</v>
      </c>
      <c r="E119" s="126">
        <f>Hoja8!K15</f>
        <v>0</v>
      </c>
      <c r="F119" s="126">
        <f>Hoja8!L15</f>
        <v>0</v>
      </c>
      <c r="G119" s="127">
        <f t="shared" si="4"/>
        <v>0</v>
      </c>
    </row>
    <row r="120" spans="1:7" x14ac:dyDescent="0.25">
      <c r="A120" s="170" t="str">
        <f>IFERROR(DATEVALUE(CONCATENATE(CONCATENATE(REPT("0",2-LEN(Hoja8!A16)),Hoja8!A16),"/",CONCATENATE(REPT("0",2-LEN(Hoja8!B16)),Hoja8!B16),"/",Hoja8!$A$4)),"")</f>
        <v/>
      </c>
      <c r="B120" s="171" t="str">
        <f>CONCATENATE(Hoja8!D16,"-",Hoja8!E16)</f>
        <v>-</v>
      </c>
      <c r="C120" s="172">
        <f>Hoja8!C16</f>
        <v>0</v>
      </c>
      <c r="D120" s="172">
        <f>Hoja8!F16</f>
        <v>0</v>
      </c>
      <c r="E120" s="126">
        <f>Hoja8!K16</f>
        <v>0</v>
      </c>
      <c r="F120" s="126">
        <f>Hoja8!L16</f>
        <v>0</v>
      </c>
      <c r="G120" s="127">
        <f t="shared" si="4"/>
        <v>0</v>
      </c>
    </row>
    <row r="121" spans="1:7" x14ac:dyDescent="0.25">
      <c r="A121" s="170" t="str">
        <f>IFERROR(DATEVALUE(CONCATENATE(CONCATENATE(REPT("0",2-LEN(Hoja8!A17)),Hoja8!A17),"/",CONCATENATE(REPT("0",2-LEN(Hoja8!B17)),Hoja8!B17),"/",Hoja8!$A$4)),"")</f>
        <v/>
      </c>
      <c r="B121" s="171" t="str">
        <f>CONCATENATE(Hoja8!D17,"-",Hoja8!E17)</f>
        <v>-</v>
      </c>
      <c r="C121" s="172">
        <f>Hoja8!C17</f>
        <v>0</v>
      </c>
      <c r="D121" s="172">
        <f>Hoja8!F17</f>
        <v>0</v>
      </c>
      <c r="E121" s="126">
        <f>Hoja8!K17</f>
        <v>0</v>
      </c>
      <c r="F121" s="126">
        <f>Hoja8!L17</f>
        <v>0</v>
      </c>
      <c r="G121" s="127">
        <f t="shared" si="4"/>
        <v>0</v>
      </c>
    </row>
    <row r="122" spans="1:7" x14ac:dyDescent="0.25">
      <c r="A122" s="170" t="str">
        <f>IFERROR(DATEVALUE(CONCATENATE(CONCATENATE(REPT("0",2-LEN(Hoja8!A18)),Hoja8!A18),"/",CONCATENATE(REPT("0",2-LEN(Hoja8!B18)),Hoja8!B18),"/",Hoja8!$A$4)),"")</f>
        <v/>
      </c>
      <c r="B122" s="171" t="str">
        <f>CONCATENATE(Hoja8!D18,"-",Hoja8!E18)</f>
        <v>-</v>
      </c>
      <c r="C122" s="172">
        <f>Hoja8!C18</f>
        <v>0</v>
      </c>
      <c r="D122" s="172">
        <f>Hoja8!F18</f>
        <v>0</v>
      </c>
      <c r="E122" s="126">
        <f>Hoja8!K18</f>
        <v>0</v>
      </c>
      <c r="F122" s="126">
        <f>Hoja8!L18</f>
        <v>0</v>
      </c>
      <c r="G122" s="127">
        <f t="shared" si="4"/>
        <v>0</v>
      </c>
    </row>
    <row r="123" spans="1:7" x14ac:dyDescent="0.25">
      <c r="A123" s="170" t="str">
        <f>IFERROR(DATEVALUE(CONCATENATE(CONCATENATE(REPT("0",2-LEN(Hoja8!A19)),Hoja8!A19),"/",CONCATENATE(REPT("0",2-LEN(Hoja8!B19)),Hoja8!B19),"/",Hoja8!$A$4)),"")</f>
        <v/>
      </c>
      <c r="B123" s="171" t="str">
        <f>CONCATENATE(Hoja8!D19,"-",Hoja8!E19)</f>
        <v>-</v>
      </c>
      <c r="C123" s="172">
        <f>Hoja8!C19</f>
        <v>0</v>
      </c>
      <c r="D123" s="172">
        <f>Hoja8!F19</f>
        <v>0</v>
      </c>
      <c r="E123" s="126">
        <f>Hoja8!K19</f>
        <v>0</v>
      </c>
      <c r="F123" s="126">
        <f>Hoja8!L19</f>
        <v>0</v>
      </c>
      <c r="G123" s="127">
        <f t="shared" si="4"/>
        <v>0</v>
      </c>
    </row>
    <row r="124" spans="1:7" x14ac:dyDescent="0.25">
      <c r="A124" s="170" t="str">
        <f>IFERROR(DATEVALUE(CONCATENATE(CONCATENATE(REPT("0",2-LEN(Hoja8!A20)),Hoja8!A20),"/",CONCATENATE(REPT("0",2-LEN(Hoja8!B20)),Hoja8!B20),"/",Hoja8!$A$4)),"")</f>
        <v/>
      </c>
      <c r="B124" s="171" t="str">
        <f>CONCATENATE(Hoja8!D20,"-",Hoja8!E20)</f>
        <v>-</v>
      </c>
      <c r="C124" s="172">
        <f>Hoja8!C20</f>
        <v>0</v>
      </c>
      <c r="D124" s="172">
        <f>Hoja8!F20</f>
        <v>0</v>
      </c>
      <c r="E124" s="126">
        <f>Hoja8!K20</f>
        <v>0</v>
      </c>
      <c r="F124" s="126">
        <f>Hoja8!L20</f>
        <v>0</v>
      </c>
      <c r="G124" s="127">
        <f t="shared" si="4"/>
        <v>0</v>
      </c>
    </row>
    <row r="125" spans="1:7" ht="13.8" thickBot="1" x14ac:dyDescent="0.3">
      <c r="A125" s="173" t="str">
        <f>IFERROR(DATEVALUE(CONCATENATE(CONCATENATE(REPT("0",2-LEN(Hoja8!A21)),Hoja8!A21),"/",CONCATENATE(REPT("0",2-LEN(Hoja8!B21)),Hoja8!B21),"/",Hoja8!$A$4)),"")</f>
        <v/>
      </c>
      <c r="B125" s="174" t="str">
        <f>CONCATENATE(Hoja8!D21,"-",Hoja8!E21)</f>
        <v>-</v>
      </c>
      <c r="C125" s="175">
        <f>Hoja8!C21</f>
        <v>0</v>
      </c>
      <c r="D125" s="175">
        <f>Hoja8!F21</f>
        <v>0</v>
      </c>
      <c r="E125" s="128">
        <f>Hoja8!K21</f>
        <v>0</v>
      </c>
      <c r="F125" s="128">
        <f>Hoja8!L21</f>
        <v>0</v>
      </c>
      <c r="G125" s="129">
        <f t="shared" si="4"/>
        <v>0</v>
      </c>
    </row>
    <row r="126" spans="1:7" x14ac:dyDescent="0.25">
      <c r="A126" s="152" t="str">
        <f>IFERROR(DATEVALUE(CONCATENATE(CONCATENATE(REPT("0",2-LEN(Hoja9!A7)),Hoja9!A7),"/",CONCATENATE(REPT("0",2-LEN(Hoja9!B7)),Hoja9!B7),"/",Hoja9!$A$4)),"")</f>
        <v/>
      </c>
      <c r="B126" s="153" t="str">
        <f>CONCATENATE(Hoja9!D7,"-",Hoja9!E7)</f>
        <v>-</v>
      </c>
      <c r="C126" s="154">
        <f>Hoja9!C7</f>
        <v>0</v>
      </c>
      <c r="D126" s="154">
        <f>Hoja9!F7</f>
        <v>0</v>
      </c>
      <c r="E126" s="155">
        <f>Hoja9!K7</f>
        <v>0</v>
      </c>
      <c r="F126" s="155">
        <f>Hoja9!L7</f>
        <v>0</v>
      </c>
      <c r="G126" s="156">
        <f t="shared" si="2"/>
        <v>0</v>
      </c>
    </row>
    <row r="127" spans="1:7" x14ac:dyDescent="0.25">
      <c r="A127" s="157" t="str">
        <f>IFERROR(DATEVALUE(CONCATENATE(CONCATENATE(REPT("0",2-LEN(Hoja9!A8)),Hoja9!A8),"/",CONCATENATE(REPT("0",2-LEN(Hoja9!B8)),Hoja9!B8),"/",Hoja9!$A$4)),"")</f>
        <v/>
      </c>
      <c r="B127" s="158" t="str">
        <f>CONCATENATE(Hoja9!D8,"-",Hoja9!E8)</f>
        <v>-</v>
      </c>
      <c r="C127" s="159">
        <f>Hoja9!C8</f>
        <v>0</v>
      </c>
      <c r="D127" s="159">
        <f>Hoja9!F8</f>
        <v>0</v>
      </c>
      <c r="E127" s="160">
        <f>Hoja9!K8</f>
        <v>0</v>
      </c>
      <c r="F127" s="160">
        <f>Hoja9!L8</f>
        <v>0</v>
      </c>
      <c r="G127" s="161">
        <f t="shared" ref="G127:G140" si="5">+E127+F127</f>
        <v>0</v>
      </c>
    </row>
    <row r="128" spans="1:7" x14ac:dyDescent="0.25">
      <c r="A128" s="157" t="str">
        <f>IFERROR(DATEVALUE(CONCATENATE(CONCATENATE(REPT("0",2-LEN(Hoja9!A9)),Hoja9!A9),"/",CONCATENATE(REPT("0",2-LEN(Hoja9!B9)),Hoja9!B9),"/",Hoja9!$A$4)),"")</f>
        <v/>
      </c>
      <c r="B128" s="158" t="str">
        <f>CONCATENATE(Hoja9!D9,"-",Hoja9!E9)</f>
        <v>-</v>
      </c>
      <c r="C128" s="159">
        <f>Hoja9!C9</f>
        <v>0</v>
      </c>
      <c r="D128" s="159">
        <f>Hoja9!F9</f>
        <v>0</v>
      </c>
      <c r="E128" s="160">
        <f>Hoja9!K9</f>
        <v>0</v>
      </c>
      <c r="F128" s="160">
        <f>Hoja9!L9</f>
        <v>0</v>
      </c>
      <c r="G128" s="161">
        <f t="shared" si="5"/>
        <v>0</v>
      </c>
    </row>
    <row r="129" spans="1:7" x14ac:dyDescent="0.25">
      <c r="A129" s="157" t="str">
        <f>IFERROR(DATEVALUE(CONCATENATE(CONCATENATE(REPT("0",2-LEN(Hoja9!A10)),Hoja9!A10),"/",CONCATENATE(REPT("0",2-LEN(Hoja9!B10)),Hoja9!B10),"/",Hoja9!$A$4)),"")</f>
        <v/>
      </c>
      <c r="B129" s="158" t="str">
        <f>CONCATENATE(Hoja9!D10,"-",Hoja9!E10)</f>
        <v>-</v>
      </c>
      <c r="C129" s="159">
        <f>Hoja9!C10</f>
        <v>0</v>
      </c>
      <c r="D129" s="159">
        <f>Hoja9!F10</f>
        <v>0</v>
      </c>
      <c r="E129" s="160">
        <f>Hoja9!K10</f>
        <v>0</v>
      </c>
      <c r="F129" s="160">
        <f>Hoja9!L10</f>
        <v>0</v>
      </c>
      <c r="G129" s="161">
        <f t="shared" si="5"/>
        <v>0</v>
      </c>
    </row>
    <row r="130" spans="1:7" x14ac:dyDescent="0.25">
      <c r="A130" s="157" t="str">
        <f>IFERROR(DATEVALUE(CONCATENATE(CONCATENATE(REPT("0",2-LEN(Hoja9!A11)),Hoja9!A11),"/",CONCATENATE(REPT("0",2-LEN(Hoja9!B11)),Hoja9!B11),"/",Hoja9!$A$4)),"")</f>
        <v/>
      </c>
      <c r="B130" s="158" t="str">
        <f>CONCATENATE(Hoja9!D11,"-",Hoja9!E11)</f>
        <v>-</v>
      </c>
      <c r="C130" s="159">
        <f>Hoja9!C11</f>
        <v>0</v>
      </c>
      <c r="D130" s="159">
        <f>Hoja9!F11</f>
        <v>0</v>
      </c>
      <c r="E130" s="160">
        <f>Hoja9!K11</f>
        <v>0</v>
      </c>
      <c r="F130" s="160">
        <f>Hoja9!L11</f>
        <v>0</v>
      </c>
      <c r="G130" s="161">
        <f t="shared" si="5"/>
        <v>0</v>
      </c>
    </row>
    <row r="131" spans="1:7" x14ac:dyDescent="0.25">
      <c r="A131" s="157" t="str">
        <f>IFERROR(DATEVALUE(CONCATENATE(CONCATENATE(REPT("0",2-LEN(Hoja9!A12)),Hoja9!A12),"/",CONCATENATE(REPT("0",2-LEN(Hoja9!B12)),Hoja9!B12),"/",Hoja9!$A$4)),"")</f>
        <v/>
      </c>
      <c r="B131" s="158" t="str">
        <f>CONCATENATE(Hoja9!D12,"-",Hoja9!E12)</f>
        <v>-</v>
      </c>
      <c r="C131" s="159">
        <f>Hoja9!C12</f>
        <v>0</v>
      </c>
      <c r="D131" s="159">
        <f>Hoja9!F12</f>
        <v>0</v>
      </c>
      <c r="E131" s="160">
        <f>Hoja9!K12</f>
        <v>0</v>
      </c>
      <c r="F131" s="160">
        <f>Hoja9!L12</f>
        <v>0</v>
      </c>
      <c r="G131" s="161">
        <f t="shared" si="5"/>
        <v>0</v>
      </c>
    </row>
    <row r="132" spans="1:7" x14ac:dyDescent="0.25">
      <c r="A132" s="157" t="str">
        <f>IFERROR(DATEVALUE(CONCATENATE(CONCATENATE(REPT("0",2-LEN(Hoja9!A13)),Hoja9!A13),"/",CONCATENATE(REPT("0",2-LEN(Hoja9!B13)),Hoja9!B13),"/",Hoja9!$A$4)),"")</f>
        <v/>
      </c>
      <c r="B132" s="158" t="str">
        <f>CONCATENATE(Hoja9!D13,"-",Hoja9!E13)</f>
        <v>-</v>
      </c>
      <c r="C132" s="159">
        <f>Hoja9!C13</f>
        <v>0</v>
      </c>
      <c r="D132" s="159">
        <f>Hoja9!F13</f>
        <v>0</v>
      </c>
      <c r="E132" s="160">
        <f>Hoja9!K13</f>
        <v>0</v>
      </c>
      <c r="F132" s="160">
        <f>Hoja9!L13</f>
        <v>0</v>
      </c>
      <c r="G132" s="161">
        <f t="shared" si="5"/>
        <v>0</v>
      </c>
    </row>
    <row r="133" spans="1:7" x14ac:dyDescent="0.25">
      <c r="A133" s="157" t="str">
        <f>IFERROR(DATEVALUE(CONCATENATE(CONCATENATE(REPT("0",2-LEN(Hoja9!A14)),Hoja9!A14),"/",CONCATENATE(REPT("0",2-LEN(Hoja9!B14)),Hoja9!B14),"/",Hoja9!$A$4)),"")</f>
        <v/>
      </c>
      <c r="B133" s="158" t="str">
        <f>CONCATENATE(Hoja9!D14,"-",Hoja9!E14)</f>
        <v>-</v>
      </c>
      <c r="C133" s="159">
        <f>Hoja9!C14</f>
        <v>0</v>
      </c>
      <c r="D133" s="159">
        <f>Hoja9!F14</f>
        <v>0</v>
      </c>
      <c r="E133" s="160">
        <f>Hoja9!K14</f>
        <v>0</v>
      </c>
      <c r="F133" s="160">
        <f>Hoja9!L14</f>
        <v>0</v>
      </c>
      <c r="G133" s="161">
        <f t="shared" si="5"/>
        <v>0</v>
      </c>
    </row>
    <row r="134" spans="1:7" x14ac:dyDescent="0.25">
      <c r="A134" s="157" t="str">
        <f>IFERROR(DATEVALUE(CONCATENATE(CONCATENATE(REPT("0",2-LEN(Hoja9!A15)),Hoja9!A15),"/",CONCATENATE(REPT("0",2-LEN(Hoja9!B15)),Hoja9!B15),"/",Hoja9!$A$4)),"")</f>
        <v/>
      </c>
      <c r="B134" s="158" t="str">
        <f>CONCATENATE(Hoja9!D15,"-",Hoja9!E15)</f>
        <v>-</v>
      </c>
      <c r="C134" s="159">
        <f>Hoja9!C15</f>
        <v>0</v>
      </c>
      <c r="D134" s="159">
        <f>Hoja9!F15</f>
        <v>0</v>
      </c>
      <c r="E134" s="160">
        <f>Hoja9!K15</f>
        <v>0</v>
      </c>
      <c r="F134" s="160">
        <f>Hoja9!L15</f>
        <v>0</v>
      </c>
      <c r="G134" s="161">
        <f t="shared" si="5"/>
        <v>0</v>
      </c>
    </row>
    <row r="135" spans="1:7" x14ac:dyDescent="0.25">
      <c r="A135" s="157" t="str">
        <f>IFERROR(DATEVALUE(CONCATENATE(CONCATENATE(REPT("0",2-LEN(Hoja9!A16)),Hoja9!A16),"/",CONCATENATE(REPT("0",2-LEN(Hoja9!B16)),Hoja9!B16),"/",Hoja9!$A$4)),"")</f>
        <v/>
      </c>
      <c r="B135" s="158" t="str">
        <f>CONCATENATE(Hoja9!D16,"-",Hoja9!E16)</f>
        <v>-</v>
      </c>
      <c r="C135" s="159">
        <f>Hoja9!C16</f>
        <v>0</v>
      </c>
      <c r="D135" s="159">
        <f>Hoja9!F16</f>
        <v>0</v>
      </c>
      <c r="E135" s="160">
        <f>Hoja9!K16</f>
        <v>0</v>
      </c>
      <c r="F135" s="160">
        <f>Hoja9!L16</f>
        <v>0</v>
      </c>
      <c r="G135" s="161">
        <f t="shared" si="5"/>
        <v>0</v>
      </c>
    </row>
    <row r="136" spans="1:7" x14ac:dyDescent="0.25">
      <c r="A136" s="157" t="str">
        <f>IFERROR(DATEVALUE(CONCATENATE(CONCATENATE(REPT("0",2-LEN(Hoja9!A17)),Hoja9!A17),"/",CONCATENATE(REPT("0",2-LEN(Hoja9!B17)),Hoja9!B17),"/",Hoja9!$A$4)),"")</f>
        <v/>
      </c>
      <c r="B136" s="158" t="str">
        <f>CONCATENATE(Hoja9!D17,"-",Hoja9!E17)</f>
        <v>-</v>
      </c>
      <c r="C136" s="159">
        <f>Hoja9!C17</f>
        <v>0</v>
      </c>
      <c r="D136" s="159">
        <f>Hoja9!F17</f>
        <v>0</v>
      </c>
      <c r="E136" s="160">
        <f>Hoja9!K17</f>
        <v>0</v>
      </c>
      <c r="F136" s="160">
        <f>Hoja9!L17</f>
        <v>0</v>
      </c>
      <c r="G136" s="161">
        <f t="shared" si="5"/>
        <v>0</v>
      </c>
    </row>
    <row r="137" spans="1:7" x14ac:dyDescent="0.25">
      <c r="A137" s="157" t="str">
        <f>IFERROR(DATEVALUE(CONCATENATE(CONCATENATE(REPT("0",2-LEN(Hoja9!A18)),Hoja9!A18),"/",CONCATENATE(REPT("0",2-LEN(Hoja9!B18)),Hoja9!B18),"/",Hoja9!$A$4)),"")</f>
        <v/>
      </c>
      <c r="B137" s="158" t="str">
        <f>CONCATENATE(Hoja9!D18,"-",Hoja9!E18)</f>
        <v>-</v>
      </c>
      <c r="C137" s="159">
        <f>Hoja9!C18</f>
        <v>0</v>
      </c>
      <c r="D137" s="159">
        <f>Hoja9!F18</f>
        <v>0</v>
      </c>
      <c r="E137" s="160">
        <f>Hoja9!K18</f>
        <v>0</v>
      </c>
      <c r="F137" s="160">
        <f>Hoja9!L18</f>
        <v>0</v>
      </c>
      <c r="G137" s="161">
        <f t="shared" si="5"/>
        <v>0</v>
      </c>
    </row>
    <row r="138" spans="1:7" x14ac:dyDescent="0.25">
      <c r="A138" s="157" t="str">
        <f>IFERROR(DATEVALUE(CONCATENATE(CONCATENATE(REPT("0",2-LEN(Hoja9!A19)),Hoja9!A19),"/",CONCATENATE(REPT("0",2-LEN(Hoja9!B19)),Hoja9!B19),"/",Hoja9!$A$4)),"")</f>
        <v/>
      </c>
      <c r="B138" s="158" t="str">
        <f>CONCATENATE(Hoja9!D19,"-",Hoja9!E19)</f>
        <v>-</v>
      </c>
      <c r="C138" s="159">
        <f>Hoja9!C19</f>
        <v>0</v>
      </c>
      <c r="D138" s="159">
        <f>Hoja9!F19</f>
        <v>0</v>
      </c>
      <c r="E138" s="160">
        <f>Hoja9!K19</f>
        <v>0</v>
      </c>
      <c r="F138" s="160">
        <f>Hoja9!L19</f>
        <v>0</v>
      </c>
      <c r="G138" s="161">
        <f t="shared" si="5"/>
        <v>0</v>
      </c>
    </row>
    <row r="139" spans="1:7" x14ac:dyDescent="0.25">
      <c r="A139" s="157" t="str">
        <f>IFERROR(DATEVALUE(CONCATENATE(CONCATENATE(REPT("0",2-LEN(Hoja9!A20)),Hoja9!A20),"/",CONCATENATE(REPT("0",2-LEN(Hoja9!B20)),Hoja9!B20),"/",Hoja9!$A$4)),"")</f>
        <v/>
      </c>
      <c r="B139" s="158" t="str">
        <f>CONCATENATE(Hoja9!D20,"-",Hoja9!E20)</f>
        <v>-</v>
      </c>
      <c r="C139" s="159">
        <f>Hoja9!C20</f>
        <v>0</v>
      </c>
      <c r="D139" s="159">
        <f>Hoja9!F20</f>
        <v>0</v>
      </c>
      <c r="E139" s="160">
        <f>Hoja9!K20</f>
        <v>0</v>
      </c>
      <c r="F139" s="160">
        <f>Hoja9!L20</f>
        <v>0</v>
      </c>
      <c r="G139" s="161">
        <f t="shared" si="5"/>
        <v>0</v>
      </c>
    </row>
    <row r="140" spans="1:7" ht="13.8" thickBot="1" x14ac:dyDescent="0.3">
      <c r="A140" s="176" t="str">
        <f>IFERROR(DATEVALUE(CONCATENATE(CONCATENATE(REPT("0",2-LEN(Hoja9!A21)),Hoja9!A21),"/",CONCATENATE(REPT("0",2-LEN(Hoja9!B21)),Hoja9!B21),"/",Hoja9!$A$4)),"")</f>
        <v/>
      </c>
      <c r="B140" s="177" t="str">
        <f>CONCATENATE(Hoja9!D21,"-",Hoja9!E21)</f>
        <v>-</v>
      </c>
      <c r="C140" s="178">
        <f>Hoja9!C21</f>
        <v>0</v>
      </c>
      <c r="D140" s="178">
        <f>Hoja9!F21</f>
        <v>0</v>
      </c>
      <c r="E140" s="179">
        <f>Hoja9!K21</f>
        <v>0</v>
      </c>
      <c r="F140" s="179">
        <f>Hoja9!L21</f>
        <v>0</v>
      </c>
      <c r="G140" s="180">
        <f t="shared" si="5"/>
        <v>0</v>
      </c>
    </row>
    <row r="141" spans="1:7" x14ac:dyDescent="0.25">
      <c r="A141" s="167" t="str">
        <f>IFERROR(DATEVALUE(CONCATENATE(CONCATENATE(REPT("0",2-LEN(Hoja10!A7)),Hoja10!A7),"/",CONCATENATE(REPT("0",2-LEN(Hoja10!B7)),Hoja10!B7),"/",Hoja10!$A$4)),"")</f>
        <v/>
      </c>
      <c r="B141" s="168" t="str">
        <f>CONCATENATE(Hoja10!D7,"-",Hoja10!E7)</f>
        <v>-</v>
      </c>
      <c r="C141" s="169">
        <f>Hoja10!C7</f>
        <v>0</v>
      </c>
      <c r="D141" s="169">
        <f>Hoja10!F7</f>
        <v>0</v>
      </c>
      <c r="E141" s="134">
        <f>Hoja10!K7</f>
        <v>0</v>
      </c>
      <c r="F141" s="134">
        <f>Hoja10!L7</f>
        <v>0</v>
      </c>
      <c r="G141" s="135">
        <f t="shared" ref="G141:G186" si="6">+E141+F141</f>
        <v>0</v>
      </c>
    </row>
    <row r="142" spans="1:7" x14ac:dyDescent="0.25">
      <c r="A142" s="170" t="str">
        <f>IFERROR(DATEVALUE(CONCATENATE(CONCATENATE(REPT("0",2-LEN(Hoja10!A8)),Hoja10!A8),"/",CONCATENATE(REPT("0",2-LEN(Hoja10!B8)),Hoja10!B8),"/",Hoja10!$A$4)),"")</f>
        <v/>
      </c>
      <c r="B142" s="171" t="str">
        <f>CONCATENATE(Hoja10!D8,"-",Hoja10!E8)</f>
        <v>-</v>
      </c>
      <c r="C142" s="172">
        <f>Hoja10!C8</f>
        <v>0</v>
      </c>
      <c r="D142" s="172">
        <f>Hoja10!F8</f>
        <v>0</v>
      </c>
      <c r="E142" s="126">
        <f>Hoja10!K8</f>
        <v>0</v>
      </c>
      <c r="F142" s="126">
        <f>Hoja10!L8</f>
        <v>0</v>
      </c>
      <c r="G142" s="127">
        <f t="shared" ref="G142:G155" si="7">+E142+F142</f>
        <v>0</v>
      </c>
    </row>
    <row r="143" spans="1:7" x14ac:dyDescent="0.25">
      <c r="A143" s="170" t="str">
        <f>IFERROR(DATEVALUE(CONCATENATE(CONCATENATE(REPT("0",2-LEN(Hoja10!A9)),Hoja10!A9),"/",CONCATENATE(REPT("0",2-LEN(Hoja10!B9)),Hoja10!B9),"/",Hoja10!$A$4)),"")</f>
        <v/>
      </c>
      <c r="B143" s="171" t="str">
        <f>CONCATENATE(Hoja10!D9,"-",Hoja10!E9)</f>
        <v>-</v>
      </c>
      <c r="C143" s="172">
        <f>Hoja10!C9</f>
        <v>0</v>
      </c>
      <c r="D143" s="172">
        <f>Hoja10!F9</f>
        <v>0</v>
      </c>
      <c r="E143" s="126">
        <f>Hoja10!K9</f>
        <v>0</v>
      </c>
      <c r="F143" s="126">
        <f>Hoja10!L9</f>
        <v>0</v>
      </c>
      <c r="G143" s="127">
        <f t="shared" si="7"/>
        <v>0</v>
      </c>
    </row>
    <row r="144" spans="1:7" x14ac:dyDescent="0.25">
      <c r="A144" s="170" t="str">
        <f>IFERROR(DATEVALUE(CONCATENATE(CONCATENATE(REPT("0",2-LEN(Hoja10!A10)),Hoja10!A10),"/",CONCATENATE(REPT("0",2-LEN(Hoja10!B10)),Hoja10!B10),"/",Hoja10!$A$4)),"")</f>
        <v/>
      </c>
      <c r="B144" s="171" t="str">
        <f>CONCATENATE(Hoja10!D10,"-",Hoja10!E10)</f>
        <v>-</v>
      </c>
      <c r="C144" s="172">
        <f>Hoja10!C10</f>
        <v>0</v>
      </c>
      <c r="D144" s="172">
        <f>Hoja10!F10</f>
        <v>0</v>
      </c>
      <c r="E144" s="126">
        <f>Hoja10!K10</f>
        <v>0</v>
      </c>
      <c r="F144" s="126">
        <f>Hoja10!L10</f>
        <v>0</v>
      </c>
      <c r="G144" s="127">
        <f t="shared" si="7"/>
        <v>0</v>
      </c>
    </row>
    <row r="145" spans="1:7" x14ac:dyDescent="0.25">
      <c r="A145" s="170" t="str">
        <f>IFERROR(DATEVALUE(CONCATENATE(CONCATENATE(REPT("0",2-LEN(Hoja10!A11)),Hoja10!A11),"/",CONCATENATE(REPT("0",2-LEN(Hoja10!B11)),Hoja10!B11),"/",Hoja10!$A$4)),"")</f>
        <v/>
      </c>
      <c r="B145" s="171" t="str">
        <f>CONCATENATE(Hoja10!D11,"-",Hoja10!E11)</f>
        <v>-</v>
      </c>
      <c r="C145" s="172">
        <f>Hoja10!C11</f>
        <v>0</v>
      </c>
      <c r="D145" s="172">
        <f>Hoja10!F11</f>
        <v>0</v>
      </c>
      <c r="E145" s="126">
        <f>Hoja10!K11</f>
        <v>0</v>
      </c>
      <c r="F145" s="126">
        <f>Hoja10!L11</f>
        <v>0</v>
      </c>
      <c r="G145" s="127">
        <f t="shared" si="7"/>
        <v>0</v>
      </c>
    </row>
    <row r="146" spans="1:7" x14ac:dyDescent="0.25">
      <c r="A146" s="170" t="str">
        <f>IFERROR(DATEVALUE(CONCATENATE(CONCATENATE(REPT("0",2-LEN(Hoja10!A12)),Hoja10!A12),"/",CONCATENATE(REPT("0",2-LEN(Hoja10!B12)),Hoja10!B12),"/",Hoja10!$A$4)),"")</f>
        <v/>
      </c>
      <c r="B146" s="171" t="str">
        <f>CONCATENATE(Hoja10!D12,"-",Hoja10!E12)</f>
        <v>-</v>
      </c>
      <c r="C146" s="172">
        <f>Hoja10!C12</f>
        <v>0</v>
      </c>
      <c r="D146" s="172">
        <f>Hoja10!F12</f>
        <v>0</v>
      </c>
      <c r="E146" s="126">
        <f>Hoja10!K12</f>
        <v>0</v>
      </c>
      <c r="F146" s="126">
        <f>Hoja10!L12</f>
        <v>0</v>
      </c>
      <c r="G146" s="127">
        <f t="shared" si="7"/>
        <v>0</v>
      </c>
    </row>
    <row r="147" spans="1:7" x14ac:dyDescent="0.25">
      <c r="A147" s="170" t="str">
        <f>IFERROR(DATEVALUE(CONCATENATE(CONCATENATE(REPT("0",2-LEN(Hoja10!A13)),Hoja10!A13),"/",CONCATENATE(REPT("0",2-LEN(Hoja10!B13)),Hoja10!B13),"/",Hoja10!$A$4)),"")</f>
        <v/>
      </c>
      <c r="B147" s="171" t="str">
        <f>CONCATENATE(Hoja10!D13,"-",Hoja10!E13)</f>
        <v>-</v>
      </c>
      <c r="C147" s="172">
        <f>Hoja10!C13</f>
        <v>0</v>
      </c>
      <c r="D147" s="172">
        <f>Hoja10!F13</f>
        <v>0</v>
      </c>
      <c r="E147" s="126">
        <f>Hoja10!K13</f>
        <v>0</v>
      </c>
      <c r="F147" s="126">
        <f>Hoja10!L13</f>
        <v>0</v>
      </c>
      <c r="G147" s="127">
        <f t="shared" si="7"/>
        <v>0</v>
      </c>
    </row>
    <row r="148" spans="1:7" x14ac:dyDescent="0.25">
      <c r="A148" s="170" t="str">
        <f>IFERROR(DATEVALUE(CONCATENATE(CONCATENATE(REPT("0",2-LEN(Hoja10!A14)),Hoja10!A14),"/",CONCATENATE(REPT("0",2-LEN(Hoja10!B14)),Hoja10!B14),"/",Hoja10!$A$4)),"")</f>
        <v/>
      </c>
      <c r="B148" s="171" t="str">
        <f>CONCATENATE(Hoja10!D14,"-",Hoja10!E14)</f>
        <v>-</v>
      </c>
      <c r="C148" s="172">
        <f>Hoja10!C14</f>
        <v>0</v>
      </c>
      <c r="D148" s="172">
        <f>Hoja10!F14</f>
        <v>0</v>
      </c>
      <c r="E148" s="126">
        <f>Hoja10!K14</f>
        <v>0</v>
      </c>
      <c r="F148" s="126">
        <f>Hoja10!L14</f>
        <v>0</v>
      </c>
      <c r="G148" s="127">
        <f t="shared" si="7"/>
        <v>0</v>
      </c>
    </row>
    <row r="149" spans="1:7" x14ac:dyDescent="0.25">
      <c r="A149" s="170" t="str">
        <f>IFERROR(DATEVALUE(CONCATENATE(CONCATENATE(REPT("0",2-LEN(Hoja10!A15)),Hoja10!A15),"/",CONCATENATE(REPT("0",2-LEN(Hoja10!B15)),Hoja10!B15),"/",Hoja10!$A$4)),"")</f>
        <v/>
      </c>
      <c r="B149" s="171" t="str">
        <f>CONCATENATE(Hoja10!D15,"-",Hoja10!E15)</f>
        <v>-</v>
      </c>
      <c r="C149" s="172">
        <f>Hoja10!C15</f>
        <v>0</v>
      </c>
      <c r="D149" s="172">
        <f>Hoja10!F15</f>
        <v>0</v>
      </c>
      <c r="E149" s="126">
        <f>Hoja10!K15</f>
        <v>0</v>
      </c>
      <c r="F149" s="126">
        <f>Hoja10!L15</f>
        <v>0</v>
      </c>
      <c r="G149" s="127">
        <f t="shared" si="7"/>
        <v>0</v>
      </c>
    </row>
    <row r="150" spans="1:7" x14ac:dyDescent="0.25">
      <c r="A150" s="170" t="str">
        <f>IFERROR(DATEVALUE(CONCATENATE(CONCATENATE(REPT("0",2-LEN(Hoja10!A16)),Hoja10!A16),"/",CONCATENATE(REPT("0",2-LEN(Hoja10!B16)),Hoja10!B16),"/",Hoja10!$A$4)),"")</f>
        <v/>
      </c>
      <c r="B150" s="171" t="str">
        <f>CONCATENATE(Hoja10!D16,"-",Hoja10!E16)</f>
        <v>-</v>
      </c>
      <c r="C150" s="172">
        <f>Hoja10!C16</f>
        <v>0</v>
      </c>
      <c r="D150" s="172">
        <f>Hoja10!F16</f>
        <v>0</v>
      </c>
      <c r="E150" s="126">
        <f>Hoja10!K16</f>
        <v>0</v>
      </c>
      <c r="F150" s="126">
        <f>Hoja10!L16</f>
        <v>0</v>
      </c>
      <c r="G150" s="127">
        <f t="shared" si="7"/>
        <v>0</v>
      </c>
    </row>
    <row r="151" spans="1:7" x14ac:dyDescent="0.25">
      <c r="A151" s="170" t="str">
        <f>IFERROR(DATEVALUE(CONCATENATE(CONCATENATE(REPT("0",2-LEN(Hoja10!A17)),Hoja10!A17),"/",CONCATENATE(REPT("0",2-LEN(Hoja10!B17)),Hoja10!B17),"/",Hoja10!$A$4)),"")</f>
        <v/>
      </c>
      <c r="B151" s="171" t="str">
        <f>CONCATENATE(Hoja10!D17,"-",Hoja10!E17)</f>
        <v>-</v>
      </c>
      <c r="C151" s="172">
        <f>Hoja10!C17</f>
        <v>0</v>
      </c>
      <c r="D151" s="172">
        <f>Hoja10!F17</f>
        <v>0</v>
      </c>
      <c r="E151" s="126">
        <f>Hoja10!K17</f>
        <v>0</v>
      </c>
      <c r="F151" s="126">
        <f>Hoja10!L17</f>
        <v>0</v>
      </c>
      <c r="G151" s="127">
        <f t="shared" si="7"/>
        <v>0</v>
      </c>
    </row>
    <row r="152" spans="1:7" x14ac:dyDescent="0.25">
      <c r="A152" s="170" t="str">
        <f>IFERROR(DATEVALUE(CONCATENATE(CONCATENATE(REPT("0",2-LEN(Hoja10!A18)),Hoja10!A18),"/",CONCATENATE(REPT("0",2-LEN(Hoja10!B18)),Hoja10!B18),"/",Hoja10!$A$4)),"")</f>
        <v/>
      </c>
      <c r="B152" s="171" t="str">
        <f>CONCATENATE(Hoja10!D18,"-",Hoja10!E18)</f>
        <v>-</v>
      </c>
      <c r="C152" s="172">
        <f>Hoja10!C18</f>
        <v>0</v>
      </c>
      <c r="D152" s="172">
        <f>Hoja10!F18</f>
        <v>0</v>
      </c>
      <c r="E152" s="126">
        <f>Hoja10!K18</f>
        <v>0</v>
      </c>
      <c r="F152" s="126">
        <f>Hoja10!L18</f>
        <v>0</v>
      </c>
      <c r="G152" s="127">
        <f t="shared" si="7"/>
        <v>0</v>
      </c>
    </row>
    <row r="153" spans="1:7" x14ac:dyDescent="0.25">
      <c r="A153" s="170" t="str">
        <f>IFERROR(DATEVALUE(CONCATENATE(CONCATENATE(REPT("0",2-LEN(Hoja10!A19)),Hoja10!A19),"/",CONCATENATE(REPT("0",2-LEN(Hoja10!B19)),Hoja10!B19),"/",Hoja10!$A$4)),"")</f>
        <v/>
      </c>
      <c r="B153" s="171" t="str">
        <f>CONCATENATE(Hoja10!D19,"-",Hoja10!E19)</f>
        <v>-</v>
      </c>
      <c r="C153" s="172">
        <f>Hoja10!C19</f>
        <v>0</v>
      </c>
      <c r="D153" s="172">
        <f>Hoja10!F19</f>
        <v>0</v>
      </c>
      <c r="E153" s="126">
        <f>Hoja10!K19</f>
        <v>0</v>
      </c>
      <c r="F153" s="126">
        <f>Hoja10!L19</f>
        <v>0</v>
      </c>
      <c r="G153" s="127">
        <f t="shared" si="7"/>
        <v>0</v>
      </c>
    </row>
    <row r="154" spans="1:7" x14ac:dyDescent="0.25">
      <c r="A154" s="170" t="str">
        <f>IFERROR(DATEVALUE(CONCATENATE(CONCATENATE(REPT("0",2-LEN(Hoja10!A20)),Hoja10!A20),"/",CONCATENATE(REPT("0",2-LEN(Hoja10!B20)),Hoja10!B20),"/",Hoja10!$A$4)),"")</f>
        <v/>
      </c>
      <c r="B154" s="171" t="str">
        <f>CONCATENATE(Hoja10!D20,"-",Hoja10!E20)</f>
        <v>-</v>
      </c>
      <c r="C154" s="172">
        <f>Hoja10!C20</f>
        <v>0</v>
      </c>
      <c r="D154" s="172">
        <f>Hoja10!F20</f>
        <v>0</v>
      </c>
      <c r="E154" s="126">
        <f>Hoja10!K20</f>
        <v>0</v>
      </c>
      <c r="F154" s="126">
        <f>Hoja10!L20</f>
        <v>0</v>
      </c>
      <c r="G154" s="127">
        <f t="shared" si="7"/>
        <v>0</v>
      </c>
    </row>
    <row r="155" spans="1:7" ht="13.8" thickBot="1" x14ac:dyDescent="0.3">
      <c r="A155" s="173" t="str">
        <f>IFERROR(DATEVALUE(CONCATENATE(CONCATENATE(REPT("0",2-LEN(Hoja10!A21)),Hoja10!A21),"/",CONCATENATE(REPT("0",2-LEN(Hoja10!B21)),Hoja10!B21),"/",Hoja10!$A$4)),"")</f>
        <v/>
      </c>
      <c r="B155" s="174" t="str">
        <f>CONCATENATE(Hoja10!D21,"-",Hoja10!E21)</f>
        <v>-</v>
      </c>
      <c r="C155" s="175">
        <f>Hoja10!C21</f>
        <v>0</v>
      </c>
      <c r="D155" s="175">
        <f>Hoja10!F21</f>
        <v>0</v>
      </c>
      <c r="E155" s="128">
        <f>Hoja10!K21</f>
        <v>0</v>
      </c>
      <c r="F155" s="128">
        <f>Hoja10!L21</f>
        <v>0</v>
      </c>
      <c r="G155" s="129">
        <f t="shared" si="7"/>
        <v>0</v>
      </c>
    </row>
    <row r="156" spans="1:7" x14ac:dyDescent="0.25">
      <c r="A156" s="152" t="str">
        <f>IFERROR(DATEVALUE(CONCATENATE(CONCATENATE(REPT("0",2-LEN(Hoja11!A7)),Hoja11!A7),"/",CONCATENATE(REPT("0",2-LEN(Hoja11!B7)),Hoja11!B7),"/",Hoja11!$A$4)),"")</f>
        <v/>
      </c>
      <c r="B156" s="153" t="str">
        <f>CONCATENATE(Hoja11!D7,"-",Hoja11!E7)</f>
        <v>-</v>
      </c>
      <c r="C156" s="154">
        <f>Hoja11!C7</f>
        <v>0</v>
      </c>
      <c r="D156" s="154">
        <f>Hoja11!F7</f>
        <v>0</v>
      </c>
      <c r="E156" s="155">
        <f>Hoja11!K7</f>
        <v>0</v>
      </c>
      <c r="F156" s="155">
        <f>Hoja11!L7</f>
        <v>0</v>
      </c>
      <c r="G156" s="156">
        <f t="shared" si="6"/>
        <v>0</v>
      </c>
    </row>
    <row r="157" spans="1:7" x14ac:dyDescent="0.25">
      <c r="A157" s="157" t="str">
        <f>IFERROR(DATEVALUE(CONCATENATE(CONCATENATE(REPT("0",2-LEN(Hoja11!A8)),Hoja11!A8),"/",CONCATENATE(REPT("0",2-LEN(Hoja11!B8)),Hoja11!B8),"/",Hoja11!$A$4)),"")</f>
        <v/>
      </c>
      <c r="B157" s="158" t="str">
        <f>CONCATENATE(Hoja11!D8,"-",Hoja11!E8)</f>
        <v>-</v>
      </c>
      <c r="C157" s="159">
        <f>Hoja11!C8</f>
        <v>0</v>
      </c>
      <c r="D157" s="159">
        <f>Hoja11!F8</f>
        <v>0</v>
      </c>
      <c r="E157" s="160">
        <f>Hoja11!K8</f>
        <v>0</v>
      </c>
      <c r="F157" s="160">
        <f>Hoja11!L8</f>
        <v>0</v>
      </c>
      <c r="G157" s="161">
        <f t="shared" ref="G157:G170" si="8">+E157+F157</f>
        <v>0</v>
      </c>
    </row>
    <row r="158" spans="1:7" x14ac:dyDescent="0.25">
      <c r="A158" s="157" t="str">
        <f>IFERROR(DATEVALUE(CONCATENATE(CONCATENATE(REPT("0",2-LEN(Hoja11!A9)),Hoja11!A9),"/",CONCATENATE(REPT("0",2-LEN(Hoja11!B9)),Hoja11!B9),"/",Hoja11!$A$4)),"")</f>
        <v/>
      </c>
      <c r="B158" s="158" t="str">
        <f>CONCATENATE(Hoja11!D9,"-",Hoja11!E9)</f>
        <v>-</v>
      </c>
      <c r="C158" s="159">
        <f>Hoja11!C9</f>
        <v>0</v>
      </c>
      <c r="D158" s="159">
        <f>Hoja11!F9</f>
        <v>0</v>
      </c>
      <c r="E158" s="160">
        <f>Hoja11!K9</f>
        <v>0</v>
      </c>
      <c r="F158" s="160">
        <f>Hoja11!L9</f>
        <v>0</v>
      </c>
      <c r="G158" s="161">
        <f t="shared" si="8"/>
        <v>0</v>
      </c>
    </row>
    <row r="159" spans="1:7" x14ac:dyDescent="0.25">
      <c r="A159" s="157" t="str">
        <f>IFERROR(DATEVALUE(CONCATENATE(CONCATENATE(REPT("0",2-LEN(Hoja11!A10)),Hoja11!A10),"/",CONCATENATE(REPT("0",2-LEN(Hoja11!B10)),Hoja11!B10),"/",Hoja11!$A$4)),"")</f>
        <v/>
      </c>
      <c r="B159" s="158" t="str">
        <f>CONCATENATE(Hoja11!D10,"-",Hoja11!E10)</f>
        <v>-</v>
      </c>
      <c r="C159" s="159">
        <f>Hoja11!C10</f>
        <v>0</v>
      </c>
      <c r="D159" s="159">
        <f>Hoja11!F10</f>
        <v>0</v>
      </c>
      <c r="E159" s="160">
        <f>Hoja11!K10</f>
        <v>0</v>
      </c>
      <c r="F159" s="160">
        <f>Hoja11!L10</f>
        <v>0</v>
      </c>
      <c r="G159" s="161">
        <f t="shared" si="8"/>
        <v>0</v>
      </c>
    </row>
    <row r="160" spans="1:7" x14ac:dyDescent="0.25">
      <c r="A160" s="157" t="str">
        <f>IFERROR(DATEVALUE(CONCATENATE(CONCATENATE(REPT("0",2-LEN(Hoja11!A11)),Hoja11!A11),"/",CONCATENATE(REPT("0",2-LEN(Hoja11!B11)),Hoja11!B11),"/",Hoja11!$A$4)),"")</f>
        <v/>
      </c>
      <c r="B160" s="158" t="str">
        <f>CONCATENATE(Hoja11!D11,"-",Hoja11!E11)</f>
        <v>-</v>
      </c>
      <c r="C160" s="159">
        <f>Hoja11!C11</f>
        <v>0</v>
      </c>
      <c r="D160" s="159">
        <f>Hoja11!F11</f>
        <v>0</v>
      </c>
      <c r="E160" s="160">
        <f>Hoja11!K11</f>
        <v>0</v>
      </c>
      <c r="F160" s="160">
        <f>Hoja11!L11</f>
        <v>0</v>
      </c>
      <c r="G160" s="161">
        <f t="shared" si="8"/>
        <v>0</v>
      </c>
    </row>
    <row r="161" spans="1:7" x14ac:dyDescent="0.25">
      <c r="A161" s="157" t="str">
        <f>IFERROR(DATEVALUE(CONCATENATE(CONCATENATE(REPT("0",2-LEN(Hoja11!A12)),Hoja11!A12),"/",CONCATENATE(REPT("0",2-LEN(Hoja11!B12)),Hoja11!B12),"/",Hoja11!$A$4)),"")</f>
        <v/>
      </c>
      <c r="B161" s="158" t="str">
        <f>CONCATENATE(Hoja11!D12,"-",Hoja11!E12)</f>
        <v>-</v>
      </c>
      <c r="C161" s="159">
        <f>Hoja11!C12</f>
        <v>0</v>
      </c>
      <c r="D161" s="159">
        <f>Hoja11!F12</f>
        <v>0</v>
      </c>
      <c r="E161" s="160">
        <f>Hoja11!K12</f>
        <v>0</v>
      </c>
      <c r="F161" s="160">
        <f>Hoja11!L12</f>
        <v>0</v>
      </c>
      <c r="G161" s="161">
        <f t="shared" si="8"/>
        <v>0</v>
      </c>
    </row>
    <row r="162" spans="1:7" x14ac:dyDescent="0.25">
      <c r="A162" s="157" t="str">
        <f>IFERROR(DATEVALUE(CONCATENATE(CONCATENATE(REPT("0",2-LEN(Hoja11!A13)),Hoja11!A13),"/",CONCATENATE(REPT("0",2-LEN(Hoja11!B13)),Hoja11!B13),"/",Hoja11!$A$4)),"")</f>
        <v/>
      </c>
      <c r="B162" s="158" t="str">
        <f>CONCATENATE(Hoja11!D13,"-",Hoja11!E13)</f>
        <v>-</v>
      </c>
      <c r="C162" s="159">
        <f>Hoja11!C13</f>
        <v>0</v>
      </c>
      <c r="D162" s="159">
        <f>Hoja11!F13</f>
        <v>0</v>
      </c>
      <c r="E162" s="160">
        <f>Hoja11!K13</f>
        <v>0</v>
      </c>
      <c r="F162" s="160">
        <f>Hoja11!L13</f>
        <v>0</v>
      </c>
      <c r="G162" s="161">
        <f t="shared" si="8"/>
        <v>0</v>
      </c>
    </row>
    <row r="163" spans="1:7" x14ac:dyDescent="0.25">
      <c r="A163" s="157" t="str">
        <f>IFERROR(DATEVALUE(CONCATENATE(CONCATENATE(REPT("0",2-LEN(Hoja11!A14)),Hoja11!A14),"/",CONCATENATE(REPT("0",2-LEN(Hoja11!B14)),Hoja11!B14),"/",Hoja11!$A$4)),"")</f>
        <v/>
      </c>
      <c r="B163" s="158" t="str">
        <f>CONCATENATE(Hoja11!D14,"-",Hoja11!E14)</f>
        <v>-</v>
      </c>
      <c r="C163" s="159">
        <f>Hoja11!C14</f>
        <v>0</v>
      </c>
      <c r="D163" s="159">
        <f>Hoja11!F14</f>
        <v>0</v>
      </c>
      <c r="E163" s="160">
        <f>Hoja11!K14</f>
        <v>0</v>
      </c>
      <c r="F163" s="160">
        <f>Hoja11!L14</f>
        <v>0</v>
      </c>
      <c r="G163" s="161">
        <f t="shared" si="8"/>
        <v>0</v>
      </c>
    </row>
    <row r="164" spans="1:7" x14ac:dyDescent="0.25">
      <c r="A164" s="157" t="str">
        <f>IFERROR(DATEVALUE(CONCATENATE(CONCATENATE(REPT("0",2-LEN(Hoja11!A15)),Hoja11!A15),"/",CONCATENATE(REPT("0",2-LEN(Hoja11!B15)),Hoja11!B15),"/",Hoja11!$A$4)),"")</f>
        <v/>
      </c>
      <c r="B164" s="158" t="str">
        <f>CONCATENATE(Hoja11!D15,"-",Hoja11!E15)</f>
        <v>-</v>
      </c>
      <c r="C164" s="159">
        <f>Hoja11!C15</f>
        <v>0</v>
      </c>
      <c r="D164" s="159">
        <f>Hoja11!F15</f>
        <v>0</v>
      </c>
      <c r="E164" s="160">
        <f>Hoja11!K15</f>
        <v>0</v>
      </c>
      <c r="F164" s="160">
        <f>Hoja11!L15</f>
        <v>0</v>
      </c>
      <c r="G164" s="161">
        <f t="shared" si="8"/>
        <v>0</v>
      </c>
    </row>
    <row r="165" spans="1:7" x14ac:dyDescent="0.25">
      <c r="A165" s="157" t="str">
        <f>IFERROR(DATEVALUE(CONCATENATE(CONCATENATE(REPT("0",2-LEN(Hoja11!A16)),Hoja11!A16),"/",CONCATENATE(REPT("0",2-LEN(Hoja11!B16)),Hoja11!B16),"/",Hoja11!$A$4)),"")</f>
        <v/>
      </c>
      <c r="B165" s="158" t="str">
        <f>CONCATENATE(Hoja11!D16,"-",Hoja11!E16)</f>
        <v>-</v>
      </c>
      <c r="C165" s="159">
        <f>Hoja11!C16</f>
        <v>0</v>
      </c>
      <c r="D165" s="159">
        <f>Hoja11!F16</f>
        <v>0</v>
      </c>
      <c r="E165" s="160">
        <f>Hoja11!K16</f>
        <v>0</v>
      </c>
      <c r="F165" s="160">
        <f>Hoja11!L16</f>
        <v>0</v>
      </c>
      <c r="G165" s="161">
        <f t="shared" si="8"/>
        <v>0</v>
      </c>
    </row>
    <row r="166" spans="1:7" x14ac:dyDescent="0.25">
      <c r="A166" s="157" t="str">
        <f>IFERROR(DATEVALUE(CONCATENATE(CONCATENATE(REPT("0",2-LEN(Hoja11!A17)),Hoja11!A17),"/",CONCATENATE(REPT("0",2-LEN(Hoja11!B17)),Hoja11!B17),"/",Hoja11!$A$4)),"")</f>
        <v/>
      </c>
      <c r="B166" s="158" t="str">
        <f>CONCATENATE(Hoja11!D17,"-",Hoja11!E17)</f>
        <v>-</v>
      </c>
      <c r="C166" s="159">
        <f>Hoja11!C17</f>
        <v>0</v>
      </c>
      <c r="D166" s="159">
        <f>Hoja11!F17</f>
        <v>0</v>
      </c>
      <c r="E166" s="160">
        <f>Hoja11!K17</f>
        <v>0</v>
      </c>
      <c r="F166" s="160">
        <f>Hoja11!L17</f>
        <v>0</v>
      </c>
      <c r="G166" s="161">
        <f t="shared" si="8"/>
        <v>0</v>
      </c>
    </row>
    <row r="167" spans="1:7" x14ac:dyDescent="0.25">
      <c r="A167" s="157" t="str">
        <f>IFERROR(DATEVALUE(CONCATENATE(CONCATENATE(REPT("0",2-LEN(Hoja11!A18)),Hoja11!A18),"/",CONCATENATE(REPT("0",2-LEN(Hoja11!B18)),Hoja11!B18),"/",Hoja11!$A$4)),"")</f>
        <v/>
      </c>
      <c r="B167" s="158" t="str">
        <f>CONCATENATE(Hoja11!D18,"-",Hoja11!E18)</f>
        <v>-</v>
      </c>
      <c r="C167" s="159">
        <f>Hoja11!C18</f>
        <v>0</v>
      </c>
      <c r="D167" s="159">
        <f>Hoja11!F18</f>
        <v>0</v>
      </c>
      <c r="E167" s="160">
        <f>Hoja11!K18</f>
        <v>0</v>
      </c>
      <c r="F167" s="160">
        <f>Hoja11!L18</f>
        <v>0</v>
      </c>
      <c r="G167" s="161">
        <f t="shared" si="8"/>
        <v>0</v>
      </c>
    </row>
    <row r="168" spans="1:7" x14ac:dyDescent="0.25">
      <c r="A168" s="157" t="str">
        <f>IFERROR(DATEVALUE(CONCATENATE(CONCATENATE(REPT("0",2-LEN(Hoja11!A19)),Hoja11!A19),"/",CONCATENATE(REPT("0",2-LEN(Hoja11!B19)),Hoja11!B19),"/",Hoja11!$A$4)),"")</f>
        <v/>
      </c>
      <c r="B168" s="158" t="str">
        <f>CONCATENATE(Hoja11!D19,"-",Hoja11!E19)</f>
        <v>-</v>
      </c>
      <c r="C168" s="159">
        <f>Hoja11!C19</f>
        <v>0</v>
      </c>
      <c r="D168" s="159">
        <f>Hoja11!F19</f>
        <v>0</v>
      </c>
      <c r="E168" s="160">
        <f>Hoja11!K19</f>
        <v>0</v>
      </c>
      <c r="F168" s="160">
        <f>Hoja11!L19</f>
        <v>0</v>
      </c>
      <c r="G168" s="161">
        <f t="shared" si="8"/>
        <v>0</v>
      </c>
    </row>
    <row r="169" spans="1:7" x14ac:dyDescent="0.25">
      <c r="A169" s="157" t="str">
        <f>IFERROR(DATEVALUE(CONCATENATE(CONCATENATE(REPT("0",2-LEN(Hoja11!A20)),Hoja11!A20),"/",CONCATENATE(REPT("0",2-LEN(Hoja11!B20)),Hoja11!B20),"/",Hoja11!$A$4)),"")</f>
        <v/>
      </c>
      <c r="B169" s="158" t="str">
        <f>CONCATENATE(Hoja11!D20,"-",Hoja11!E20)</f>
        <v>-</v>
      </c>
      <c r="C169" s="159">
        <f>Hoja11!C20</f>
        <v>0</v>
      </c>
      <c r="D169" s="159">
        <f>Hoja11!F20</f>
        <v>0</v>
      </c>
      <c r="E169" s="160">
        <f>Hoja11!K20</f>
        <v>0</v>
      </c>
      <c r="F169" s="160">
        <f>Hoja11!L20</f>
        <v>0</v>
      </c>
      <c r="G169" s="161">
        <f t="shared" si="8"/>
        <v>0</v>
      </c>
    </row>
    <row r="170" spans="1:7" ht="13.8" thickBot="1" x14ac:dyDescent="0.3">
      <c r="A170" s="176" t="str">
        <f>IFERROR(DATEVALUE(CONCATENATE(CONCATENATE(REPT("0",2-LEN(Hoja11!A21)),Hoja11!A21),"/",CONCATENATE(REPT("0",2-LEN(Hoja11!B21)),Hoja11!B21),"/",Hoja11!$A$4)),"")</f>
        <v/>
      </c>
      <c r="B170" s="177" t="str">
        <f>CONCATENATE(Hoja11!D21,"-",Hoja11!E21)</f>
        <v>-</v>
      </c>
      <c r="C170" s="178">
        <f>Hoja11!C21</f>
        <v>0</v>
      </c>
      <c r="D170" s="178">
        <f>Hoja11!F21</f>
        <v>0</v>
      </c>
      <c r="E170" s="179">
        <f>Hoja11!K21</f>
        <v>0</v>
      </c>
      <c r="F170" s="179">
        <f>Hoja11!L21</f>
        <v>0</v>
      </c>
      <c r="G170" s="180">
        <f t="shared" si="8"/>
        <v>0</v>
      </c>
    </row>
    <row r="171" spans="1:7" x14ac:dyDescent="0.25">
      <c r="A171" s="167" t="str">
        <f>IFERROR(DATEVALUE(CONCATENATE(CONCATENATE(REPT("0",2-LEN(Hoja12!A7)),Hoja12!A7),"/",CONCATENATE(REPT("0",2-LEN(Hoja12!B7)),Hoja12!B7),"/",Hoja12!$A$4)),"")</f>
        <v/>
      </c>
      <c r="B171" s="168" t="str">
        <f>CONCATENATE(Hoja12!D7,"-",Hoja12!E7)</f>
        <v>-</v>
      </c>
      <c r="C171" s="169">
        <f>Hoja12!C7</f>
        <v>0</v>
      </c>
      <c r="D171" s="169">
        <f>Hoja12!F7</f>
        <v>0</v>
      </c>
      <c r="E171" s="134">
        <f>Hoja12!K7</f>
        <v>0</v>
      </c>
      <c r="F171" s="134">
        <f>Hoja12!L7</f>
        <v>0</v>
      </c>
      <c r="G171" s="135">
        <f t="shared" si="6"/>
        <v>0</v>
      </c>
    </row>
    <row r="172" spans="1:7" x14ac:dyDescent="0.25">
      <c r="A172" s="170" t="str">
        <f>IFERROR(DATEVALUE(CONCATENATE(CONCATENATE(REPT("0",2-LEN(Hoja12!A8)),Hoja12!A8),"/",CONCATENATE(REPT("0",2-LEN(Hoja12!B8)),Hoja12!B8),"/",Hoja12!$A$4)),"")</f>
        <v/>
      </c>
      <c r="B172" s="171" t="str">
        <f>CONCATENATE(Hoja12!D8,"-",Hoja12!E8)</f>
        <v>-</v>
      </c>
      <c r="C172" s="172">
        <f>Hoja12!C8</f>
        <v>0</v>
      </c>
      <c r="D172" s="172">
        <f>Hoja12!F8</f>
        <v>0</v>
      </c>
      <c r="E172" s="126">
        <f>Hoja12!K8</f>
        <v>0</v>
      </c>
      <c r="F172" s="126">
        <f>Hoja12!L8</f>
        <v>0</v>
      </c>
      <c r="G172" s="127">
        <f t="shared" ref="G172:G185" si="9">+E172+F172</f>
        <v>0</v>
      </c>
    </row>
    <row r="173" spans="1:7" x14ac:dyDescent="0.25">
      <c r="A173" s="170" t="str">
        <f>IFERROR(DATEVALUE(CONCATENATE(CONCATENATE(REPT("0",2-LEN(Hoja12!A9)),Hoja12!A9),"/",CONCATENATE(REPT("0",2-LEN(Hoja12!B9)),Hoja12!B9),"/",Hoja12!$A$4)),"")</f>
        <v/>
      </c>
      <c r="B173" s="171" t="str">
        <f>CONCATENATE(Hoja12!D9,"-",Hoja12!E9)</f>
        <v>-</v>
      </c>
      <c r="C173" s="172">
        <f>Hoja12!C9</f>
        <v>0</v>
      </c>
      <c r="D173" s="172">
        <f>Hoja12!F9</f>
        <v>0</v>
      </c>
      <c r="E173" s="126">
        <f>Hoja12!K9</f>
        <v>0</v>
      </c>
      <c r="F173" s="126">
        <f>Hoja12!L9</f>
        <v>0</v>
      </c>
      <c r="G173" s="127">
        <f t="shared" si="9"/>
        <v>0</v>
      </c>
    </row>
    <row r="174" spans="1:7" x14ac:dyDescent="0.25">
      <c r="A174" s="170" t="str">
        <f>IFERROR(DATEVALUE(CONCATENATE(CONCATENATE(REPT("0",2-LEN(Hoja12!A10)),Hoja12!A10),"/",CONCATENATE(REPT("0",2-LEN(Hoja12!B10)),Hoja12!B10),"/",Hoja12!$A$4)),"")</f>
        <v/>
      </c>
      <c r="B174" s="171" t="str">
        <f>CONCATENATE(Hoja12!D10,"-",Hoja12!E10)</f>
        <v>-</v>
      </c>
      <c r="C174" s="172">
        <f>Hoja12!C10</f>
        <v>0</v>
      </c>
      <c r="D174" s="172">
        <f>Hoja12!F10</f>
        <v>0</v>
      </c>
      <c r="E174" s="126">
        <f>Hoja12!K10</f>
        <v>0</v>
      </c>
      <c r="F174" s="126">
        <f>Hoja12!L10</f>
        <v>0</v>
      </c>
      <c r="G174" s="127">
        <f t="shared" si="9"/>
        <v>0</v>
      </c>
    </row>
    <row r="175" spans="1:7" x14ac:dyDescent="0.25">
      <c r="A175" s="170" t="str">
        <f>IFERROR(DATEVALUE(CONCATENATE(CONCATENATE(REPT("0",2-LEN(Hoja12!A11)),Hoja12!A11),"/",CONCATENATE(REPT("0",2-LEN(Hoja12!B11)),Hoja12!B11),"/",Hoja12!$A$4)),"")</f>
        <v/>
      </c>
      <c r="B175" s="171" t="str">
        <f>CONCATENATE(Hoja12!D11,"-",Hoja12!E11)</f>
        <v>-</v>
      </c>
      <c r="C175" s="172">
        <f>Hoja12!C11</f>
        <v>0</v>
      </c>
      <c r="D175" s="172">
        <f>Hoja12!F11</f>
        <v>0</v>
      </c>
      <c r="E175" s="126">
        <f>Hoja12!K11</f>
        <v>0</v>
      </c>
      <c r="F175" s="126">
        <f>Hoja12!L11</f>
        <v>0</v>
      </c>
      <c r="G175" s="127">
        <f t="shared" si="9"/>
        <v>0</v>
      </c>
    </row>
    <row r="176" spans="1:7" x14ac:dyDescent="0.25">
      <c r="A176" s="170" t="str">
        <f>IFERROR(DATEVALUE(CONCATENATE(CONCATENATE(REPT("0",2-LEN(Hoja12!A12)),Hoja12!A12),"/",CONCATENATE(REPT("0",2-LEN(Hoja12!B12)),Hoja12!B12),"/",Hoja12!$A$4)),"")</f>
        <v/>
      </c>
      <c r="B176" s="171" t="str">
        <f>CONCATENATE(Hoja12!D12,"-",Hoja12!E12)</f>
        <v>-</v>
      </c>
      <c r="C176" s="172">
        <f>Hoja12!C12</f>
        <v>0</v>
      </c>
      <c r="D176" s="172">
        <f>Hoja12!F12</f>
        <v>0</v>
      </c>
      <c r="E176" s="126">
        <f>Hoja12!K12</f>
        <v>0</v>
      </c>
      <c r="F176" s="126">
        <f>Hoja12!L12</f>
        <v>0</v>
      </c>
      <c r="G176" s="127">
        <f t="shared" si="9"/>
        <v>0</v>
      </c>
    </row>
    <row r="177" spans="1:7" x14ac:dyDescent="0.25">
      <c r="A177" s="170" t="str">
        <f>IFERROR(DATEVALUE(CONCATENATE(CONCATENATE(REPT("0",2-LEN(Hoja12!A13)),Hoja12!A13),"/",CONCATENATE(REPT("0",2-LEN(Hoja12!B13)),Hoja12!B13),"/",Hoja12!$A$4)),"")</f>
        <v/>
      </c>
      <c r="B177" s="171" t="str">
        <f>CONCATENATE(Hoja12!D13,"-",Hoja12!E13)</f>
        <v>-</v>
      </c>
      <c r="C177" s="172">
        <f>Hoja12!C13</f>
        <v>0</v>
      </c>
      <c r="D177" s="172">
        <f>Hoja12!F13</f>
        <v>0</v>
      </c>
      <c r="E177" s="126">
        <f>Hoja12!K13</f>
        <v>0</v>
      </c>
      <c r="F177" s="126">
        <f>Hoja12!L13</f>
        <v>0</v>
      </c>
      <c r="G177" s="127">
        <f t="shared" si="9"/>
        <v>0</v>
      </c>
    </row>
    <row r="178" spans="1:7" x14ac:dyDescent="0.25">
      <c r="A178" s="170" t="str">
        <f>IFERROR(DATEVALUE(CONCATENATE(CONCATENATE(REPT("0",2-LEN(Hoja12!A14)),Hoja12!A14),"/",CONCATENATE(REPT("0",2-LEN(Hoja12!B14)),Hoja12!B14),"/",Hoja12!$A$4)),"")</f>
        <v/>
      </c>
      <c r="B178" s="171" t="str">
        <f>CONCATENATE(Hoja12!D14,"-",Hoja12!E14)</f>
        <v>-</v>
      </c>
      <c r="C178" s="172">
        <f>Hoja12!C14</f>
        <v>0</v>
      </c>
      <c r="D178" s="172">
        <f>Hoja12!F14</f>
        <v>0</v>
      </c>
      <c r="E178" s="126">
        <f>Hoja12!K14</f>
        <v>0</v>
      </c>
      <c r="F178" s="126">
        <f>Hoja12!L14</f>
        <v>0</v>
      </c>
      <c r="G178" s="127">
        <f t="shared" si="9"/>
        <v>0</v>
      </c>
    </row>
    <row r="179" spans="1:7" x14ac:dyDescent="0.25">
      <c r="A179" s="170" t="str">
        <f>IFERROR(DATEVALUE(CONCATENATE(CONCATENATE(REPT("0",2-LEN(Hoja12!A15)),Hoja12!A15),"/",CONCATENATE(REPT("0",2-LEN(Hoja12!B15)),Hoja12!B15),"/",Hoja12!$A$4)),"")</f>
        <v/>
      </c>
      <c r="B179" s="171" t="str">
        <f>CONCATENATE(Hoja12!D15,"-",Hoja12!E15)</f>
        <v>-</v>
      </c>
      <c r="C179" s="172">
        <f>Hoja12!C15</f>
        <v>0</v>
      </c>
      <c r="D179" s="172">
        <f>Hoja12!F15</f>
        <v>0</v>
      </c>
      <c r="E179" s="126">
        <f>Hoja12!K15</f>
        <v>0</v>
      </c>
      <c r="F179" s="126">
        <f>Hoja12!L15</f>
        <v>0</v>
      </c>
      <c r="G179" s="127">
        <f t="shared" si="9"/>
        <v>0</v>
      </c>
    </row>
    <row r="180" spans="1:7" x14ac:dyDescent="0.25">
      <c r="A180" s="170" t="str">
        <f>IFERROR(DATEVALUE(CONCATENATE(CONCATENATE(REPT("0",2-LEN(Hoja12!A16)),Hoja12!A16),"/",CONCATENATE(REPT("0",2-LEN(Hoja12!B16)),Hoja12!B16),"/",Hoja12!$A$4)),"")</f>
        <v/>
      </c>
      <c r="B180" s="171" t="str">
        <f>CONCATENATE(Hoja12!D16,"-",Hoja12!E16)</f>
        <v>-</v>
      </c>
      <c r="C180" s="172">
        <f>Hoja12!C16</f>
        <v>0</v>
      </c>
      <c r="D180" s="172">
        <f>Hoja12!F16</f>
        <v>0</v>
      </c>
      <c r="E180" s="126">
        <f>Hoja12!K16</f>
        <v>0</v>
      </c>
      <c r="F180" s="126">
        <f>Hoja12!L16</f>
        <v>0</v>
      </c>
      <c r="G180" s="127">
        <f t="shared" si="9"/>
        <v>0</v>
      </c>
    </row>
    <row r="181" spans="1:7" x14ac:dyDescent="0.25">
      <c r="A181" s="170" t="str">
        <f>IFERROR(DATEVALUE(CONCATENATE(CONCATENATE(REPT("0",2-LEN(Hoja12!A17)),Hoja12!A17),"/",CONCATENATE(REPT("0",2-LEN(Hoja12!B17)),Hoja12!B17),"/",Hoja12!$A$4)),"")</f>
        <v/>
      </c>
      <c r="B181" s="171" t="str">
        <f>CONCATENATE(Hoja12!D17,"-",Hoja12!E17)</f>
        <v>-</v>
      </c>
      <c r="C181" s="172">
        <f>Hoja12!C17</f>
        <v>0</v>
      </c>
      <c r="D181" s="172">
        <f>Hoja12!F17</f>
        <v>0</v>
      </c>
      <c r="E181" s="126">
        <f>Hoja12!K17</f>
        <v>0</v>
      </c>
      <c r="F181" s="126">
        <f>Hoja12!L17</f>
        <v>0</v>
      </c>
      <c r="G181" s="127">
        <f t="shared" si="9"/>
        <v>0</v>
      </c>
    </row>
    <row r="182" spans="1:7" x14ac:dyDescent="0.25">
      <c r="A182" s="170" t="str">
        <f>IFERROR(DATEVALUE(CONCATENATE(CONCATENATE(REPT("0",2-LEN(Hoja12!A18)),Hoja12!A18),"/",CONCATENATE(REPT("0",2-LEN(Hoja12!B18)),Hoja12!B18),"/",Hoja12!$A$4)),"")</f>
        <v/>
      </c>
      <c r="B182" s="171" t="str">
        <f>CONCATENATE(Hoja12!D18,"-",Hoja12!E18)</f>
        <v>-</v>
      </c>
      <c r="C182" s="172">
        <f>Hoja12!C18</f>
        <v>0</v>
      </c>
      <c r="D182" s="172">
        <f>Hoja12!F18</f>
        <v>0</v>
      </c>
      <c r="E182" s="126">
        <f>Hoja12!K18</f>
        <v>0</v>
      </c>
      <c r="F182" s="126">
        <f>Hoja12!L18</f>
        <v>0</v>
      </c>
      <c r="G182" s="127">
        <f t="shared" si="9"/>
        <v>0</v>
      </c>
    </row>
    <row r="183" spans="1:7" x14ac:dyDescent="0.25">
      <c r="A183" s="170" t="str">
        <f>IFERROR(DATEVALUE(CONCATENATE(CONCATENATE(REPT("0",2-LEN(Hoja12!A19)),Hoja12!A19),"/",CONCATENATE(REPT("0",2-LEN(Hoja12!B19)),Hoja12!B19),"/",Hoja12!$A$4)),"")</f>
        <v/>
      </c>
      <c r="B183" s="171" t="str">
        <f>CONCATENATE(Hoja12!D19,"-",Hoja12!E19)</f>
        <v>-</v>
      </c>
      <c r="C183" s="172">
        <f>Hoja12!C19</f>
        <v>0</v>
      </c>
      <c r="D183" s="172">
        <f>Hoja12!F19</f>
        <v>0</v>
      </c>
      <c r="E183" s="126">
        <f>Hoja12!K19</f>
        <v>0</v>
      </c>
      <c r="F183" s="126">
        <f>Hoja12!L19</f>
        <v>0</v>
      </c>
      <c r="G183" s="127">
        <f t="shared" si="9"/>
        <v>0</v>
      </c>
    </row>
    <row r="184" spans="1:7" x14ac:dyDescent="0.25">
      <c r="A184" s="170" t="str">
        <f>IFERROR(DATEVALUE(CONCATENATE(CONCATENATE(REPT("0",2-LEN(Hoja12!A20)),Hoja12!A20),"/",CONCATENATE(REPT("0",2-LEN(Hoja12!B20)),Hoja12!B20),"/",Hoja12!$A$4)),"")</f>
        <v/>
      </c>
      <c r="B184" s="171" t="str">
        <f>CONCATENATE(Hoja12!D20,"-",Hoja12!E20)</f>
        <v>-</v>
      </c>
      <c r="C184" s="172">
        <f>Hoja12!C20</f>
        <v>0</v>
      </c>
      <c r="D184" s="172">
        <f>Hoja12!F20</f>
        <v>0</v>
      </c>
      <c r="E184" s="126">
        <f>Hoja12!K20</f>
        <v>0</v>
      </c>
      <c r="F184" s="126">
        <f>Hoja12!L20</f>
        <v>0</v>
      </c>
      <c r="G184" s="127">
        <f t="shared" si="9"/>
        <v>0</v>
      </c>
    </row>
    <row r="185" spans="1:7" ht="13.8" thickBot="1" x14ac:dyDescent="0.3">
      <c r="A185" s="173" t="str">
        <f>IFERROR(DATEVALUE(CONCATENATE(CONCATENATE(REPT("0",2-LEN(Hoja12!A21)),Hoja12!A21),"/",CONCATENATE(REPT("0",2-LEN(Hoja12!B21)),Hoja12!B21),"/",Hoja12!$A$4)),"")</f>
        <v/>
      </c>
      <c r="B185" s="174" t="str">
        <f>CONCATENATE(Hoja12!D21,"-",Hoja12!E21)</f>
        <v>-</v>
      </c>
      <c r="C185" s="175">
        <f>Hoja12!C21</f>
        <v>0</v>
      </c>
      <c r="D185" s="175">
        <f>Hoja12!F21</f>
        <v>0</v>
      </c>
      <c r="E185" s="128">
        <f>Hoja12!K21</f>
        <v>0</v>
      </c>
      <c r="F185" s="128">
        <f>Hoja12!L21</f>
        <v>0</v>
      </c>
      <c r="G185" s="129">
        <f t="shared" si="9"/>
        <v>0</v>
      </c>
    </row>
    <row r="186" spans="1:7" x14ac:dyDescent="0.25">
      <c r="A186" s="152" t="str">
        <f>IFERROR(DATEVALUE(CONCATENATE(CONCATENATE(REPT("0",2-LEN(Hoja13!A7)),Hoja13!A7),"/",CONCATENATE(REPT("0",2-LEN(Hoja13!B7)),Hoja13!B7),"/",Hoja13!$A$4)),"")</f>
        <v/>
      </c>
      <c r="B186" s="153" t="str">
        <f>CONCATENATE(Hoja13!D7,"-",Hoja13!E7)</f>
        <v>-</v>
      </c>
      <c r="C186" s="154">
        <f>Hoja13!C7</f>
        <v>0</v>
      </c>
      <c r="D186" s="154">
        <f>Hoja13!F7</f>
        <v>0</v>
      </c>
      <c r="E186" s="155">
        <f>Hoja13!K7</f>
        <v>0</v>
      </c>
      <c r="F186" s="155">
        <f>Hoja13!L7</f>
        <v>0</v>
      </c>
      <c r="G186" s="156">
        <f t="shared" si="6"/>
        <v>0</v>
      </c>
    </row>
    <row r="187" spans="1:7" x14ac:dyDescent="0.25">
      <c r="A187" s="157" t="str">
        <f>IFERROR(DATEVALUE(CONCATENATE(CONCATENATE(REPT("0",2-LEN(Hoja13!A8)),Hoja13!A8),"/",CONCATENATE(REPT("0",2-LEN(Hoja13!B8)),Hoja13!B8),"/",Hoja13!$A$4)),"")</f>
        <v/>
      </c>
      <c r="B187" s="158" t="str">
        <f>CONCATENATE(Hoja13!D8,"-",Hoja13!E8)</f>
        <v>-</v>
      </c>
      <c r="C187" s="159">
        <f>Hoja13!C8</f>
        <v>0</v>
      </c>
      <c r="D187" s="159">
        <f>Hoja13!F8</f>
        <v>0</v>
      </c>
      <c r="E187" s="160">
        <f>Hoja13!K8</f>
        <v>0</v>
      </c>
      <c r="F187" s="160">
        <f>Hoja13!L8</f>
        <v>0</v>
      </c>
      <c r="G187" s="161">
        <f t="shared" ref="G187:G200" si="10">+E187+F187</f>
        <v>0</v>
      </c>
    </row>
    <row r="188" spans="1:7" x14ac:dyDescent="0.25">
      <c r="A188" s="157" t="str">
        <f>IFERROR(DATEVALUE(CONCATENATE(CONCATENATE(REPT("0",2-LEN(Hoja13!A9)),Hoja13!A9),"/",CONCATENATE(REPT("0",2-LEN(Hoja13!B9)),Hoja13!B9),"/",Hoja13!$A$4)),"")</f>
        <v/>
      </c>
      <c r="B188" s="158" t="str">
        <f>CONCATENATE(Hoja13!D9,"-",Hoja13!E9)</f>
        <v>-</v>
      </c>
      <c r="C188" s="159">
        <f>Hoja13!C9</f>
        <v>0</v>
      </c>
      <c r="D188" s="159">
        <f>Hoja13!F9</f>
        <v>0</v>
      </c>
      <c r="E188" s="160">
        <f>Hoja13!K9</f>
        <v>0</v>
      </c>
      <c r="F188" s="160">
        <f>Hoja13!L9</f>
        <v>0</v>
      </c>
      <c r="G188" s="161">
        <f t="shared" si="10"/>
        <v>0</v>
      </c>
    </row>
    <row r="189" spans="1:7" x14ac:dyDescent="0.25">
      <c r="A189" s="157" t="str">
        <f>IFERROR(DATEVALUE(CONCATENATE(CONCATENATE(REPT("0",2-LEN(Hoja13!A10)),Hoja13!A10),"/",CONCATENATE(REPT("0",2-LEN(Hoja13!B10)),Hoja13!B10),"/",Hoja13!$A$4)),"")</f>
        <v/>
      </c>
      <c r="B189" s="158" t="str">
        <f>CONCATENATE(Hoja13!D10,"-",Hoja13!E10)</f>
        <v>-</v>
      </c>
      <c r="C189" s="159">
        <f>Hoja13!C10</f>
        <v>0</v>
      </c>
      <c r="D189" s="159">
        <f>Hoja13!F10</f>
        <v>0</v>
      </c>
      <c r="E189" s="160">
        <f>Hoja13!K10</f>
        <v>0</v>
      </c>
      <c r="F189" s="160">
        <f>Hoja13!L10</f>
        <v>0</v>
      </c>
      <c r="G189" s="161">
        <f t="shared" si="10"/>
        <v>0</v>
      </c>
    </row>
    <row r="190" spans="1:7" x14ac:dyDescent="0.25">
      <c r="A190" s="157" t="str">
        <f>IFERROR(DATEVALUE(CONCATENATE(CONCATENATE(REPT("0",2-LEN(Hoja13!A11)),Hoja13!A11),"/",CONCATENATE(REPT("0",2-LEN(Hoja13!B11)),Hoja13!B11),"/",Hoja13!$A$4)),"")</f>
        <v/>
      </c>
      <c r="B190" s="158" t="str">
        <f>CONCATENATE(Hoja13!D11,"-",Hoja13!E11)</f>
        <v>-</v>
      </c>
      <c r="C190" s="159">
        <f>Hoja13!C11</f>
        <v>0</v>
      </c>
      <c r="D190" s="159">
        <f>Hoja13!F11</f>
        <v>0</v>
      </c>
      <c r="E190" s="160">
        <f>Hoja13!K11</f>
        <v>0</v>
      </c>
      <c r="F190" s="160">
        <f>Hoja13!L11</f>
        <v>0</v>
      </c>
      <c r="G190" s="161">
        <f t="shared" si="10"/>
        <v>0</v>
      </c>
    </row>
    <row r="191" spans="1:7" x14ac:dyDescent="0.25">
      <c r="A191" s="157" t="str">
        <f>IFERROR(DATEVALUE(CONCATENATE(CONCATENATE(REPT("0",2-LEN(Hoja13!A12)),Hoja13!A12),"/",CONCATENATE(REPT("0",2-LEN(Hoja13!B12)),Hoja13!B12),"/",Hoja13!$A$4)),"")</f>
        <v/>
      </c>
      <c r="B191" s="158" t="str">
        <f>CONCATENATE(Hoja13!D12,"-",Hoja13!E12)</f>
        <v>-</v>
      </c>
      <c r="C191" s="159">
        <f>Hoja13!C12</f>
        <v>0</v>
      </c>
      <c r="D191" s="159">
        <f>Hoja13!F12</f>
        <v>0</v>
      </c>
      <c r="E191" s="160">
        <f>Hoja13!K12</f>
        <v>0</v>
      </c>
      <c r="F191" s="160">
        <f>Hoja13!L12</f>
        <v>0</v>
      </c>
      <c r="G191" s="161">
        <f t="shared" si="10"/>
        <v>0</v>
      </c>
    </row>
    <row r="192" spans="1:7" x14ac:dyDescent="0.25">
      <c r="A192" s="157" t="str">
        <f>IFERROR(DATEVALUE(CONCATENATE(CONCATENATE(REPT("0",2-LEN(Hoja13!A13)),Hoja13!A13),"/",CONCATENATE(REPT("0",2-LEN(Hoja13!B13)),Hoja13!B13),"/",Hoja13!$A$4)),"")</f>
        <v/>
      </c>
      <c r="B192" s="158" t="str">
        <f>CONCATENATE(Hoja13!D13,"-",Hoja13!E13)</f>
        <v>-</v>
      </c>
      <c r="C192" s="159">
        <f>Hoja13!C13</f>
        <v>0</v>
      </c>
      <c r="D192" s="159">
        <f>Hoja13!F13</f>
        <v>0</v>
      </c>
      <c r="E192" s="160">
        <f>Hoja13!K13</f>
        <v>0</v>
      </c>
      <c r="F192" s="160">
        <f>Hoja13!L13</f>
        <v>0</v>
      </c>
      <c r="G192" s="161">
        <f t="shared" si="10"/>
        <v>0</v>
      </c>
    </row>
    <row r="193" spans="1:7" x14ac:dyDescent="0.25">
      <c r="A193" s="157" t="str">
        <f>IFERROR(DATEVALUE(CONCATENATE(CONCATENATE(REPT("0",2-LEN(Hoja13!A14)),Hoja13!A14),"/",CONCATENATE(REPT("0",2-LEN(Hoja13!B14)),Hoja13!B14),"/",Hoja13!$A$4)),"")</f>
        <v/>
      </c>
      <c r="B193" s="158" t="str">
        <f>CONCATENATE(Hoja13!D14,"-",Hoja13!E14)</f>
        <v>-</v>
      </c>
      <c r="C193" s="159">
        <f>Hoja13!C14</f>
        <v>0</v>
      </c>
      <c r="D193" s="159">
        <f>Hoja13!F14</f>
        <v>0</v>
      </c>
      <c r="E193" s="160">
        <f>Hoja13!K14</f>
        <v>0</v>
      </c>
      <c r="F193" s="160">
        <f>Hoja13!L14</f>
        <v>0</v>
      </c>
      <c r="G193" s="161">
        <f t="shared" si="10"/>
        <v>0</v>
      </c>
    </row>
    <row r="194" spans="1:7" x14ac:dyDescent="0.25">
      <c r="A194" s="157" t="str">
        <f>IFERROR(DATEVALUE(CONCATENATE(CONCATENATE(REPT("0",2-LEN(Hoja13!A15)),Hoja13!A15),"/",CONCATENATE(REPT("0",2-LEN(Hoja13!B15)),Hoja13!B15),"/",Hoja13!$A$4)),"")</f>
        <v/>
      </c>
      <c r="B194" s="158" t="str">
        <f>CONCATENATE(Hoja13!D15,"-",Hoja13!E15)</f>
        <v>-</v>
      </c>
      <c r="C194" s="159">
        <f>Hoja13!C15</f>
        <v>0</v>
      </c>
      <c r="D194" s="159">
        <f>Hoja13!F15</f>
        <v>0</v>
      </c>
      <c r="E194" s="160">
        <f>Hoja13!K15</f>
        <v>0</v>
      </c>
      <c r="F194" s="160">
        <f>Hoja13!L15</f>
        <v>0</v>
      </c>
      <c r="G194" s="161">
        <f t="shared" si="10"/>
        <v>0</v>
      </c>
    </row>
    <row r="195" spans="1:7" x14ac:dyDescent="0.25">
      <c r="A195" s="157" t="str">
        <f>IFERROR(DATEVALUE(CONCATENATE(CONCATENATE(REPT("0",2-LEN(Hoja13!A16)),Hoja13!A16),"/",CONCATENATE(REPT("0",2-LEN(Hoja13!B16)),Hoja13!B16),"/",Hoja13!$A$4)),"")</f>
        <v/>
      </c>
      <c r="B195" s="158" t="str">
        <f>CONCATENATE(Hoja13!D16,"-",Hoja13!E16)</f>
        <v>-</v>
      </c>
      <c r="C195" s="159">
        <f>Hoja13!C16</f>
        <v>0</v>
      </c>
      <c r="D195" s="159">
        <f>Hoja13!F16</f>
        <v>0</v>
      </c>
      <c r="E195" s="160">
        <f>Hoja13!K16</f>
        <v>0</v>
      </c>
      <c r="F195" s="160">
        <f>Hoja13!L16</f>
        <v>0</v>
      </c>
      <c r="G195" s="161">
        <f t="shared" si="10"/>
        <v>0</v>
      </c>
    </row>
    <row r="196" spans="1:7" x14ac:dyDescent="0.25">
      <c r="A196" s="157" t="str">
        <f>IFERROR(DATEVALUE(CONCATENATE(CONCATENATE(REPT("0",2-LEN(Hoja13!A17)),Hoja13!A17),"/",CONCATENATE(REPT("0",2-LEN(Hoja13!B17)),Hoja13!B17),"/",Hoja13!$A$4)),"")</f>
        <v/>
      </c>
      <c r="B196" s="158" t="str">
        <f>CONCATENATE(Hoja13!D17,"-",Hoja13!E17)</f>
        <v>-</v>
      </c>
      <c r="C196" s="159">
        <f>Hoja13!C17</f>
        <v>0</v>
      </c>
      <c r="D196" s="159">
        <f>Hoja13!F17</f>
        <v>0</v>
      </c>
      <c r="E196" s="160">
        <f>Hoja13!K17</f>
        <v>0</v>
      </c>
      <c r="F196" s="160">
        <f>Hoja13!L17</f>
        <v>0</v>
      </c>
      <c r="G196" s="161">
        <f t="shared" si="10"/>
        <v>0</v>
      </c>
    </row>
    <row r="197" spans="1:7" x14ac:dyDescent="0.25">
      <c r="A197" s="157" t="str">
        <f>IFERROR(DATEVALUE(CONCATENATE(CONCATENATE(REPT("0",2-LEN(Hoja13!A18)),Hoja13!A18),"/",CONCATENATE(REPT("0",2-LEN(Hoja13!B18)),Hoja13!B18),"/",Hoja13!$A$4)),"")</f>
        <v/>
      </c>
      <c r="B197" s="158" t="str">
        <f>CONCATENATE(Hoja13!D18,"-",Hoja13!E18)</f>
        <v>-</v>
      </c>
      <c r="C197" s="159">
        <f>Hoja13!C18</f>
        <v>0</v>
      </c>
      <c r="D197" s="159">
        <f>Hoja13!F18</f>
        <v>0</v>
      </c>
      <c r="E197" s="160">
        <f>Hoja13!K18</f>
        <v>0</v>
      </c>
      <c r="F197" s="160">
        <f>Hoja13!L18</f>
        <v>0</v>
      </c>
      <c r="G197" s="161">
        <f t="shared" si="10"/>
        <v>0</v>
      </c>
    </row>
    <row r="198" spans="1:7" x14ac:dyDescent="0.25">
      <c r="A198" s="157" t="str">
        <f>IFERROR(DATEVALUE(CONCATENATE(CONCATENATE(REPT("0",2-LEN(Hoja13!A19)),Hoja13!A19),"/",CONCATENATE(REPT("0",2-LEN(Hoja13!B19)),Hoja13!B19),"/",Hoja13!$A$4)),"")</f>
        <v/>
      </c>
      <c r="B198" s="158" t="str">
        <f>CONCATENATE(Hoja13!D19,"-",Hoja13!E19)</f>
        <v>-</v>
      </c>
      <c r="C198" s="159">
        <f>Hoja13!C19</f>
        <v>0</v>
      </c>
      <c r="D198" s="159">
        <f>Hoja13!F19</f>
        <v>0</v>
      </c>
      <c r="E198" s="160">
        <f>Hoja13!K19</f>
        <v>0</v>
      </c>
      <c r="F198" s="160">
        <f>Hoja13!L19</f>
        <v>0</v>
      </c>
      <c r="G198" s="161">
        <f t="shared" si="10"/>
        <v>0</v>
      </c>
    </row>
    <row r="199" spans="1:7" x14ac:dyDescent="0.25">
      <c r="A199" s="157" t="str">
        <f>IFERROR(DATEVALUE(CONCATENATE(CONCATENATE(REPT("0",2-LEN(Hoja13!A20)),Hoja13!A20),"/",CONCATENATE(REPT("0",2-LEN(Hoja13!B20)),Hoja13!B20),"/",Hoja13!$A$4)),"")</f>
        <v/>
      </c>
      <c r="B199" s="158" t="str">
        <f>CONCATENATE(Hoja13!D20,"-",Hoja13!E20)</f>
        <v>-</v>
      </c>
      <c r="C199" s="159">
        <f>Hoja13!C20</f>
        <v>0</v>
      </c>
      <c r="D199" s="159">
        <f>Hoja13!F20</f>
        <v>0</v>
      </c>
      <c r="E199" s="160">
        <f>Hoja13!K20</f>
        <v>0</v>
      </c>
      <c r="F199" s="160">
        <f>Hoja13!L20</f>
        <v>0</v>
      </c>
      <c r="G199" s="161">
        <f t="shared" si="10"/>
        <v>0</v>
      </c>
    </row>
    <row r="200" spans="1:7" ht="13.8" thickBot="1" x14ac:dyDescent="0.3">
      <c r="A200" s="176" t="str">
        <f>IFERROR(DATEVALUE(CONCATENATE(CONCATENATE(REPT("0",2-LEN(Hoja13!A21)),Hoja13!A21),"/",CONCATENATE(REPT("0",2-LEN(Hoja13!B21)),Hoja13!B21),"/",Hoja13!$A$4)),"")</f>
        <v/>
      </c>
      <c r="B200" s="177" t="str">
        <f>CONCATENATE(Hoja13!D21,"-",Hoja13!E21)</f>
        <v>-</v>
      </c>
      <c r="C200" s="178">
        <f>Hoja13!C21</f>
        <v>0</v>
      </c>
      <c r="D200" s="178">
        <f>Hoja13!F21</f>
        <v>0</v>
      </c>
      <c r="E200" s="179">
        <f>Hoja13!K21</f>
        <v>0</v>
      </c>
      <c r="F200" s="179">
        <f>Hoja13!L21</f>
        <v>0</v>
      </c>
      <c r="G200" s="180">
        <f t="shared" si="10"/>
        <v>0</v>
      </c>
    </row>
    <row r="201" spans="1:7" x14ac:dyDescent="0.25">
      <c r="A201" s="167" t="str">
        <f>IFERROR(DATEVALUE(CONCATENATE(CONCATENATE(REPT("0",2-LEN(Hoja14!A7)),Hoja14!A7),"/",CONCATENATE(REPT("0",2-LEN(Hoja14!B7)),Hoja14!B7),"/",Hoja14!$A$4)),"")</f>
        <v/>
      </c>
      <c r="B201" s="168" t="str">
        <f>CONCATENATE(Hoja14!D7,"-",Hoja14!E7)</f>
        <v>-</v>
      </c>
      <c r="C201" s="169">
        <f>Hoja14!C7</f>
        <v>0</v>
      </c>
      <c r="D201" s="169">
        <f>Hoja14!F7</f>
        <v>0</v>
      </c>
      <c r="E201" s="134">
        <f>Hoja14!K7</f>
        <v>0</v>
      </c>
      <c r="F201" s="134">
        <f>Hoja14!L7</f>
        <v>0</v>
      </c>
      <c r="G201" s="135">
        <f t="shared" ref="G201:G261" si="11">+E201+F201</f>
        <v>0</v>
      </c>
    </row>
    <row r="202" spans="1:7" x14ac:dyDescent="0.25">
      <c r="A202" s="170" t="str">
        <f>IFERROR(DATEVALUE(CONCATENATE(CONCATENATE(REPT("0",2-LEN(Hoja14!A8)),Hoja14!A8),"/",CONCATENATE(REPT("0",2-LEN(Hoja14!B8)),Hoja14!B8),"/",Hoja14!$A$4)),"")</f>
        <v/>
      </c>
      <c r="B202" s="171" t="str">
        <f>CONCATENATE(Hoja14!D8,"-",Hoja14!E8)</f>
        <v>-</v>
      </c>
      <c r="C202" s="172">
        <f>Hoja14!C8</f>
        <v>0</v>
      </c>
      <c r="D202" s="172">
        <f>Hoja14!F8</f>
        <v>0</v>
      </c>
      <c r="E202" s="126">
        <f>Hoja14!K8</f>
        <v>0</v>
      </c>
      <c r="F202" s="126">
        <f>Hoja14!L8</f>
        <v>0</v>
      </c>
      <c r="G202" s="127">
        <f t="shared" ref="G202:G215" si="12">+E202+F202</f>
        <v>0</v>
      </c>
    </row>
    <row r="203" spans="1:7" x14ac:dyDescent="0.25">
      <c r="A203" s="170" t="str">
        <f>IFERROR(DATEVALUE(CONCATENATE(CONCATENATE(REPT("0",2-LEN(Hoja14!A9)),Hoja14!A9),"/",CONCATENATE(REPT("0",2-LEN(Hoja14!B9)),Hoja14!B9),"/",Hoja14!$A$4)),"")</f>
        <v/>
      </c>
      <c r="B203" s="171" t="str">
        <f>CONCATENATE(Hoja14!D9,"-",Hoja14!E9)</f>
        <v>-</v>
      </c>
      <c r="C203" s="172">
        <f>Hoja14!C9</f>
        <v>0</v>
      </c>
      <c r="D203" s="172">
        <f>Hoja14!F9</f>
        <v>0</v>
      </c>
      <c r="E203" s="126">
        <f>Hoja14!K9</f>
        <v>0</v>
      </c>
      <c r="F203" s="126">
        <f>Hoja14!L9</f>
        <v>0</v>
      </c>
      <c r="G203" s="127">
        <f t="shared" si="12"/>
        <v>0</v>
      </c>
    </row>
    <row r="204" spans="1:7" x14ac:dyDescent="0.25">
      <c r="A204" s="170" t="str">
        <f>IFERROR(DATEVALUE(CONCATENATE(CONCATENATE(REPT("0",2-LEN(Hoja14!A10)),Hoja14!A10),"/",CONCATENATE(REPT("0",2-LEN(Hoja14!B10)),Hoja14!B10),"/",Hoja14!$A$4)),"")</f>
        <v/>
      </c>
      <c r="B204" s="171" t="str">
        <f>CONCATENATE(Hoja14!D10,"-",Hoja14!E10)</f>
        <v>-</v>
      </c>
      <c r="C204" s="172">
        <f>Hoja14!C10</f>
        <v>0</v>
      </c>
      <c r="D204" s="172">
        <f>Hoja14!F10</f>
        <v>0</v>
      </c>
      <c r="E204" s="126">
        <f>Hoja14!K10</f>
        <v>0</v>
      </c>
      <c r="F204" s="126">
        <f>Hoja14!L10</f>
        <v>0</v>
      </c>
      <c r="G204" s="127">
        <f t="shared" si="12"/>
        <v>0</v>
      </c>
    </row>
    <row r="205" spans="1:7" x14ac:dyDescent="0.25">
      <c r="A205" s="170" t="str">
        <f>IFERROR(DATEVALUE(CONCATENATE(CONCATENATE(REPT("0",2-LEN(Hoja14!A11)),Hoja14!A11),"/",CONCATENATE(REPT("0",2-LEN(Hoja14!B11)),Hoja14!B11),"/",Hoja14!$A$4)),"")</f>
        <v/>
      </c>
      <c r="B205" s="171" t="str">
        <f>CONCATENATE(Hoja14!D11,"-",Hoja14!E11)</f>
        <v>-</v>
      </c>
      <c r="C205" s="172">
        <f>Hoja14!C11</f>
        <v>0</v>
      </c>
      <c r="D205" s="172">
        <f>Hoja14!F11</f>
        <v>0</v>
      </c>
      <c r="E205" s="126">
        <f>Hoja14!K11</f>
        <v>0</v>
      </c>
      <c r="F205" s="126">
        <f>Hoja14!L11</f>
        <v>0</v>
      </c>
      <c r="G205" s="127">
        <f t="shared" si="12"/>
        <v>0</v>
      </c>
    </row>
    <row r="206" spans="1:7" x14ac:dyDescent="0.25">
      <c r="A206" s="170" t="str">
        <f>IFERROR(DATEVALUE(CONCATENATE(CONCATENATE(REPT("0",2-LEN(Hoja14!A12)),Hoja14!A12),"/",CONCATENATE(REPT("0",2-LEN(Hoja14!B12)),Hoja14!B12),"/",Hoja14!$A$4)),"")</f>
        <v/>
      </c>
      <c r="B206" s="171" t="str">
        <f>CONCATENATE(Hoja14!D12,"-",Hoja14!E12)</f>
        <v>-</v>
      </c>
      <c r="C206" s="172">
        <f>Hoja14!C12</f>
        <v>0</v>
      </c>
      <c r="D206" s="172">
        <f>Hoja14!F12</f>
        <v>0</v>
      </c>
      <c r="E206" s="126">
        <f>Hoja14!K12</f>
        <v>0</v>
      </c>
      <c r="F206" s="126">
        <f>Hoja14!L12</f>
        <v>0</v>
      </c>
      <c r="G206" s="127">
        <f t="shared" si="12"/>
        <v>0</v>
      </c>
    </row>
    <row r="207" spans="1:7" x14ac:dyDescent="0.25">
      <c r="A207" s="170" t="str">
        <f>IFERROR(DATEVALUE(CONCATENATE(CONCATENATE(REPT("0",2-LEN(Hoja14!A13)),Hoja14!A13),"/",CONCATENATE(REPT("0",2-LEN(Hoja14!B13)),Hoja14!B13),"/",Hoja14!$A$4)),"")</f>
        <v/>
      </c>
      <c r="B207" s="171" t="str">
        <f>CONCATENATE(Hoja14!D13,"-",Hoja14!E13)</f>
        <v>-</v>
      </c>
      <c r="C207" s="172">
        <f>Hoja14!C13</f>
        <v>0</v>
      </c>
      <c r="D207" s="172">
        <f>Hoja14!F13</f>
        <v>0</v>
      </c>
      <c r="E207" s="126">
        <f>Hoja14!K13</f>
        <v>0</v>
      </c>
      <c r="F207" s="126">
        <f>Hoja14!L13</f>
        <v>0</v>
      </c>
      <c r="G207" s="127">
        <f t="shared" si="12"/>
        <v>0</v>
      </c>
    </row>
    <row r="208" spans="1:7" x14ac:dyDescent="0.25">
      <c r="A208" s="170" t="str">
        <f>IFERROR(DATEVALUE(CONCATENATE(CONCATENATE(REPT("0",2-LEN(Hoja14!A14)),Hoja14!A14),"/",CONCATENATE(REPT("0",2-LEN(Hoja14!B14)),Hoja14!B14),"/",Hoja14!$A$4)),"")</f>
        <v/>
      </c>
      <c r="B208" s="171" t="str">
        <f>CONCATENATE(Hoja14!D14,"-",Hoja14!E14)</f>
        <v>-</v>
      </c>
      <c r="C208" s="172">
        <f>Hoja14!C14</f>
        <v>0</v>
      </c>
      <c r="D208" s="172">
        <f>Hoja14!F14</f>
        <v>0</v>
      </c>
      <c r="E208" s="126">
        <f>Hoja14!K14</f>
        <v>0</v>
      </c>
      <c r="F208" s="126">
        <f>Hoja14!L14</f>
        <v>0</v>
      </c>
      <c r="G208" s="127">
        <f t="shared" si="12"/>
        <v>0</v>
      </c>
    </row>
    <row r="209" spans="1:7" x14ac:dyDescent="0.25">
      <c r="A209" s="170" t="str">
        <f>IFERROR(DATEVALUE(CONCATENATE(CONCATENATE(REPT("0",2-LEN(Hoja14!A15)),Hoja14!A15),"/",CONCATENATE(REPT("0",2-LEN(Hoja14!B15)),Hoja14!B15),"/",Hoja14!$A$4)),"")</f>
        <v/>
      </c>
      <c r="B209" s="171" t="str">
        <f>CONCATENATE(Hoja14!D15,"-",Hoja14!E15)</f>
        <v>-</v>
      </c>
      <c r="C209" s="172">
        <f>Hoja14!C15</f>
        <v>0</v>
      </c>
      <c r="D209" s="172">
        <f>Hoja14!F15</f>
        <v>0</v>
      </c>
      <c r="E209" s="126">
        <f>Hoja14!K15</f>
        <v>0</v>
      </c>
      <c r="F209" s="126">
        <f>Hoja14!L15</f>
        <v>0</v>
      </c>
      <c r="G209" s="127">
        <f t="shared" si="12"/>
        <v>0</v>
      </c>
    </row>
    <row r="210" spans="1:7" x14ac:dyDescent="0.25">
      <c r="A210" s="170" t="str">
        <f>IFERROR(DATEVALUE(CONCATENATE(CONCATENATE(REPT("0",2-LEN(Hoja14!A16)),Hoja14!A16),"/",CONCATENATE(REPT("0",2-LEN(Hoja14!B16)),Hoja14!B16),"/",Hoja14!$A$4)),"")</f>
        <v/>
      </c>
      <c r="B210" s="171" t="str">
        <f>CONCATENATE(Hoja14!D16,"-",Hoja14!E16)</f>
        <v>-</v>
      </c>
      <c r="C210" s="172">
        <f>Hoja14!C16</f>
        <v>0</v>
      </c>
      <c r="D210" s="172">
        <f>Hoja14!F16</f>
        <v>0</v>
      </c>
      <c r="E210" s="126">
        <f>Hoja14!K16</f>
        <v>0</v>
      </c>
      <c r="F210" s="126">
        <f>Hoja14!L16</f>
        <v>0</v>
      </c>
      <c r="G210" s="127">
        <f t="shared" si="12"/>
        <v>0</v>
      </c>
    </row>
    <row r="211" spans="1:7" x14ac:dyDescent="0.25">
      <c r="A211" s="170" t="str">
        <f>IFERROR(DATEVALUE(CONCATENATE(CONCATENATE(REPT("0",2-LEN(Hoja14!A17)),Hoja14!A17),"/",CONCATENATE(REPT("0",2-LEN(Hoja14!B17)),Hoja14!B17),"/",Hoja14!$A$4)),"")</f>
        <v/>
      </c>
      <c r="B211" s="171" t="str">
        <f>CONCATENATE(Hoja14!D17,"-",Hoja14!E17)</f>
        <v>-</v>
      </c>
      <c r="C211" s="172">
        <f>Hoja14!C17</f>
        <v>0</v>
      </c>
      <c r="D211" s="172">
        <f>Hoja14!F17</f>
        <v>0</v>
      </c>
      <c r="E211" s="126">
        <f>Hoja14!K17</f>
        <v>0</v>
      </c>
      <c r="F211" s="126">
        <f>Hoja14!L17</f>
        <v>0</v>
      </c>
      <c r="G211" s="127">
        <f t="shared" si="12"/>
        <v>0</v>
      </c>
    </row>
    <row r="212" spans="1:7" x14ac:dyDescent="0.25">
      <c r="A212" s="170" t="str">
        <f>IFERROR(DATEVALUE(CONCATENATE(CONCATENATE(REPT("0",2-LEN(Hoja14!A18)),Hoja14!A18),"/",CONCATENATE(REPT("0",2-LEN(Hoja14!B18)),Hoja14!B18),"/",Hoja14!$A$4)),"")</f>
        <v/>
      </c>
      <c r="B212" s="171" t="str">
        <f>CONCATENATE(Hoja14!D18,"-",Hoja14!E18)</f>
        <v>-</v>
      </c>
      <c r="C212" s="172">
        <f>Hoja14!C18</f>
        <v>0</v>
      </c>
      <c r="D212" s="172">
        <f>Hoja14!F18</f>
        <v>0</v>
      </c>
      <c r="E212" s="126">
        <f>Hoja14!K18</f>
        <v>0</v>
      </c>
      <c r="F212" s="126">
        <f>Hoja14!L18</f>
        <v>0</v>
      </c>
      <c r="G212" s="127">
        <f t="shared" si="12"/>
        <v>0</v>
      </c>
    </row>
    <row r="213" spans="1:7" x14ac:dyDescent="0.25">
      <c r="A213" s="170" t="str">
        <f>IFERROR(DATEVALUE(CONCATENATE(CONCATENATE(REPT("0",2-LEN(Hoja14!A19)),Hoja14!A19),"/",CONCATENATE(REPT("0",2-LEN(Hoja14!B19)),Hoja14!B19),"/",Hoja14!$A$4)),"")</f>
        <v/>
      </c>
      <c r="B213" s="171" t="str">
        <f>CONCATENATE(Hoja14!D19,"-",Hoja14!E19)</f>
        <v>-</v>
      </c>
      <c r="C213" s="172">
        <f>Hoja14!C19</f>
        <v>0</v>
      </c>
      <c r="D213" s="172">
        <f>Hoja14!F19</f>
        <v>0</v>
      </c>
      <c r="E213" s="126">
        <f>Hoja14!K19</f>
        <v>0</v>
      </c>
      <c r="F213" s="126">
        <f>Hoja14!L19</f>
        <v>0</v>
      </c>
      <c r="G213" s="127">
        <f t="shared" si="12"/>
        <v>0</v>
      </c>
    </row>
    <row r="214" spans="1:7" x14ac:dyDescent="0.25">
      <c r="A214" s="170" t="str">
        <f>IFERROR(DATEVALUE(CONCATENATE(CONCATENATE(REPT("0",2-LEN(Hoja14!A20)),Hoja14!A20),"/",CONCATENATE(REPT("0",2-LEN(Hoja14!B20)),Hoja14!B20),"/",Hoja14!$A$4)),"")</f>
        <v/>
      </c>
      <c r="B214" s="171" t="str">
        <f>CONCATENATE(Hoja14!D20,"-",Hoja14!E20)</f>
        <v>-</v>
      </c>
      <c r="C214" s="172">
        <f>Hoja14!C20</f>
        <v>0</v>
      </c>
      <c r="D214" s="172">
        <f>Hoja14!F20</f>
        <v>0</v>
      </c>
      <c r="E214" s="126">
        <f>Hoja14!K20</f>
        <v>0</v>
      </c>
      <c r="F214" s="126">
        <f>Hoja14!L20</f>
        <v>0</v>
      </c>
      <c r="G214" s="127">
        <f t="shared" si="12"/>
        <v>0</v>
      </c>
    </row>
    <row r="215" spans="1:7" ht="13.8" thickBot="1" x14ac:dyDescent="0.3">
      <c r="A215" s="173" t="str">
        <f>IFERROR(DATEVALUE(CONCATENATE(CONCATENATE(REPT("0",2-LEN(Hoja14!A21)),Hoja14!A21),"/",CONCATENATE(REPT("0",2-LEN(Hoja14!B21)),Hoja14!B21),"/",Hoja14!$A$4)),"")</f>
        <v/>
      </c>
      <c r="B215" s="174" t="str">
        <f>CONCATENATE(Hoja14!D21,"-",Hoja14!E21)</f>
        <v>-</v>
      </c>
      <c r="C215" s="175">
        <f>Hoja14!C21</f>
        <v>0</v>
      </c>
      <c r="D215" s="175">
        <f>Hoja14!F21</f>
        <v>0</v>
      </c>
      <c r="E215" s="128">
        <f>Hoja14!K21</f>
        <v>0</v>
      </c>
      <c r="F215" s="128">
        <f>Hoja14!L21</f>
        <v>0</v>
      </c>
      <c r="G215" s="129">
        <f t="shared" si="12"/>
        <v>0</v>
      </c>
    </row>
    <row r="216" spans="1:7" x14ac:dyDescent="0.25">
      <c r="A216" s="152" t="str">
        <f>IFERROR(DATEVALUE(CONCATENATE(CONCATENATE(REPT("0",2-LEN(Hoja15!A7)),Hoja15!A7),"/",CONCATENATE(REPT("0",2-LEN(Hoja15!B7)),Hoja15!B7),"/",Hoja15!$A$4)),"")</f>
        <v/>
      </c>
      <c r="B216" s="153" t="str">
        <f>CONCATENATE(Hoja15!D7,"-",Hoja15!E7)</f>
        <v>-</v>
      </c>
      <c r="C216" s="154">
        <f>Hoja15!C7</f>
        <v>0</v>
      </c>
      <c r="D216" s="154">
        <f>Hoja15!F7</f>
        <v>0</v>
      </c>
      <c r="E216" s="155">
        <f>Hoja15!K7</f>
        <v>0</v>
      </c>
      <c r="F216" s="155">
        <f>Hoja15!L7</f>
        <v>0</v>
      </c>
      <c r="G216" s="156">
        <f t="shared" si="11"/>
        <v>0</v>
      </c>
    </row>
    <row r="217" spans="1:7" x14ac:dyDescent="0.25">
      <c r="A217" s="157" t="str">
        <f>IFERROR(DATEVALUE(CONCATENATE(CONCATENATE(REPT("0",2-LEN(Hoja15!A8)),Hoja15!A8),"/",CONCATENATE(REPT("0",2-LEN(Hoja15!B8)),Hoja15!B8),"/",Hoja15!$A$4)),"")</f>
        <v/>
      </c>
      <c r="B217" s="158" t="str">
        <f>CONCATENATE(Hoja15!D8,"-",Hoja15!E8)</f>
        <v>-</v>
      </c>
      <c r="C217" s="159">
        <f>Hoja15!C8</f>
        <v>0</v>
      </c>
      <c r="D217" s="159">
        <f>Hoja15!F8</f>
        <v>0</v>
      </c>
      <c r="E217" s="160">
        <f>Hoja15!K8</f>
        <v>0</v>
      </c>
      <c r="F217" s="160">
        <f>Hoja15!L8</f>
        <v>0</v>
      </c>
      <c r="G217" s="161">
        <f t="shared" ref="G217:G230" si="13">+E217+F217</f>
        <v>0</v>
      </c>
    </row>
    <row r="218" spans="1:7" x14ac:dyDescent="0.25">
      <c r="A218" s="157" t="str">
        <f>IFERROR(DATEVALUE(CONCATENATE(CONCATENATE(REPT("0",2-LEN(Hoja15!A9)),Hoja15!A9),"/",CONCATENATE(REPT("0",2-LEN(Hoja15!B9)),Hoja15!B9),"/",Hoja15!$A$4)),"")</f>
        <v/>
      </c>
      <c r="B218" s="158" t="str">
        <f>CONCATENATE(Hoja15!D9,"-",Hoja15!E9)</f>
        <v>-</v>
      </c>
      <c r="C218" s="159">
        <f>Hoja15!C9</f>
        <v>0</v>
      </c>
      <c r="D218" s="159">
        <f>Hoja15!F9</f>
        <v>0</v>
      </c>
      <c r="E218" s="160">
        <f>Hoja15!K9</f>
        <v>0</v>
      </c>
      <c r="F218" s="160">
        <f>Hoja15!L9</f>
        <v>0</v>
      </c>
      <c r="G218" s="161">
        <f t="shared" si="13"/>
        <v>0</v>
      </c>
    </row>
    <row r="219" spans="1:7" x14ac:dyDescent="0.25">
      <c r="A219" s="157" t="str">
        <f>IFERROR(DATEVALUE(CONCATENATE(CONCATENATE(REPT("0",2-LEN(Hoja15!A10)),Hoja15!A10),"/",CONCATENATE(REPT("0",2-LEN(Hoja15!B10)),Hoja15!B10),"/",Hoja15!$A$4)),"")</f>
        <v/>
      </c>
      <c r="B219" s="158" t="str">
        <f>CONCATENATE(Hoja15!D10,"-",Hoja15!E10)</f>
        <v>-</v>
      </c>
      <c r="C219" s="159">
        <f>Hoja15!C10</f>
        <v>0</v>
      </c>
      <c r="D219" s="159">
        <f>Hoja15!F10</f>
        <v>0</v>
      </c>
      <c r="E219" s="160">
        <f>Hoja15!K10</f>
        <v>0</v>
      </c>
      <c r="F219" s="160">
        <f>Hoja15!L10</f>
        <v>0</v>
      </c>
      <c r="G219" s="161">
        <f t="shared" si="13"/>
        <v>0</v>
      </c>
    </row>
    <row r="220" spans="1:7" x14ac:dyDescent="0.25">
      <c r="A220" s="157" t="str">
        <f>IFERROR(DATEVALUE(CONCATENATE(CONCATENATE(REPT("0",2-LEN(Hoja15!A11)),Hoja15!A11),"/",CONCATENATE(REPT("0",2-LEN(Hoja15!B11)),Hoja15!B11),"/",Hoja15!$A$4)),"")</f>
        <v/>
      </c>
      <c r="B220" s="158" t="str">
        <f>CONCATENATE(Hoja15!D11,"-",Hoja15!E11)</f>
        <v>-</v>
      </c>
      <c r="C220" s="159">
        <f>Hoja15!C11</f>
        <v>0</v>
      </c>
      <c r="D220" s="159">
        <f>Hoja15!F11</f>
        <v>0</v>
      </c>
      <c r="E220" s="160">
        <f>Hoja15!K11</f>
        <v>0</v>
      </c>
      <c r="F220" s="160">
        <f>Hoja15!L11</f>
        <v>0</v>
      </c>
      <c r="G220" s="161">
        <f t="shared" si="13"/>
        <v>0</v>
      </c>
    </row>
    <row r="221" spans="1:7" x14ac:dyDescent="0.25">
      <c r="A221" s="157" t="str">
        <f>IFERROR(DATEVALUE(CONCATENATE(CONCATENATE(REPT("0",2-LEN(Hoja15!A12)),Hoja15!A12),"/",CONCATENATE(REPT("0",2-LEN(Hoja15!B12)),Hoja15!B12),"/",Hoja15!$A$4)),"")</f>
        <v/>
      </c>
      <c r="B221" s="158" t="str">
        <f>CONCATENATE(Hoja15!D12,"-",Hoja15!E12)</f>
        <v>-</v>
      </c>
      <c r="C221" s="159">
        <f>Hoja15!C12</f>
        <v>0</v>
      </c>
      <c r="D221" s="159">
        <f>Hoja15!F12</f>
        <v>0</v>
      </c>
      <c r="E221" s="160">
        <f>Hoja15!K12</f>
        <v>0</v>
      </c>
      <c r="F221" s="160">
        <f>Hoja15!L12</f>
        <v>0</v>
      </c>
      <c r="G221" s="161">
        <f t="shared" si="13"/>
        <v>0</v>
      </c>
    </row>
    <row r="222" spans="1:7" x14ac:dyDescent="0.25">
      <c r="A222" s="157" t="str">
        <f>IFERROR(DATEVALUE(CONCATENATE(CONCATENATE(REPT("0",2-LEN(Hoja15!A13)),Hoja15!A13),"/",CONCATENATE(REPT("0",2-LEN(Hoja15!B13)),Hoja15!B13),"/",Hoja15!$A$4)),"")</f>
        <v/>
      </c>
      <c r="B222" s="158" t="str">
        <f>CONCATENATE(Hoja15!D13,"-",Hoja15!E13)</f>
        <v>-</v>
      </c>
      <c r="C222" s="159">
        <f>Hoja15!C13</f>
        <v>0</v>
      </c>
      <c r="D222" s="159">
        <f>Hoja15!F13</f>
        <v>0</v>
      </c>
      <c r="E222" s="160">
        <f>Hoja15!K13</f>
        <v>0</v>
      </c>
      <c r="F222" s="160">
        <f>Hoja15!L13</f>
        <v>0</v>
      </c>
      <c r="G222" s="161">
        <f t="shared" si="13"/>
        <v>0</v>
      </c>
    </row>
    <row r="223" spans="1:7" x14ac:dyDescent="0.25">
      <c r="A223" s="157" t="str">
        <f>IFERROR(DATEVALUE(CONCATENATE(CONCATENATE(REPT("0",2-LEN(Hoja15!A14)),Hoja15!A14),"/",CONCATENATE(REPT("0",2-LEN(Hoja15!B14)),Hoja15!B14),"/",Hoja15!$A$4)),"")</f>
        <v/>
      </c>
      <c r="B223" s="158" t="str">
        <f>CONCATENATE(Hoja15!D14,"-",Hoja15!E14)</f>
        <v>-</v>
      </c>
      <c r="C223" s="159">
        <f>Hoja15!C14</f>
        <v>0</v>
      </c>
      <c r="D223" s="159">
        <f>Hoja15!F14</f>
        <v>0</v>
      </c>
      <c r="E223" s="160">
        <f>Hoja15!K14</f>
        <v>0</v>
      </c>
      <c r="F223" s="160">
        <f>Hoja15!L14</f>
        <v>0</v>
      </c>
      <c r="G223" s="161">
        <f t="shared" si="13"/>
        <v>0</v>
      </c>
    </row>
    <row r="224" spans="1:7" x14ac:dyDescent="0.25">
      <c r="A224" s="157" t="str">
        <f>IFERROR(DATEVALUE(CONCATENATE(CONCATENATE(REPT("0",2-LEN(Hoja15!A15)),Hoja15!A15),"/",CONCATENATE(REPT("0",2-LEN(Hoja15!B15)),Hoja15!B15),"/",Hoja15!$A$4)),"")</f>
        <v/>
      </c>
      <c r="B224" s="158" t="str">
        <f>CONCATENATE(Hoja15!D15,"-",Hoja15!E15)</f>
        <v>-</v>
      </c>
      <c r="C224" s="159">
        <f>Hoja15!C15</f>
        <v>0</v>
      </c>
      <c r="D224" s="159">
        <f>Hoja15!F15</f>
        <v>0</v>
      </c>
      <c r="E224" s="160">
        <f>Hoja15!K15</f>
        <v>0</v>
      </c>
      <c r="F224" s="160">
        <f>Hoja15!L15</f>
        <v>0</v>
      </c>
      <c r="G224" s="161">
        <f t="shared" si="13"/>
        <v>0</v>
      </c>
    </row>
    <row r="225" spans="1:7" x14ac:dyDescent="0.25">
      <c r="A225" s="157" t="str">
        <f>IFERROR(DATEVALUE(CONCATENATE(CONCATENATE(REPT("0",2-LEN(Hoja15!A16)),Hoja15!A16),"/",CONCATENATE(REPT("0",2-LEN(Hoja15!B16)),Hoja15!B16),"/",Hoja15!$A$4)),"")</f>
        <v/>
      </c>
      <c r="B225" s="158" t="str">
        <f>CONCATENATE(Hoja15!D16,"-",Hoja15!E16)</f>
        <v>-</v>
      </c>
      <c r="C225" s="159">
        <f>Hoja15!C16</f>
        <v>0</v>
      </c>
      <c r="D225" s="159">
        <f>Hoja15!F16</f>
        <v>0</v>
      </c>
      <c r="E225" s="160">
        <f>Hoja15!K16</f>
        <v>0</v>
      </c>
      <c r="F225" s="160">
        <f>Hoja15!L16</f>
        <v>0</v>
      </c>
      <c r="G225" s="161">
        <f t="shared" si="13"/>
        <v>0</v>
      </c>
    </row>
    <row r="226" spans="1:7" x14ac:dyDescent="0.25">
      <c r="A226" s="157" t="str">
        <f>IFERROR(DATEVALUE(CONCATENATE(CONCATENATE(REPT("0",2-LEN(Hoja15!A17)),Hoja15!A17),"/",CONCATENATE(REPT("0",2-LEN(Hoja15!B17)),Hoja15!B17),"/",Hoja15!$A$4)),"")</f>
        <v/>
      </c>
      <c r="B226" s="158" t="str">
        <f>CONCATENATE(Hoja15!D17,"-",Hoja15!E17)</f>
        <v>-</v>
      </c>
      <c r="C226" s="159">
        <f>Hoja15!C17</f>
        <v>0</v>
      </c>
      <c r="D226" s="159">
        <f>Hoja15!F17</f>
        <v>0</v>
      </c>
      <c r="E226" s="160">
        <f>Hoja15!K17</f>
        <v>0</v>
      </c>
      <c r="F226" s="160">
        <f>Hoja15!L17</f>
        <v>0</v>
      </c>
      <c r="G226" s="161">
        <f t="shared" si="13"/>
        <v>0</v>
      </c>
    </row>
    <row r="227" spans="1:7" x14ac:dyDescent="0.25">
      <c r="A227" s="157" t="str">
        <f>IFERROR(DATEVALUE(CONCATENATE(CONCATENATE(REPT("0",2-LEN(Hoja15!A18)),Hoja15!A18),"/",CONCATENATE(REPT("0",2-LEN(Hoja15!B18)),Hoja15!B18),"/",Hoja15!$A$4)),"")</f>
        <v/>
      </c>
      <c r="B227" s="158" t="str">
        <f>CONCATENATE(Hoja15!D18,"-",Hoja15!E18)</f>
        <v>-</v>
      </c>
      <c r="C227" s="159">
        <f>Hoja15!C18</f>
        <v>0</v>
      </c>
      <c r="D227" s="159">
        <f>Hoja15!F18</f>
        <v>0</v>
      </c>
      <c r="E227" s="160">
        <f>Hoja15!K18</f>
        <v>0</v>
      </c>
      <c r="F227" s="160">
        <f>Hoja15!L18</f>
        <v>0</v>
      </c>
      <c r="G227" s="161">
        <f t="shared" si="13"/>
        <v>0</v>
      </c>
    </row>
    <row r="228" spans="1:7" x14ac:dyDescent="0.25">
      <c r="A228" s="157" t="str">
        <f>IFERROR(DATEVALUE(CONCATENATE(CONCATENATE(REPT("0",2-LEN(Hoja15!A19)),Hoja15!A19),"/",CONCATENATE(REPT("0",2-LEN(Hoja15!B19)),Hoja15!B19),"/",Hoja15!$A$4)),"")</f>
        <v/>
      </c>
      <c r="B228" s="158" t="str">
        <f>CONCATENATE(Hoja15!D19,"-",Hoja15!E19)</f>
        <v>-</v>
      </c>
      <c r="C228" s="159">
        <f>Hoja15!C19</f>
        <v>0</v>
      </c>
      <c r="D228" s="159">
        <f>Hoja15!F19</f>
        <v>0</v>
      </c>
      <c r="E228" s="160">
        <f>Hoja15!K19</f>
        <v>0</v>
      </c>
      <c r="F228" s="160">
        <f>Hoja15!L19</f>
        <v>0</v>
      </c>
      <c r="G228" s="161">
        <f t="shared" si="13"/>
        <v>0</v>
      </c>
    </row>
    <row r="229" spans="1:7" x14ac:dyDescent="0.25">
      <c r="A229" s="157" t="str">
        <f>IFERROR(DATEVALUE(CONCATENATE(CONCATENATE(REPT("0",2-LEN(Hoja15!A20)),Hoja15!A20),"/",CONCATENATE(REPT("0",2-LEN(Hoja15!B20)),Hoja15!B20),"/",Hoja15!$A$4)),"")</f>
        <v/>
      </c>
      <c r="B229" s="158" t="str">
        <f>CONCATENATE(Hoja15!D20,"-",Hoja15!E20)</f>
        <v>-</v>
      </c>
      <c r="C229" s="159">
        <f>Hoja15!C20</f>
        <v>0</v>
      </c>
      <c r="D229" s="159">
        <f>Hoja15!F20</f>
        <v>0</v>
      </c>
      <c r="E229" s="160">
        <f>Hoja15!K20</f>
        <v>0</v>
      </c>
      <c r="F229" s="160">
        <f>Hoja15!L20</f>
        <v>0</v>
      </c>
      <c r="G229" s="161">
        <f t="shared" si="13"/>
        <v>0</v>
      </c>
    </row>
    <row r="230" spans="1:7" ht="13.8" thickBot="1" x14ac:dyDescent="0.3">
      <c r="A230" s="176" t="str">
        <f>IFERROR(DATEVALUE(CONCATENATE(CONCATENATE(REPT("0",2-LEN(Hoja15!A21)),Hoja15!A21),"/",CONCATENATE(REPT("0",2-LEN(Hoja15!B21)),Hoja15!B21),"/",Hoja15!$A$4)),"")</f>
        <v/>
      </c>
      <c r="B230" s="177" t="str">
        <f>CONCATENATE(Hoja15!D21,"-",Hoja15!E21)</f>
        <v>-</v>
      </c>
      <c r="C230" s="178">
        <f>Hoja15!C21</f>
        <v>0</v>
      </c>
      <c r="D230" s="178">
        <f>Hoja15!F21</f>
        <v>0</v>
      </c>
      <c r="E230" s="179">
        <f>Hoja15!K21</f>
        <v>0</v>
      </c>
      <c r="F230" s="179">
        <f>Hoja15!L21</f>
        <v>0</v>
      </c>
      <c r="G230" s="180">
        <f t="shared" si="13"/>
        <v>0</v>
      </c>
    </row>
    <row r="231" spans="1:7" x14ac:dyDescent="0.25">
      <c r="A231" s="167" t="str">
        <f>IFERROR(DATEVALUE(CONCATENATE(CONCATENATE(REPT("0",2-LEN(Hoja16!A7)),Hoja16!A7),"/",CONCATENATE(REPT("0",2-LEN(Hoja16!B7)),Hoja16!B7),"/",Hoja16!$A$4)),"")</f>
        <v/>
      </c>
      <c r="B231" s="168" t="str">
        <f>CONCATENATE(Hoja16!D7,"-",Hoja16!E7)</f>
        <v>-</v>
      </c>
      <c r="C231" s="169">
        <f>Hoja16!C7</f>
        <v>0</v>
      </c>
      <c r="D231" s="169">
        <f>Hoja16!F7</f>
        <v>0</v>
      </c>
      <c r="E231" s="134">
        <f>Hoja16!K7</f>
        <v>0</v>
      </c>
      <c r="F231" s="134">
        <f>Hoja16!L7</f>
        <v>0</v>
      </c>
      <c r="G231" s="135">
        <f t="shared" si="11"/>
        <v>0</v>
      </c>
    </row>
    <row r="232" spans="1:7" x14ac:dyDescent="0.25">
      <c r="A232" s="170" t="str">
        <f>IFERROR(DATEVALUE(CONCATENATE(CONCATENATE(REPT("0",2-LEN(Hoja16!A8)),Hoja16!A8),"/",CONCATENATE(REPT("0",2-LEN(Hoja16!B8)),Hoja16!B8),"/",Hoja16!$A$4)),"")</f>
        <v/>
      </c>
      <c r="B232" s="171" t="str">
        <f>CONCATENATE(Hoja16!D8,"-",Hoja16!E8)</f>
        <v>-</v>
      </c>
      <c r="C232" s="172">
        <f>Hoja16!C8</f>
        <v>0</v>
      </c>
      <c r="D232" s="172">
        <f>Hoja16!F8</f>
        <v>0</v>
      </c>
      <c r="E232" s="126">
        <f>Hoja16!K8</f>
        <v>0</v>
      </c>
      <c r="F232" s="126">
        <f>Hoja16!L8</f>
        <v>0</v>
      </c>
      <c r="G232" s="127">
        <f t="shared" ref="G232:G245" si="14">+E232+F232</f>
        <v>0</v>
      </c>
    </row>
    <row r="233" spans="1:7" x14ac:dyDescent="0.25">
      <c r="A233" s="170" t="str">
        <f>IFERROR(DATEVALUE(CONCATENATE(CONCATENATE(REPT("0",2-LEN(Hoja16!A9)),Hoja16!A9),"/",CONCATENATE(REPT("0",2-LEN(Hoja16!B9)),Hoja16!B9),"/",Hoja16!$A$4)),"")</f>
        <v/>
      </c>
      <c r="B233" s="171" t="str">
        <f>CONCATENATE(Hoja16!D9,"-",Hoja16!E9)</f>
        <v>-</v>
      </c>
      <c r="C233" s="172">
        <f>Hoja16!C9</f>
        <v>0</v>
      </c>
      <c r="D233" s="172">
        <f>Hoja16!F9</f>
        <v>0</v>
      </c>
      <c r="E233" s="126">
        <f>Hoja16!K9</f>
        <v>0</v>
      </c>
      <c r="F233" s="126">
        <f>Hoja16!L9</f>
        <v>0</v>
      </c>
      <c r="G233" s="127">
        <f t="shared" si="14"/>
        <v>0</v>
      </c>
    </row>
    <row r="234" spans="1:7" x14ac:dyDescent="0.25">
      <c r="A234" s="170" t="str">
        <f>IFERROR(DATEVALUE(CONCATENATE(CONCATENATE(REPT("0",2-LEN(Hoja16!A10)),Hoja16!A10),"/",CONCATENATE(REPT("0",2-LEN(Hoja16!B10)),Hoja16!B10),"/",Hoja16!$A$4)),"")</f>
        <v/>
      </c>
      <c r="B234" s="171" t="str">
        <f>CONCATENATE(Hoja16!D10,"-",Hoja16!E10)</f>
        <v>-</v>
      </c>
      <c r="C234" s="172">
        <f>Hoja16!C10</f>
        <v>0</v>
      </c>
      <c r="D234" s="172">
        <f>Hoja16!F10</f>
        <v>0</v>
      </c>
      <c r="E234" s="126">
        <f>Hoja16!K10</f>
        <v>0</v>
      </c>
      <c r="F234" s="126">
        <f>Hoja16!L10</f>
        <v>0</v>
      </c>
      <c r="G234" s="127">
        <f t="shared" si="14"/>
        <v>0</v>
      </c>
    </row>
    <row r="235" spans="1:7" x14ac:dyDescent="0.25">
      <c r="A235" s="170" t="str">
        <f>IFERROR(DATEVALUE(CONCATENATE(CONCATENATE(REPT("0",2-LEN(Hoja16!A11)),Hoja16!A11),"/",CONCATENATE(REPT("0",2-LEN(Hoja16!B11)),Hoja16!B11),"/",Hoja16!$A$4)),"")</f>
        <v/>
      </c>
      <c r="B235" s="171" t="str">
        <f>CONCATENATE(Hoja16!D11,"-",Hoja16!E11)</f>
        <v>-</v>
      </c>
      <c r="C235" s="172">
        <f>Hoja16!C11</f>
        <v>0</v>
      </c>
      <c r="D235" s="172">
        <f>Hoja16!F11</f>
        <v>0</v>
      </c>
      <c r="E235" s="126">
        <f>Hoja16!K11</f>
        <v>0</v>
      </c>
      <c r="F235" s="126">
        <f>Hoja16!L11</f>
        <v>0</v>
      </c>
      <c r="G235" s="127">
        <f t="shared" si="14"/>
        <v>0</v>
      </c>
    </row>
    <row r="236" spans="1:7" x14ac:dyDescent="0.25">
      <c r="A236" s="170" t="str">
        <f>IFERROR(DATEVALUE(CONCATENATE(CONCATENATE(REPT("0",2-LEN(Hoja16!A12)),Hoja16!A12),"/",CONCATENATE(REPT("0",2-LEN(Hoja16!B12)),Hoja16!B12),"/",Hoja16!$A$4)),"")</f>
        <v/>
      </c>
      <c r="B236" s="171" t="str">
        <f>CONCATENATE(Hoja16!D12,"-",Hoja16!E12)</f>
        <v>-</v>
      </c>
      <c r="C236" s="172">
        <f>Hoja16!C12</f>
        <v>0</v>
      </c>
      <c r="D236" s="172">
        <f>Hoja16!F12</f>
        <v>0</v>
      </c>
      <c r="E236" s="126">
        <f>Hoja16!K12</f>
        <v>0</v>
      </c>
      <c r="F236" s="126">
        <f>Hoja16!L12</f>
        <v>0</v>
      </c>
      <c r="G236" s="127">
        <f t="shared" si="14"/>
        <v>0</v>
      </c>
    </row>
    <row r="237" spans="1:7" x14ac:dyDescent="0.25">
      <c r="A237" s="170" t="str">
        <f>IFERROR(DATEVALUE(CONCATENATE(CONCATENATE(REPT("0",2-LEN(Hoja16!A13)),Hoja16!A13),"/",CONCATENATE(REPT("0",2-LEN(Hoja16!B13)),Hoja16!B13),"/",Hoja16!$A$4)),"")</f>
        <v/>
      </c>
      <c r="B237" s="171" t="str">
        <f>CONCATENATE(Hoja16!D13,"-",Hoja16!E13)</f>
        <v>-</v>
      </c>
      <c r="C237" s="172">
        <f>Hoja16!C13</f>
        <v>0</v>
      </c>
      <c r="D237" s="172">
        <f>Hoja16!F13</f>
        <v>0</v>
      </c>
      <c r="E237" s="126">
        <f>Hoja16!K13</f>
        <v>0</v>
      </c>
      <c r="F237" s="126">
        <f>Hoja16!L13</f>
        <v>0</v>
      </c>
      <c r="G237" s="127">
        <f t="shared" si="14"/>
        <v>0</v>
      </c>
    </row>
    <row r="238" spans="1:7" x14ac:dyDescent="0.25">
      <c r="A238" s="170" t="str">
        <f>IFERROR(DATEVALUE(CONCATENATE(CONCATENATE(REPT("0",2-LEN(Hoja16!A14)),Hoja16!A14),"/",CONCATENATE(REPT("0",2-LEN(Hoja16!B14)),Hoja16!B14),"/",Hoja16!$A$4)),"")</f>
        <v/>
      </c>
      <c r="B238" s="171" t="str">
        <f>CONCATENATE(Hoja16!D14,"-",Hoja16!E14)</f>
        <v>-</v>
      </c>
      <c r="C238" s="172">
        <f>Hoja16!C14</f>
        <v>0</v>
      </c>
      <c r="D238" s="172">
        <f>Hoja16!F14</f>
        <v>0</v>
      </c>
      <c r="E238" s="126">
        <f>Hoja16!K14</f>
        <v>0</v>
      </c>
      <c r="F238" s="126">
        <f>Hoja16!L14</f>
        <v>0</v>
      </c>
      <c r="G238" s="127">
        <f t="shared" si="14"/>
        <v>0</v>
      </c>
    </row>
    <row r="239" spans="1:7" x14ac:dyDescent="0.25">
      <c r="A239" s="170" t="str">
        <f>IFERROR(DATEVALUE(CONCATENATE(CONCATENATE(REPT("0",2-LEN(Hoja16!A15)),Hoja16!A15),"/",CONCATENATE(REPT("0",2-LEN(Hoja16!B15)),Hoja16!B15),"/",Hoja16!$A$4)),"")</f>
        <v/>
      </c>
      <c r="B239" s="171" t="str">
        <f>CONCATENATE(Hoja16!D15,"-",Hoja16!E15)</f>
        <v>-</v>
      </c>
      <c r="C239" s="172">
        <f>Hoja16!C15</f>
        <v>0</v>
      </c>
      <c r="D239" s="172">
        <f>Hoja16!F15</f>
        <v>0</v>
      </c>
      <c r="E239" s="126">
        <f>Hoja16!K15</f>
        <v>0</v>
      </c>
      <c r="F239" s="126">
        <f>Hoja16!L15</f>
        <v>0</v>
      </c>
      <c r="G239" s="127">
        <f t="shared" si="14"/>
        <v>0</v>
      </c>
    </row>
    <row r="240" spans="1:7" x14ac:dyDescent="0.25">
      <c r="A240" s="170" t="str">
        <f>IFERROR(DATEVALUE(CONCATENATE(CONCATENATE(REPT("0",2-LEN(Hoja16!A16)),Hoja16!A16),"/",CONCATENATE(REPT("0",2-LEN(Hoja16!B16)),Hoja16!B16),"/",Hoja16!$A$4)),"")</f>
        <v/>
      </c>
      <c r="B240" s="171" t="str">
        <f>CONCATENATE(Hoja16!D16,"-",Hoja16!E16)</f>
        <v>-</v>
      </c>
      <c r="C240" s="172">
        <f>Hoja16!C16</f>
        <v>0</v>
      </c>
      <c r="D240" s="172">
        <f>Hoja16!F16</f>
        <v>0</v>
      </c>
      <c r="E240" s="126">
        <f>Hoja16!K16</f>
        <v>0</v>
      </c>
      <c r="F240" s="126">
        <f>Hoja16!L16</f>
        <v>0</v>
      </c>
      <c r="G240" s="127">
        <f t="shared" si="14"/>
        <v>0</v>
      </c>
    </row>
    <row r="241" spans="1:7" x14ac:dyDescent="0.25">
      <c r="A241" s="170" t="str">
        <f>IFERROR(DATEVALUE(CONCATENATE(CONCATENATE(REPT("0",2-LEN(Hoja16!A17)),Hoja16!A17),"/",CONCATENATE(REPT("0",2-LEN(Hoja16!B17)),Hoja16!B17),"/",Hoja16!$A$4)),"")</f>
        <v/>
      </c>
      <c r="B241" s="171" t="str">
        <f>CONCATENATE(Hoja16!D17,"-",Hoja16!E17)</f>
        <v>-</v>
      </c>
      <c r="C241" s="172">
        <f>Hoja16!C17</f>
        <v>0</v>
      </c>
      <c r="D241" s="172">
        <f>Hoja16!F17</f>
        <v>0</v>
      </c>
      <c r="E241" s="126">
        <f>Hoja16!K17</f>
        <v>0</v>
      </c>
      <c r="F241" s="126">
        <f>Hoja16!L17</f>
        <v>0</v>
      </c>
      <c r="G241" s="127">
        <f t="shared" si="14"/>
        <v>0</v>
      </c>
    </row>
    <row r="242" spans="1:7" x14ac:dyDescent="0.25">
      <c r="A242" s="170" t="str">
        <f>IFERROR(DATEVALUE(CONCATENATE(CONCATENATE(REPT("0",2-LEN(Hoja16!A18)),Hoja16!A18),"/",CONCATENATE(REPT("0",2-LEN(Hoja16!B18)),Hoja16!B18),"/",Hoja16!$A$4)),"")</f>
        <v/>
      </c>
      <c r="B242" s="171" t="str">
        <f>CONCATENATE(Hoja16!D18,"-",Hoja16!E18)</f>
        <v>-</v>
      </c>
      <c r="C242" s="172">
        <f>Hoja16!C18</f>
        <v>0</v>
      </c>
      <c r="D242" s="172">
        <f>Hoja16!F18</f>
        <v>0</v>
      </c>
      <c r="E242" s="126">
        <f>Hoja16!K18</f>
        <v>0</v>
      </c>
      <c r="F242" s="126">
        <f>Hoja16!L18</f>
        <v>0</v>
      </c>
      <c r="G242" s="127">
        <f t="shared" si="14"/>
        <v>0</v>
      </c>
    </row>
    <row r="243" spans="1:7" x14ac:dyDescent="0.25">
      <c r="A243" s="170" t="str">
        <f>IFERROR(DATEVALUE(CONCATENATE(CONCATENATE(REPT("0",2-LEN(Hoja16!A19)),Hoja16!A19),"/",CONCATENATE(REPT("0",2-LEN(Hoja16!B19)),Hoja16!B19),"/",Hoja16!$A$4)),"")</f>
        <v/>
      </c>
      <c r="B243" s="171" t="str">
        <f>CONCATENATE(Hoja16!D19,"-",Hoja16!E19)</f>
        <v>-</v>
      </c>
      <c r="C243" s="172">
        <f>Hoja16!C19</f>
        <v>0</v>
      </c>
      <c r="D243" s="172">
        <f>Hoja16!F19</f>
        <v>0</v>
      </c>
      <c r="E243" s="126">
        <f>Hoja16!K19</f>
        <v>0</v>
      </c>
      <c r="F243" s="126">
        <f>Hoja16!L19</f>
        <v>0</v>
      </c>
      <c r="G243" s="127">
        <f t="shared" si="14"/>
        <v>0</v>
      </c>
    </row>
    <row r="244" spans="1:7" x14ac:dyDescent="0.25">
      <c r="A244" s="170" t="str">
        <f>IFERROR(DATEVALUE(CONCATENATE(CONCATENATE(REPT("0",2-LEN(Hoja16!A20)),Hoja16!A20),"/",CONCATENATE(REPT("0",2-LEN(Hoja16!B20)),Hoja16!B20),"/",Hoja16!$A$4)),"")</f>
        <v/>
      </c>
      <c r="B244" s="171" t="str">
        <f>CONCATENATE(Hoja16!D20,"-",Hoja16!E20)</f>
        <v>-</v>
      </c>
      <c r="C244" s="172">
        <f>Hoja16!C20</f>
        <v>0</v>
      </c>
      <c r="D244" s="172">
        <f>Hoja16!F20</f>
        <v>0</v>
      </c>
      <c r="E244" s="126">
        <f>Hoja16!K20</f>
        <v>0</v>
      </c>
      <c r="F244" s="126">
        <f>Hoja16!L20</f>
        <v>0</v>
      </c>
      <c r="G244" s="127">
        <f t="shared" si="14"/>
        <v>0</v>
      </c>
    </row>
    <row r="245" spans="1:7" ht="13.8" thickBot="1" x14ac:dyDescent="0.3">
      <c r="A245" s="173" t="str">
        <f>IFERROR(DATEVALUE(CONCATENATE(CONCATENATE(REPT("0",2-LEN(Hoja16!A21)),Hoja16!A21),"/",CONCATENATE(REPT("0",2-LEN(Hoja16!B21)),Hoja16!B21),"/",Hoja16!$A$4)),"")</f>
        <v/>
      </c>
      <c r="B245" s="174" t="str">
        <f>CONCATENATE(Hoja16!D21,"-",Hoja16!E21)</f>
        <v>-</v>
      </c>
      <c r="C245" s="175">
        <f>Hoja16!C21</f>
        <v>0</v>
      </c>
      <c r="D245" s="175">
        <f>Hoja16!F21</f>
        <v>0</v>
      </c>
      <c r="E245" s="128">
        <f>Hoja16!K21</f>
        <v>0</v>
      </c>
      <c r="F245" s="128">
        <f>Hoja16!L21</f>
        <v>0</v>
      </c>
      <c r="G245" s="129">
        <f t="shared" si="14"/>
        <v>0</v>
      </c>
    </row>
    <row r="246" spans="1:7" x14ac:dyDescent="0.25">
      <c r="A246" s="152" t="str">
        <f>IFERROR(DATEVALUE(CONCATENATE(CONCATENATE(REPT("0",2-LEN(Hoja17!A7)),Hoja17!A7),"/",CONCATENATE(REPT("0",2-LEN(Hoja17!B7)),Hoja17!B7),"/",Hoja17!$A$4)),"")</f>
        <v/>
      </c>
      <c r="B246" s="153" t="str">
        <f>CONCATENATE(Hoja17!D7,"-",Hoja17!E7)</f>
        <v>-</v>
      </c>
      <c r="C246" s="154">
        <f>Hoja17!C7</f>
        <v>0</v>
      </c>
      <c r="D246" s="154">
        <f>Hoja17!F7</f>
        <v>0</v>
      </c>
      <c r="E246" s="155">
        <f>Hoja17!K7</f>
        <v>0</v>
      </c>
      <c r="F246" s="155">
        <f>Hoja17!L7</f>
        <v>0</v>
      </c>
      <c r="G246" s="156">
        <f t="shared" si="11"/>
        <v>0</v>
      </c>
    </row>
    <row r="247" spans="1:7" x14ac:dyDescent="0.25">
      <c r="A247" s="157" t="str">
        <f>IFERROR(DATEVALUE(CONCATENATE(CONCATENATE(REPT("0",2-LEN(Hoja17!A8)),Hoja17!A8),"/",CONCATENATE(REPT("0",2-LEN(Hoja17!B8)),Hoja17!B8),"/",Hoja17!$A$4)),"")</f>
        <v/>
      </c>
      <c r="B247" s="158" t="str">
        <f>CONCATENATE(Hoja17!D8,"-",Hoja17!E8)</f>
        <v>-</v>
      </c>
      <c r="C247" s="159">
        <f>Hoja17!C8</f>
        <v>0</v>
      </c>
      <c r="D247" s="159">
        <f>Hoja17!F8</f>
        <v>0</v>
      </c>
      <c r="E247" s="160">
        <f>Hoja17!K8</f>
        <v>0</v>
      </c>
      <c r="F247" s="160">
        <f>Hoja17!L8</f>
        <v>0</v>
      </c>
      <c r="G247" s="161">
        <f t="shared" ref="G247:G260" si="15">+E247+F247</f>
        <v>0</v>
      </c>
    </row>
    <row r="248" spans="1:7" x14ac:dyDescent="0.25">
      <c r="A248" s="157" t="str">
        <f>IFERROR(DATEVALUE(CONCATENATE(CONCATENATE(REPT("0",2-LEN(Hoja17!A9)),Hoja17!A9),"/",CONCATENATE(REPT("0",2-LEN(Hoja17!B9)),Hoja17!B9),"/",Hoja17!$A$4)),"")</f>
        <v/>
      </c>
      <c r="B248" s="158" t="str">
        <f>CONCATENATE(Hoja17!D9,"-",Hoja17!E9)</f>
        <v>-</v>
      </c>
      <c r="C248" s="159">
        <f>Hoja17!C9</f>
        <v>0</v>
      </c>
      <c r="D248" s="159">
        <f>Hoja17!F9</f>
        <v>0</v>
      </c>
      <c r="E248" s="160">
        <f>Hoja17!K9</f>
        <v>0</v>
      </c>
      <c r="F248" s="160">
        <f>Hoja17!L9</f>
        <v>0</v>
      </c>
      <c r="G248" s="161">
        <f t="shared" si="15"/>
        <v>0</v>
      </c>
    </row>
    <row r="249" spans="1:7" x14ac:dyDescent="0.25">
      <c r="A249" s="157" t="str">
        <f>IFERROR(DATEVALUE(CONCATENATE(CONCATENATE(REPT("0",2-LEN(Hoja17!A10)),Hoja17!A10),"/",CONCATENATE(REPT("0",2-LEN(Hoja17!B10)),Hoja17!B10),"/",Hoja17!$A$4)),"")</f>
        <v/>
      </c>
      <c r="B249" s="158" t="str">
        <f>CONCATENATE(Hoja17!D10,"-",Hoja17!E10)</f>
        <v>-</v>
      </c>
      <c r="C249" s="159">
        <f>Hoja17!C10</f>
        <v>0</v>
      </c>
      <c r="D249" s="159">
        <f>Hoja17!F10</f>
        <v>0</v>
      </c>
      <c r="E249" s="160">
        <f>Hoja17!K10</f>
        <v>0</v>
      </c>
      <c r="F249" s="160">
        <f>Hoja17!L10</f>
        <v>0</v>
      </c>
      <c r="G249" s="161">
        <f t="shared" si="15"/>
        <v>0</v>
      </c>
    </row>
    <row r="250" spans="1:7" x14ac:dyDescent="0.25">
      <c r="A250" s="157" t="str">
        <f>IFERROR(DATEVALUE(CONCATENATE(CONCATENATE(REPT("0",2-LEN(Hoja17!A11)),Hoja17!A11),"/",CONCATENATE(REPT("0",2-LEN(Hoja17!B11)),Hoja17!B11),"/",Hoja17!$A$4)),"")</f>
        <v/>
      </c>
      <c r="B250" s="158" t="str">
        <f>CONCATENATE(Hoja17!D11,"-",Hoja17!E11)</f>
        <v>-</v>
      </c>
      <c r="C250" s="159">
        <f>Hoja17!C11</f>
        <v>0</v>
      </c>
      <c r="D250" s="159">
        <f>Hoja17!F11</f>
        <v>0</v>
      </c>
      <c r="E250" s="160">
        <f>Hoja17!K11</f>
        <v>0</v>
      </c>
      <c r="F250" s="160">
        <f>Hoja17!L11</f>
        <v>0</v>
      </c>
      <c r="G250" s="161">
        <f t="shared" si="15"/>
        <v>0</v>
      </c>
    </row>
    <row r="251" spans="1:7" x14ac:dyDescent="0.25">
      <c r="A251" s="157" t="str">
        <f>IFERROR(DATEVALUE(CONCATENATE(CONCATENATE(REPT("0",2-LEN(Hoja17!A12)),Hoja17!A12),"/",CONCATENATE(REPT("0",2-LEN(Hoja17!B12)),Hoja17!B12),"/",Hoja17!$A$4)),"")</f>
        <v/>
      </c>
      <c r="B251" s="158" t="str">
        <f>CONCATENATE(Hoja17!D12,"-",Hoja17!E12)</f>
        <v>-</v>
      </c>
      <c r="C251" s="159">
        <f>Hoja17!C12</f>
        <v>0</v>
      </c>
      <c r="D251" s="159">
        <f>Hoja17!F12</f>
        <v>0</v>
      </c>
      <c r="E251" s="160">
        <f>Hoja17!K12</f>
        <v>0</v>
      </c>
      <c r="F251" s="160">
        <f>Hoja17!L12</f>
        <v>0</v>
      </c>
      <c r="G251" s="161">
        <f t="shared" si="15"/>
        <v>0</v>
      </c>
    </row>
    <row r="252" spans="1:7" x14ac:dyDescent="0.25">
      <c r="A252" s="157" t="str">
        <f>IFERROR(DATEVALUE(CONCATENATE(CONCATENATE(REPT("0",2-LEN(Hoja17!A13)),Hoja17!A13),"/",CONCATENATE(REPT("0",2-LEN(Hoja17!B13)),Hoja17!B13),"/",Hoja17!$A$4)),"")</f>
        <v/>
      </c>
      <c r="B252" s="158" t="str">
        <f>CONCATENATE(Hoja17!D13,"-",Hoja17!E13)</f>
        <v>-</v>
      </c>
      <c r="C252" s="159">
        <f>Hoja17!C13</f>
        <v>0</v>
      </c>
      <c r="D252" s="159">
        <f>Hoja17!F13</f>
        <v>0</v>
      </c>
      <c r="E252" s="160">
        <f>Hoja17!K13</f>
        <v>0</v>
      </c>
      <c r="F252" s="160">
        <f>Hoja17!L13</f>
        <v>0</v>
      </c>
      <c r="G252" s="161">
        <f t="shared" si="15"/>
        <v>0</v>
      </c>
    </row>
    <row r="253" spans="1:7" x14ac:dyDescent="0.25">
      <c r="A253" s="157" t="str">
        <f>IFERROR(DATEVALUE(CONCATENATE(CONCATENATE(REPT("0",2-LEN(Hoja17!A14)),Hoja17!A14),"/",CONCATENATE(REPT("0",2-LEN(Hoja17!B14)),Hoja17!B14),"/",Hoja17!$A$4)),"")</f>
        <v/>
      </c>
      <c r="B253" s="158" t="str">
        <f>CONCATENATE(Hoja17!D14,"-",Hoja17!E14)</f>
        <v>-</v>
      </c>
      <c r="C253" s="159">
        <f>Hoja17!C14</f>
        <v>0</v>
      </c>
      <c r="D253" s="159">
        <f>Hoja17!F14</f>
        <v>0</v>
      </c>
      <c r="E253" s="160">
        <f>Hoja17!K14</f>
        <v>0</v>
      </c>
      <c r="F253" s="160">
        <f>Hoja17!L14</f>
        <v>0</v>
      </c>
      <c r="G253" s="161">
        <f t="shared" si="15"/>
        <v>0</v>
      </c>
    </row>
    <row r="254" spans="1:7" x14ac:dyDescent="0.25">
      <c r="A254" s="157" t="str">
        <f>IFERROR(DATEVALUE(CONCATENATE(CONCATENATE(REPT("0",2-LEN(Hoja17!A15)),Hoja17!A15),"/",CONCATENATE(REPT("0",2-LEN(Hoja17!B15)),Hoja17!B15),"/",Hoja17!$A$4)),"")</f>
        <v/>
      </c>
      <c r="B254" s="158" t="str">
        <f>CONCATENATE(Hoja17!D15,"-",Hoja17!E15)</f>
        <v>-</v>
      </c>
      <c r="C254" s="159">
        <f>Hoja17!C15</f>
        <v>0</v>
      </c>
      <c r="D254" s="159">
        <f>Hoja17!F15</f>
        <v>0</v>
      </c>
      <c r="E254" s="160">
        <f>Hoja17!K15</f>
        <v>0</v>
      </c>
      <c r="F254" s="160">
        <f>Hoja17!L15</f>
        <v>0</v>
      </c>
      <c r="G254" s="161">
        <f t="shared" si="15"/>
        <v>0</v>
      </c>
    </row>
    <row r="255" spans="1:7" x14ac:dyDescent="0.25">
      <c r="A255" s="157" t="str">
        <f>IFERROR(DATEVALUE(CONCATENATE(CONCATENATE(REPT("0",2-LEN(Hoja17!A16)),Hoja17!A16),"/",CONCATENATE(REPT("0",2-LEN(Hoja17!B16)),Hoja17!B16),"/",Hoja17!$A$4)),"")</f>
        <v/>
      </c>
      <c r="B255" s="158" t="str">
        <f>CONCATENATE(Hoja17!D16,"-",Hoja17!E16)</f>
        <v>-</v>
      </c>
      <c r="C255" s="159">
        <f>Hoja17!C16</f>
        <v>0</v>
      </c>
      <c r="D255" s="159">
        <f>Hoja17!F16</f>
        <v>0</v>
      </c>
      <c r="E255" s="160">
        <f>Hoja17!K16</f>
        <v>0</v>
      </c>
      <c r="F255" s="160">
        <f>Hoja17!L16</f>
        <v>0</v>
      </c>
      <c r="G255" s="161">
        <f t="shared" si="15"/>
        <v>0</v>
      </c>
    </row>
    <row r="256" spans="1:7" x14ac:dyDescent="0.25">
      <c r="A256" s="157" t="str">
        <f>IFERROR(DATEVALUE(CONCATENATE(CONCATENATE(REPT("0",2-LEN(Hoja17!A17)),Hoja17!A17),"/",CONCATENATE(REPT("0",2-LEN(Hoja17!B17)),Hoja17!B17),"/",Hoja17!$A$4)),"")</f>
        <v/>
      </c>
      <c r="B256" s="158" t="str">
        <f>CONCATENATE(Hoja17!D17,"-",Hoja17!E17)</f>
        <v>-</v>
      </c>
      <c r="C256" s="159">
        <f>Hoja17!C17</f>
        <v>0</v>
      </c>
      <c r="D256" s="159">
        <f>Hoja17!F17</f>
        <v>0</v>
      </c>
      <c r="E256" s="160">
        <f>Hoja17!K17</f>
        <v>0</v>
      </c>
      <c r="F256" s="160">
        <f>Hoja17!L17</f>
        <v>0</v>
      </c>
      <c r="G256" s="161">
        <f t="shared" si="15"/>
        <v>0</v>
      </c>
    </row>
    <row r="257" spans="1:7" x14ac:dyDescent="0.25">
      <c r="A257" s="157" t="str">
        <f>IFERROR(DATEVALUE(CONCATENATE(CONCATENATE(REPT("0",2-LEN(Hoja17!A18)),Hoja17!A18),"/",CONCATENATE(REPT("0",2-LEN(Hoja17!B18)),Hoja17!B18),"/",Hoja17!$A$4)),"")</f>
        <v/>
      </c>
      <c r="B257" s="158" t="str">
        <f>CONCATENATE(Hoja17!D18,"-",Hoja17!E18)</f>
        <v>-</v>
      </c>
      <c r="C257" s="159">
        <f>Hoja17!C18</f>
        <v>0</v>
      </c>
      <c r="D257" s="159">
        <f>Hoja17!F18</f>
        <v>0</v>
      </c>
      <c r="E257" s="160">
        <f>Hoja17!K18</f>
        <v>0</v>
      </c>
      <c r="F257" s="160">
        <f>Hoja17!L18</f>
        <v>0</v>
      </c>
      <c r="G257" s="161">
        <f t="shared" si="15"/>
        <v>0</v>
      </c>
    </row>
    <row r="258" spans="1:7" x14ac:dyDescent="0.25">
      <c r="A258" s="157" t="str">
        <f>IFERROR(DATEVALUE(CONCATENATE(CONCATENATE(REPT("0",2-LEN(Hoja17!A19)),Hoja17!A19),"/",CONCATENATE(REPT("0",2-LEN(Hoja17!B19)),Hoja17!B19),"/",Hoja17!$A$4)),"")</f>
        <v/>
      </c>
      <c r="B258" s="158" t="str">
        <f>CONCATENATE(Hoja17!D19,"-",Hoja17!E19)</f>
        <v>-</v>
      </c>
      <c r="C258" s="159">
        <f>Hoja17!C19</f>
        <v>0</v>
      </c>
      <c r="D258" s="159">
        <f>Hoja17!F19</f>
        <v>0</v>
      </c>
      <c r="E258" s="160">
        <f>Hoja17!K19</f>
        <v>0</v>
      </c>
      <c r="F258" s="160">
        <f>Hoja17!L19</f>
        <v>0</v>
      </c>
      <c r="G258" s="161">
        <f t="shared" si="15"/>
        <v>0</v>
      </c>
    </row>
    <row r="259" spans="1:7" x14ac:dyDescent="0.25">
      <c r="A259" s="157" t="str">
        <f>IFERROR(DATEVALUE(CONCATENATE(CONCATENATE(REPT("0",2-LEN(Hoja17!A20)),Hoja17!A20),"/",CONCATENATE(REPT("0",2-LEN(Hoja17!B20)),Hoja17!B20),"/",Hoja17!$A$4)),"")</f>
        <v/>
      </c>
      <c r="B259" s="158" t="str">
        <f>CONCATENATE(Hoja17!D20,"-",Hoja17!E20)</f>
        <v>-</v>
      </c>
      <c r="C259" s="159">
        <f>Hoja17!C20</f>
        <v>0</v>
      </c>
      <c r="D259" s="159">
        <f>Hoja17!F20</f>
        <v>0</v>
      </c>
      <c r="E259" s="160">
        <f>Hoja17!K20</f>
        <v>0</v>
      </c>
      <c r="F259" s="160">
        <f>Hoja17!L20</f>
        <v>0</v>
      </c>
      <c r="G259" s="161">
        <f t="shared" si="15"/>
        <v>0</v>
      </c>
    </row>
    <row r="260" spans="1:7" ht="13.8" thickBot="1" x14ac:dyDescent="0.3">
      <c r="A260" s="176" t="str">
        <f>IFERROR(DATEVALUE(CONCATENATE(CONCATENATE(REPT("0",2-LEN(Hoja17!A21)),Hoja17!A21),"/",CONCATENATE(REPT("0",2-LEN(Hoja17!B21)),Hoja17!B21),"/",Hoja17!$A$4)),"")</f>
        <v/>
      </c>
      <c r="B260" s="177" t="str">
        <f>CONCATENATE(Hoja17!D21,"-",Hoja17!E21)</f>
        <v>-</v>
      </c>
      <c r="C260" s="178">
        <f>Hoja17!C21</f>
        <v>0</v>
      </c>
      <c r="D260" s="178">
        <f>Hoja17!F21</f>
        <v>0</v>
      </c>
      <c r="E260" s="179">
        <f>Hoja17!K21</f>
        <v>0</v>
      </c>
      <c r="F260" s="179">
        <f>Hoja17!L21</f>
        <v>0</v>
      </c>
      <c r="G260" s="180">
        <f t="shared" si="15"/>
        <v>0</v>
      </c>
    </row>
    <row r="261" spans="1:7" x14ac:dyDescent="0.25">
      <c r="A261" s="167" t="str">
        <f>IFERROR(DATEVALUE(CONCATENATE(CONCATENATE(REPT("0",2-LEN(Hoja18!A7)),Hoja18!A7),"/",CONCATENATE(REPT("0",2-LEN(Hoja18!B7)),Hoja18!B7),"/",Hoja18!$A$4)),"")</f>
        <v/>
      </c>
      <c r="B261" s="168" t="str">
        <f>CONCATENATE(Hoja18!D7,"-",Hoja18!E7)</f>
        <v>-</v>
      </c>
      <c r="C261" s="169">
        <f>Hoja18!C7</f>
        <v>0</v>
      </c>
      <c r="D261" s="169">
        <f>Hoja18!F7</f>
        <v>0</v>
      </c>
      <c r="E261" s="134">
        <f>Hoja18!K7</f>
        <v>0</v>
      </c>
      <c r="F261" s="134">
        <f>Hoja18!L7</f>
        <v>0</v>
      </c>
      <c r="G261" s="135">
        <f t="shared" si="11"/>
        <v>0</v>
      </c>
    </row>
    <row r="262" spans="1:7" x14ac:dyDescent="0.25">
      <c r="A262" s="170" t="str">
        <f>IFERROR(DATEVALUE(CONCATENATE(CONCATENATE(REPT("0",2-LEN(Hoja18!A8)),Hoja18!A8),"/",CONCATENATE(REPT("0",2-LEN(Hoja18!B8)),Hoja18!B8),"/",Hoja18!$A$4)),"")</f>
        <v/>
      </c>
      <c r="B262" s="171" t="str">
        <f>CONCATENATE(Hoja18!D8,"-",Hoja18!E8)</f>
        <v>-</v>
      </c>
      <c r="C262" s="172">
        <f>Hoja18!C8</f>
        <v>0</v>
      </c>
      <c r="D262" s="172">
        <f>Hoja18!F8</f>
        <v>0</v>
      </c>
      <c r="E262" s="126">
        <f>Hoja18!K8</f>
        <v>0</v>
      </c>
      <c r="F262" s="126">
        <f>Hoja18!L8</f>
        <v>0</v>
      </c>
      <c r="G262" s="127">
        <f t="shared" ref="G262:G275" si="16">+E262+F262</f>
        <v>0</v>
      </c>
    </row>
    <row r="263" spans="1:7" x14ac:dyDescent="0.25">
      <c r="A263" s="170" t="str">
        <f>IFERROR(DATEVALUE(CONCATENATE(CONCATENATE(REPT("0",2-LEN(Hoja18!A9)),Hoja18!A9),"/",CONCATENATE(REPT("0",2-LEN(Hoja18!B9)),Hoja18!B9),"/",Hoja18!$A$4)),"")</f>
        <v/>
      </c>
      <c r="B263" s="171" t="str">
        <f>CONCATENATE(Hoja18!D9,"-",Hoja18!E9)</f>
        <v>-</v>
      </c>
      <c r="C263" s="172">
        <f>Hoja18!C9</f>
        <v>0</v>
      </c>
      <c r="D263" s="172">
        <f>Hoja18!F9</f>
        <v>0</v>
      </c>
      <c r="E263" s="126">
        <f>Hoja18!K9</f>
        <v>0</v>
      </c>
      <c r="F263" s="126">
        <f>Hoja18!L9</f>
        <v>0</v>
      </c>
      <c r="G263" s="127">
        <f t="shared" si="16"/>
        <v>0</v>
      </c>
    </row>
    <row r="264" spans="1:7" x14ac:dyDescent="0.25">
      <c r="A264" s="170" t="str">
        <f>IFERROR(DATEVALUE(CONCATENATE(CONCATENATE(REPT("0",2-LEN(Hoja18!A10)),Hoja18!A10),"/",CONCATENATE(REPT("0",2-LEN(Hoja18!B10)),Hoja18!B10),"/",Hoja18!$A$4)),"")</f>
        <v/>
      </c>
      <c r="B264" s="171" t="str">
        <f>CONCATENATE(Hoja18!D10,"-",Hoja18!E10)</f>
        <v>-</v>
      </c>
      <c r="C264" s="172">
        <f>Hoja18!C10</f>
        <v>0</v>
      </c>
      <c r="D264" s="172">
        <f>Hoja18!F10</f>
        <v>0</v>
      </c>
      <c r="E264" s="126">
        <f>Hoja18!K10</f>
        <v>0</v>
      </c>
      <c r="F264" s="126">
        <f>Hoja18!L10</f>
        <v>0</v>
      </c>
      <c r="G264" s="127">
        <f t="shared" si="16"/>
        <v>0</v>
      </c>
    </row>
    <row r="265" spans="1:7" x14ac:dyDescent="0.25">
      <c r="A265" s="170" t="str">
        <f>IFERROR(DATEVALUE(CONCATENATE(CONCATENATE(REPT("0",2-LEN(Hoja18!A11)),Hoja18!A11),"/",CONCATENATE(REPT("0",2-LEN(Hoja18!B11)),Hoja18!B11),"/",Hoja18!$A$4)),"")</f>
        <v/>
      </c>
      <c r="B265" s="171" t="str">
        <f>CONCATENATE(Hoja18!D11,"-",Hoja18!E11)</f>
        <v>-</v>
      </c>
      <c r="C265" s="172">
        <f>Hoja18!C11</f>
        <v>0</v>
      </c>
      <c r="D265" s="172">
        <f>Hoja18!F11</f>
        <v>0</v>
      </c>
      <c r="E265" s="126">
        <f>Hoja18!K11</f>
        <v>0</v>
      </c>
      <c r="F265" s="126">
        <f>Hoja18!L11</f>
        <v>0</v>
      </c>
      <c r="G265" s="127">
        <f t="shared" si="16"/>
        <v>0</v>
      </c>
    </row>
    <row r="266" spans="1:7" x14ac:dyDescent="0.25">
      <c r="A266" s="170" t="str">
        <f>IFERROR(DATEVALUE(CONCATENATE(CONCATENATE(REPT("0",2-LEN(Hoja18!A12)),Hoja18!A12),"/",CONCATENATE(REPT("0",2-LEN(Hoja18!B12)),Hoja18!B12),"/",Hoja18!$A$4)),"")</f>
        <v/>
      </c>
      <c r="B266" s="171" t="str">
        <f>CONCATENATE(Hoja18!D12,"-",Hoja18!E12)</f>
        <v>-</v>
      </c>
      <c r="C266" s="172">
        <f>Hoja18!C12</f>
        <v>0</v>
      </c>
      <c r="D266" s="172">
        <f>Hoja18!F12</f>
        <v>0</v>
      </c>
      <c r="E266" s="126">
        <f>Hoja18!K12</f>
        <v>0</v>
      </c>
      <c r="F266" s="126">
        <f>Hoja18!L12</f>
        <v>0</v>
      </c>
      <c r="G266" s="127">
        <f t="shared" si="16"/>
        <v>0</v>
      </c>
    </row>
    <row r="267" spans="1:7" x14ac:dyDescent="0.25">
      <c r="A267" s="170" t="str">
        <f>IFERROR(DATEVALUE(CONCATENATE(CONCATENATE(REPT("0",2-LEN(Hoja18!A13)),Hoja18!A13),"/",CONCATENATE(REPT("0",2-LEN(Hoja18!B13)),Hoja18!B13),"/",Hoja18!$A$4)),"")</f>
        <v/>
      </c>
      <c r="B267" s="171" t="str">
        <f>CONCATENATE(Hoja18!D13,"-",Hoja18!E13)</f>
        <v>-</v>
      </c>
      <c r="C267" s="172">
        <f>Hoja18!C13</f>
        <v>0</v>
      </c>
      <c r="D267" s="172">
        <f>Hoja18!F13</f>
        <v>0</v>
      </c>
      <c r="E267" s="126">
        <f>Hoja18!K13</f>
        <v>0</v>
      </c>
      <c r="F267" s="126">
        <f>Hoja18!L13</f>
        <v>0</v>
      </c>
      <c r="G267" s="127">
        <f t="shared" si="16"/>
        <v>0</v>
      </c>
    </row>
    <row r="268" spans="1:7" x14ac:dyDescent="0.25">
      <c r="A268" s="170" t="str">
        <f>IFERROR(DATEVALUE(CONCATENATE(CONCATENATE(REPT("0",2-LEN(Hoja18!A14)),Hoja18!A14),"/",CONCATENATE(REPT("0",2-LEN(Hoja18!B14)),Hoja18!B14),"/",Hoja18!$A$4)),"")</f>
        <v/>
      </c>
      <c r="B268" s="171" t="str">
        <f>CONCATENATE(Hoja18!D14,"-",Hoja18!E14)</f>
        <v>-</v>
      </c>
      <c r="C268" s="172">
        <f>Hoja18!C14</f>
        <v>0</v>
      </c>
      <c r="D268" s="172">
        <f>Hoja18!F14</f>
        <v>0</v>
      </c>
      <c r="E268" s="126">
        <f>Hoja18!K14</f>
        <v>0</v>
      </c>
      <c r="F268" s="126">
        <f>Hoja18!L14</f>
        <v>0</v>
      </c>
      <c r="G268" s="127">
        <f t="shared" si="16"/>
        <v>0</v>
      </c>
    </row>
    <row r="269" spans="1:7" x14ac:dyDescent="0.25">
      <c r="A269" s="170" t="str">
        <f>IFERROR(DATEVALUE(CONCATENATE(CONCATENATE(REPT("0",2-LEN(Hoja18!A15)),Hoja18!A15),"/",CONCATENATE(REPT("0",2-LEN(Hoja18!B15)),Hoja18!B15),"/",Hoja18!$A$4)),"")</f>
        <v/>
      </c>
      <c r="B269" s="171" t="str">
        <f>CONCATENATE(Hoja18!D15,"-",Hoja18!E15)</f>
        <v>-</v>
      </c>
      <c r="C269" s="172">
        <f>Hoja18!C15</f>
        <v>0</v>
      </c>
      <c r="D269" s="172">
        <f>Hoja18!F15</f>
        <v>0</v>
      </c>
      <c r="E269" s="126">
        <f>Hoja18!K15</f>
        <v>0</v>
      </c>
      <c r="F269" s="126">
        <f>Hoja18!L15</f>
        <v>0</v>
      </c>
      <c r="G269" s="127">
        <f t="shared" si="16"/>
        <v>0</v>
      </c>
    </row>
    <row r="270" spans="1:7" x14ac:dyDescent="0.25">
      <c r="A270" s="170" t="str">
        <f>IFERROR(DATEVALUE(CONCATENATE(CONCATENATE(REPT("0",2-LEN(Hoja18!A16)),Hoja18!A16),"/",CONCATENATE(REPT("0",2-LEN(Hoja18!B16)),Hoja18!B16),"/",Hoja18!$A$4)),"")</f>
        <v/>
      </c>
      <c r="B270" s="171" t="str">
        <f>CONCATENATE(Hoja18!D16,"-",Hoja18!E16)</f>
        <v>-</v>
      </c>
      <c r="C270" s="172">
        <f>Hoja18!C16</f>
        <v>0</v>
      </c>
      <c r="D270" s="172">
        <f>Hoja18!F16</f>
        <v>0</v>
      </c>
      <c r="E270" s="126">
        <f>Hoja18!K16</f>
        <v>0</v>
      </c>
      <c r="F270" s="126">
        <f>Hoja18!L16</f>
        <v>0</v>
      </c>
      <c r="G270" s="127">
        <f t="shared" si="16"/>
        <v>0</v>
      </c>
    </row>
    <row r="271" spans="1:7" x14ac:dyDescent="0.25">
      <c r="A271" s="170" t="str">
        <f>IFERROR(DATEVALUE(CONCATENATE(CONCATENATE(REPT("0",2-LEN(Hoja18!A17)),Hoja18!A17),"/",CONCATENATE(REPT("0",2-LEN(Hoja18!B17)),Hoja18!B17),"/",Hoja18!$A$4)),"")</f>
        <v/>
      </c>
      <c r="B271" s="171" t="str">
        <f>CONCATENATE(Hoja18!D17,"-",Hoja18!E17)</f>
        <v>-</v>
      </c>
      <c r="C271" s="172">
        <f>Hoja18!C17</f>
        <v>0</v>
      </c>
      <c r="D271" s="172">
        <f>Hoja18!F17</f>
        <v>0</v>
      </c>
      <c r="E271" s="126">
        <f>Hoja18!K17</f>
        <v>0</v>
      </c>
      <c r="F271" s="126">
        <f>Hoja18!L17</f>
        <v>0</v>
      </c>
      <c r="G271" s="127">
        <f t="shared" si="16"/>
        <v>0</v>
      </c>
    </row>
    <row r="272" spans="1:7" x14ac:dyDescent="0.25">
      <c r="A272" s="170" t="str">
        <f>IFERROR(DATEVALUE(CONCATENATE(CONCATENATE(REPT("0",2-LEN(Hoja18!A18)),Hoja18!A18),"/",CONCATENATE(REPT("0",2-LEN(Hoja18!B18)),Hoja18!B18),"/",Hoja18!$A$4)),"")</f>
        <v/>
      </c>
      <c r="B272" s="171" t="str">
        <f>CONCATENATE(Hoja18!D18,"-",Hoja18!E18)</f>
        <v>-</v>
      </c>
      <c r="C272" s="172">
        <f>Hoja18!C18</f>
        <v>0</v>
      </c>
      <c r="D272" s="172">
        <f>Hoja18!F18</f>
        <v>0</v>
      </c>
      <c r="E272" s="126">
        <f>Hoja18!K18</f>
        <v>0</v>
      </c>
      <c r="F272" s="126">
        <f>Hoja18!L18</f>
        <v>0</v>
      </c>
      <c r="G272" s="127">
        <f t="shared" si="16"/>
        <v>0</v>
      </c>
    </row>
    <row r="273" spans="1:7" x14ac:dyDescent="0.25">
      <c r="A273" s="170" t="str">
        <f>IFERROR(DATEVALUE(CONCATENATE(CONCATENATE(REPT("0",2-LEN(Hoja18!A19)),Hoja18!A19),"/",CONCATENATE(REPT("0",2-LEN(Hoja18!B19)),Hoja18!B19),"/",Hoja18!$A$4)),"")</f>
        <v/>
      </c>
      <c r="B273" s="171" t="str">
        <f>CONCATENATE(Hoja18!D19,"-",Hoja18!E19)</f>
        <v>-</v>
      </c>
      <c r="C273" s="172">
        <f>Hoja18!C19</f>
        <v>0</v>
      </c>
      <c r="D273" s="172">
        <f>Hoja18!F19</f>
        <v>0</v>
      </c>
      <c r="E273" s="126">
        <f>Hoja18!K19</f>
        <v>0</v>
      </c>
      <c r="F273" s="126">
        <f>Hoja18!L19</f>
        <v>0</v>
      </c>
      <c r="G273" s="127">
        <f t="shared" si="16"/>
        <v>0</v>
      </c>
    </row>
    <row r="274" spans="1:7" x14ac:dyDescent="0.25">
      <c r="A274" s="170" t="str">
        <f>IFERROR(DATEVALUE(CONCATENATE(CONCATENATE(REPT("0",2-LEN(Hoja18!A20)),Hoja18!A20),"/",CONCATENATE(REPT("0",2-LEN(Hoja18!B20)),Hoja18!B20),"/",Hoja18!$A$4)),"")</f>
        <v/>
      </c>
      <c r="B274" s="171" t="str">
        <f>CONCATENATE(Hoja18!D20,"-",Hoja18!E20)</f>
        <v>-</v>
      </c>
      <c r="C274" s="172">
        <f>Hoja18!C20</f>
        <v>0</v>
      </c>
      <c r="D274" s="172">
        <f>Hoja18!F20</f>
        <v>0</v>
      </c>
      <c r="E274" s="126">
        <f>Hoja18!K20</f>
        <v>0</v>
      </c>
      <c r="F274" s="126">
        <f>Hoja18!L20</f>
        <v>0</v>
      </c>
      <c r="G274" s="127">
        <f t="shared" si="16"/>
        <v>0</v>
      </c>
    </row>
    <row r="275" spans="1:7" ht="13.8" thickBot="1" x14ac:dyDescent="0.3">
      <c r="A275" s="173" t="str">
        <f>IFERROR(DATEVALUE(CONCATENATE(CONCATENATE(REPT("0",2-LEN(Hoja18!A21)),Hoja18!A21),"/",CONCATENATE(REPT("0",2-LEN(Hoja18!B21)),Hoja18!B21),"/",Hoja18!$A$4)),"")</f>
        <v/>
      </c>
      <c r="B275" s="174" t="str">
        <f>CONCATENATE(Hoja18!D21,"-",Hoja18!E21)</f>
        <v>-</v>
      </c>
      <c r="C275" s="175">
        <f>Hoja18!C21</f>
        <v>0</v>
      </c>
      <c r="D275" s="175">
        <f>Hoja18!F21</f>
        <v>0</v>
      </c>
      <c r="E275" s="128">
        <f>Hoja18!K21</f>
        <v>0</v>
      </c>
      <c r="F275" s="128">
        <f>Hoja18!L21</f>
        <v>0</v>
      </c>
      <c r="G275" s="129">
        <f t="shared" si="16"/>
        <v>0</v>
      </c>
    </row>
    <row r="276" spans="1:7" x14ac:dyDescent="0.25">
      <c r="A276" s="152" t="str">
        <f>IFERROR(DATEVALUE(CONCATENATE(CONCATENATE(REPT("0",2-LEN(Hoja19!A7)),Hoja19!A7),"/",CONCATENATE(REPT("0",2-LEN(Hoja19!B7)),Hoja19!B7),"/",Hoja19!$A$4)),"")</f>
        <v/>
      </c>
      <c r="B276" s="153" t="str">
        <f>CONCATENATE(Hoja19!D7,"-",Hoja19!E7)</f>
        <v>-</v>
      </c>
      <c r="C276" s="154">
        <f>Hoja19!C7</f>
        <v>0</v>
      </c>
      <c r="D276" s="154">
        <f>Hoja19!F7</f>
        <v>0</v>
      </c>
      <c r="E276" s="155">
        <f>Hoja19!K7</f>
        <v>0</v>
      </c>
      <c r="F276" s="155">
        <f>Hoja19!L7</f>
        <v>0</v>
      </c>
      <c r="G276" s="156">
        <f t="shared" ref="G276:G321" si="17">+E276+F276</f>
        <v>0</v>
      </c>
    </row>
    <row r="277" spans="1:7" x14ac:dyDescent="0.25">
      <c r="A277" s="157" t="str">
        <f>IFERROR(DATEVALUE(CONCATENATE(CONCATENATE(REPT("0",2-LEN(Hoja19!A8)),Hoja19!A8),"/",CONCATENATE(REPT("0",2-LEN(Hoja19!B8)),Hoja19!B8),"/",Hoja19!$A$4)),"")</f>
        <v/>
      </c>
      <c r="B277" s="158" t="str">
        <f>CONCATENATE(Hoja19!D8,"-",Hoja19!E8)</f>
        <v>-</v>
      </c>
      <c r="C277" s="159">
        <f>Hoja19!C8</f>
        <v>0</v>
      </c>
      <c r="D277" s="159">
        <f>Hoja19!F8</f>
        <v>0</v>
      </c>
      <c r="E277" s="160">
        <f>Hoja19!K8</f>
        <v>0</v>
      </c>
      <c r="F277" s="160">
        <f>Hoja19!L8</f>
        <v>0</v>
      </c>
      <c r="G277" s="161">
        <f t="shared" ref="G277:G290" si="18">+E277+F277</f>
        <v>0</v>
      </c>
    </row>
    <row r="278" spans="1:7" x14ac:dyDescent="0.25">
      <c r="A278" s="157" t="str">
        <f>IFERROR(DATEVALUE(CONCATENATE(CONCATENATE(REPT("0",2-LEN(Hoja19!A9)),Hoja19!A9),"/",CONCATENATE(REPT("0",2-LEN(Hoja19!B9)),Hoja19!B9),"/",Hoja19!$A$4)),"")</f>
        <v/>
      </c>
      <c r="B278" s="158" t="str">
        <f>CONCATENATE(Hoja19!D9,"-",Hoja19!E9)</f>
        <v>-</v>
      </c>
      <c r="C278" s="159">
        <f>Hoja19!C9</f>
        <v>0</v>
      </c>
      <c r="D278" s="159">
        <f>Hoja19!F9</f>
        <v>0</v>
      </c>
      <c r="E278" s="160">
        <f>Hoja19!K9</f>
        <v>0</v>
      </c>
      <c r="F278" s="160">
        <f>Hoja19!L9</f>
        <v>0</v>
      </c>
      <c r="G278" s="161">
        <f t="shared" si="18"/>
        <v>0</v>
      </c>
    </row>
    <row r="279" spans="1:7" x14ac:dyDescent="0.25">
      <c r="A279" s="157" t="str">
        <f>IFERROR(DATEVALUE(CONCATENATE(CONCATENATE(REPT("0",2-LEN(Hoja19!A10)),Hoja19!A10),"/",CONCATENATE(REPT("0",2-LEN(Hoja19!B10)),Hoja19!B10),"/",Hoja19!$A$4)),"")</f>
        <v/>
      </c>
      <c r="B279" s="158" t="str">
        <f>CONCATENATE(Hoja19!D10,"-",Hoja19!E10)</f>
        <v>-</v>
      </c>
      <c r="C279" s="159">
        <f>Hoja19!C10</f>
        <v>0</v>
      </c>
      <c r="D279" s="159">
        <f>Hoja19!F10</f>
        <v>0</v>
      </c>
      <c r="E279" s="160">
        <f>Hoja19!K10</f>
        <v>0</v>
      </c>
      <c r="F279" s="160">
        <f>Hoja19!L10</f>
        <v>0</v>
      </c>
      <c r="G279" s="161">
        <f t="shared" si="18"/>
        <v>0</v>
      </c>
    </row>
    <row r="280" spans="1:7" x14ac:dyDescent="0.25">
      <c r="A280" s="157" t="str">
        <f>IFERROR(DATEVALUE(CONCATENATE(CONCATENATE(REPT("0",2-LEN(Hoja19!A11)),Hoja19!A11),"/",CONCATENATE(REPT("0",2-LEN(Hoja19!B11)),Hoja19!B11),"/",Hoja19!$A$4)),"")</f>
        <v/>
      </c>
      <c r="B280" s="158" t="str">
        <f>CONCATENATE(Hoja19!D11,"-",Hoja19!E11)</f>
        <v>-</v>
      </c>
      <c r="C280" s="159">
        <f>Hoja19!C11</f>
        <v>0</v>
      </c>
      <c r="D280" s="159">
        <f>Hoja19!F11</f>
        <v>0</v>
      </c>
      <c r="E280" s="160">
        <f>Hoja19!K11</f>
        <v>0</v>
      </c>
      <c r="F280" s="160">
        <f>Hoja19!L11</f>
        <v>0</v>
      </c>
      <c r="G280" s="161">
        <f t="shared" si="18"/>
        <v>0</v>
      </c>
    </row>
    <row r="281" spans="1:7" x14ac:dyDescent="0.25">
      <c r="A281" s="157" t="str">
        <f>IFERROR(DATEVALUE(CONCATENATE(CONCATENATE(REPT("0",2-LEN(Hoja19!A12)),Hoja19!A12),"/",CONCATENATE(REPT("0",2-LEN(Hoja19!B12)),Hoja19!B12),"/",Hoja19!$A$4)),"")</f>
        <v/>
      </c>
      <c r="B281" s="158" t="str">
        <f>CONCATENATE(Hoja19!D12,"-",Hoja19!E12)</f>
        <v>-</v>
      </c>
      <c r="C281" s="159">
        <f>Hoja19!C12</f>
        <v>0</v>
      </c>
      <c r="D281" s="159">
        <f>Hoja19!F12</f>
        <v>0</v>
      </c>
      <c r="E281" s="160">
        <f>Hoja19!K12</f>
        <v>0</v>
      </c>
      <c r="F281" s="160">
        <f>Hoja19!L12</f>
        <v>0</v>
      </c>
      <c r="G281" s="161">
        <f t="shared" si="18"/>
        <v>0</v>
      </c>
    </row>
    <row r="282" spans="1:7" x14ac:dyDescent="0.25">
      <c r="A282" s="157" t="str">
        <f>IFERROR(DATEVALUE(CONCATENATE(CONCATENATE(REPT("0",2-LEN(Hoja19!A13)),Hoja19!A13),"/",CONCATENATE(REPT("0",2-LEN(Hoja19!B13)),Hoja19!B13),"/",Hoja19!$A$4)),"")</f>
        <v/>
      </c>
      <c r="B282" s="158" t="str">
        <f>CONCATENATE(Hoja19!D13,"-",Hoja19!E13)</f>
        <v>-</v>
      </c>
      <c r="C282" s="159">
        <f>Hoja19!C13</f>
        <v>0</v>
      </c>
      <c r="D282" s="159">
        <f>Hoja19!F13</f>
        <v>0</v>
      </c>
      <c r="E282" s="160">
        <f>Hoja19!K13</f>
        <v>0</v>
      </c>
      <c r="F282" s="160">
        <f>Hoja19!L13</f>
        <v>0</v>
      </c>
      <c r="G282" s="161">
        <f t="shared" si="18"/>
        <v>0</v>
      </c>
    </row>
    <row r="283" spans="1:7" x14ac:dyDescent="0.25">
      <c r="A283" s="157" t="str">
        <f>IFERROR(DATEVALUE(CONCATENATE(CONCATENATE(REPT("0",2-LEN(Hoja19!A14)),Hoja19!A14),"/",CONCATENATE(REPT("0",2-LEN(Hoja19!B14)),Hoja19!B14),"/",Hoja19!$A$4)),"")</f>
        <v/>
      </c>
      <c r="B283" s="158" t="str">
        <f>CONCATENATE(Hoja19!D14,"-",Hoja19!E14)</f>
        <v>-</v>
      </c>
      <c r="C283" s="159">
        <f>Hoja19!C14</f>
        <v>0</v>
      </c>
      <c r="D283" s="159">
        <f>Hoja19!F14</f>
        <v>0</v>
      </c>
      <c r="E283" s="160">
        <f>Hoja19!K14</f>
        <v>0</v>
      </c>
      <c r="F283" s="160">
        <f>Hoja19!L14</f>
        <v>0</v>
      </c>
      <c r="G283" s="161">
        <f t="shared" si="18"/>
        <v>0</v>
      </c>
    </row>
    <row r="284" spans="1:7" x14ac:dyDescent="0.25">
      <c r="A284" s="157" t="str">
        <f>IFERROR(DATEVALUE(CONCATENATE(CONCATENATE(REPT("0",2-LEN(Hoja19!A15)),Hoja19!A15),"/",CONCATENATE(REPT("0",2-LEN(Hoja19!B15)),Hoja19!B15),"/",Hoja19!$A$4)),"")</f>
        <v/>
      </c>
      <c r="B284" s="158" t="str">
        <f>CONCATENATE(Hoja19!D15,"-",Hoja19!E15)</f>
        <v>-</v>
      </c>
      <c r="C284" s="159">
        <f>Hoja19!C15</f>
        <v>0</v>
      </c>
      <c r="D284" s="159">
        <f>Hoja19!F15</f>
        <v>0</v>
      </c>
      <c r="E284" s="160">
        <f>Hoja19!K15</f>
        <v>0</v>
      </c>
      <c r="F284" s="160">
        <f>Hoja19!L15</f>
        <v>0</v>
      </c>
      <c r="G284" s="161">
        <f t="shared" si="18"/>
        <v>0</v>
      </c>
    </row>
    <row r="285" spans="1:7" x14ac:dyDescent="0.25">
      <c r="A285" s="157" t="str">
        <f>IFERROR(DATEVALUE(CONCATENATE(CONCATENATE(REPT("0",2-LEN(Hoja19!A16)),Hoja19!A16),"/",CONCATENATE(REPT("0",2-LEN(Hoja19!B16)),Hoja19!B16),"/",Hoja19!$A$4)),"")</f>
        <v/>
      </c>
      <c r="B285" s="158" t="str">
        <f>CONCATENATE(Hoja19!D16,"-",Hoja19!E16)</f>
        <v>-</v>
      </c>
      <c r="C285" s="159">
        <f>Hoja19!C16</f>
        <v>0</v>
      </c>
      <c r="D285" s="159">
        <f>Hoja19!F16</f>
        <v>0</v>
      </c>
      <c r="E285" s="160">
        <f>Hoja19!K16</f>
        <v>0</v>
      </c>
      <c r="F285" s="160">
        <f>Hoja19!L16</f>
        <v>0</v>
      </c>
      <c r="G285" s="161">
        <f t="shared" si="18"/>
        <v>0</v>
      </c>
    </row>
    <row r="286" spans="1:7" x14ac:dyDescent="0.25">
      <c r="A286" s="157" t="str">
        <f>IFERROR(DATEVALUE(CONCATENATE(CONCATENATE(REPT("0",2-LEN(Hoja19!A17)),Hoja19!A17),"/",CONCATENATE(REPT("0",2-LEN(Hoja19!B17)),Hoja19!B17),"/",Hoja19!$A$4)),"")</f>
        <v/>
      </c>
      <c r="B286" s="158" t="str">
        <f>CONCATENATE(Hoja19!D17,"-",Hoja19!E17)</f>
        <v>-</v>
      </c>
      <c r="C286" s="159">
        <f>Hoja19!C17</f>
        <v>0</v>
      </c>
      <c r="D286" s="159">
        <f>Hoja19!F17</f>
        <v>0</v>
      </c>
      <c r="E286" s="160">
        <f>Hoja19!K17</f>
        <v>0</v>
      </c>
      <c r="F286" s="160">
        <f>Hoja19!L17</f>
        <v>0</v>
      </c>
      <c r="G286" s="161">
        <f t="shared" si="18"/>
        <v>0</v>
      </c>
    </row>
    <row r="287" spans="1:7" x14ac:dyDescent="0.25">
      <c r="A287" s="157" t="str">
        <f>IFERROR(DATEVALUE(CONCATENATE(CONCATENATE(REPT("0",2-LEN(Hoja19!A18)),Hoja19!A18),"/",CONCATENATE(REPT("0",2-LEN(Hoja19!B18)),Hoja19!B18),"/",Hoja19!$A$4)),"")</f>
        <v/>
      </c>
      <c r="B287" s="158" t="str">
        <f>CONCATENATE(Hoja19!D18,"-",Hoja19!E18)</f>
        <v>-</v>
      </c>
      <c r="C287" s="159">
        <f>Hoja19!C18</f>
        <v>0</v>
      </c>
      <c r="D287" s="159">
        <f>Hoja19!F18</f>
        <v>0</v>
      </c>
      <c r="E287" s="160">
        <f>Hoja19!K18</f>
        <v>0</v>
      </c>
      <c r="F287" s="160">
        <f>Hoja19!L18</f>
        <v>0</v>
      </c>
      <c r="G287" s="161">
        <f t="shared" si="18"/>
        <v>0</v>
      </c>
    </row>
    <row r="288" spans="1:7" x14ac:dyDescent="0.25">
      <c r="A288" s="157" t="str">
        <f>IFERROR(DATEVALUE(CONCATENATE(CONCATENATE(REPT("0",2-LEN(Hoja19!A19)),Hoja19!A19),"/",CONCATENATE(REPT("0",2-LEN(Hoja19!B19)),Hoja19!B19),"/",Hoja19!$A$4)),"")</f>
        <v/>
      </c>
      <c r="B288" s="158" t="str">
        <f>CONCATENATE(Hoja19!D19,"-",Hoja19!E19)</f>
        <v>-</v>
      </c>
      <c r="C288" s="159">
        <f>Hoja19!C19</f>
        <v>0</v>
      </c>
      <c r="D288" s="159">
        <f>Hoja19!F19</f>
        <v>0</v>
      </c>
      <c r="E288" s="160">
        <f>Hoja19!K19</f>
        <v>0</v>
      </c>
      <c r="F288" s="160">
        <f>Hoja19!L19</f>
        <v>0</v>
      </c>
      <c r="G288" s="161">
        <f t="shared" si="18"/>
        <v>0</v>
      </c>
    </row>
    <row r="289" spans="1:7" x14ac:dyDescent="0.25">
      <c r="A289" s="157" t="str">
        <f>IFERROR(DATEVALUE(CONCATENATE(CONCATENATE(REPT("0",2-LEN(Hoja19!A20)),Hoja19!A20),"/",CONCATENATE(REPT("0",2-LEN(Hoja19!B20)),Hoja19!B20),"/",Hoja19!$A$4)),"")</f>
        <v/>
      </c>
      <c r="B289" s="158" t="str">
        <f>CONCATENATE(Hoja19!D20,"-",Hoja19!E20)</f>
        <v>-</v>
      </c>
      <c r="C289" s="159">
        <f>Hoja19!C20</f>
        <v>0</v>
      </c>
      <c r="D289" s="159">
        <f>Hoja19!F20</f>
        <v>0</v>
      </c>
      <c r="E289" s="160">
        <f>Hoja19!K20</f>
        <v>0</v>
      </c>
      <c r="F289" s="160">
        <f>Hoja19!L20</f>
        <v>0</v>
      </c>
      <c r="G289" s="161">
        <f t="shared" si="18"/>
        <v>0</v>
      </c>
    </row>
    <row r="290" spans="1:7" ht="13.8" thickBot="1" x14ac:dyDescent="0.3">
      <c r="A290" s="176" t="str">
        <f>IFERROR(DATEVALUE(CONCATENATE(CONCATENATE(REPT("0",2-LEN(Hoja19!A21)),Hoja19!A21),"/",CONCATENATE(REPT("0",2-LEN(Hoja19!B21)),Hoja19!B21),"/",Hoja19!$A$4)),"")</f>
        <v/>
      </c>
      <c r="B290" s="177" t="str">
        <f>CONCATENATE(Hoja19!D21,"-",Hoja19!E21)</f>
        <v>-</v>
      </c>
      <c r="C290" s="178">
        <f>Hoja19!C21</f>
        <v>0</v>
      </c>
      <c r="D290" s="178">
        <f>Hoja19!F21</f>
        <v>0</v>
      </c>
      <c r="E290" s="179">
        <f>Hoja19!K21</f>
        <v>0</v>
      </c>
      <c r="F290" s="179">
        <f>Hoja19!L21</f>
        <v>0</v>
      </c>
      <c r="G290" s="180">
        <f t="shared" si="18"/>
        <v>0</v>
      </c>
    </row>
    <row r="291" spans="1:7" x14ac:dyDescent="0.25">
      <c r="A291" s="167" t="str">
        <f>IFERROR(DATEVALUE(CONCATENATE(CONCATENATE(REPT("0",2-LEN(Hoja20!A7)),Hoja20!A7),"/",CONCATENATE(REPT("0",2-LEN(Hoja20!B7)),Hoja20!B7),"/",Hoja20!$A$4)),"")</f>
        <v/>
      </c>
      <c r="B291" s="168" t="str">
        <f>CONCATENATE(Hoja20!D7,"-",Hoja20!E7)</f>
        <v>-</v>
      </c>
      <c r="C291" s="169">
        <f>Hoja20!C7</f>
        <v>0</v>
      </c>
      <c r="D291" s="169">
        <f>Hoja20!F7</f>
        <v>0</v>
      </c>
      <c r="E291" s="134">
        <f>Hoja20!K7</f>
        <v>0</v>
      </c>
      <c r="F291" s="134">
        <f>Hoja20!L7</f>
        <v>0</v>
      </c>
      <c r="G291" s="135">
        <f t="shared" si="17"/>
        <v>0</v>
      </c>
    </row>
    <row r="292" spans="1:7" x14ac:dyDescent="0.25">
      <c r="A292" s="170" t="str">
        <f>IFERROR(DATEVALUE(CONCATENATE(CONCATENATE(REPT("0",2-LEN(Hoja20!A8)),Hoja20!A8),"/",CONCATENATE(REPT("0",2-LEN(Hoja20!B8)),Hoja20!B8),"/",Hoja20!$A$4)),"")</f>
        <v/>
      </c>
      <c r="B292" s="171" t="str">
        <f>CONCATENATE(Hoja20!D8,"-",Hoja20!E8)</f>
        <v>-</v>
      </c>
      <c r="C292" s="172">
        <f>Hoja20!C8</f>
        <v>0</v>
      </c>
      <c r="D292" s="172">
        <f>Hoja20!F8</f>
        <v>0</v>
      </c>
      <c r="E292" s="126">
        <f>Hoja20!K8</f>
        <v>0</v>
      </c>
      <c r="F292" s="126">
        <f>Hoja20!L8</f>
        <v>0</v>
      </c>
      <c r="G292" s="127">
        <f t="shared" ref="G292:G305" si="19">+E292+F292</f>
        <v>0</v>
      </c>
    </row>
    <row r="293" spans="1:7" x14ac:dyDescent="0.25">
      <c r="A293" s="170" t="str">
        <f>IFERROR(DATEVALUE(CONCATENATE(CONCATENATE(REPT("0",2-LEN(Hoja20!A9)),Hoja20!A9),"/",CONCATENATE(REPT("0",2-LEN(Hoja20!B9)),Hoja20!B9),"/",Hoja20!$A$4)),"")</f>
        <v/>
      </c>
      <c r="B293" s="171" t="str">
        <f>CONCATENATE(Hoja20!D9,"-",Hoja20!E9)</f>
        <v>-</v>
      </c>
      <c r="C293" s="172">
        <f>Hoja20!C9</f>
        <v>0</v>
      </c>
      <c r="D293" s="172">
        <f>Hoja20!F9</f>
        <v>0</v>
      </c>
      <c r="E293" s="126">
        <f>Hoja20!K9</f>
        <v>0</v>
      </c>
      <c r="F293" s="126">
        <f>Hoja20!L9</f>
        <v>0</v>
      </c>
      <c r="G293" s="127">
        <f t="shared" si="19"/>
        <v>0</v>
      </c>
    </row>
    <row r="294" spans="1:7" x14ac:dyDescent="0.25">
      <c r="A294" s="170" t="str">
        <f>IFERROR(DATEVALUE(CONCATENATE(CONCATENATE(REPT("0",2-LEN(Hoja20!A10)),Hoja20!A10),"/",CONCATENATE(REPT("0",2-LEN(Hoja20!B10)),Hoja20!B10),"/",Hoja20!$A$4)),"")</f>
        <v/>
      </c>
      <c r="B294" s="171" t="str">
        <f>CONCATENATE(Hoja20!D10,"-",Hoja20!E10)</f>
        <v>-</v>
      </c>
      <c r="C294" s="172">
        <f>Hoja20!C10</f>
        <v>0</v>
      </c>
      <c r="D294" s="172">
        <f>Hoja20!F10</f>
        <v>0</v>
      </c>
      <c r="E294" s="126">
        <f>Hoja20!K10</f>
        <v>0</v>
      </c>
      <c r="F294" s="126">
        <f>Hoja20!L10</f>
        <v>0</v>
      </c>
      <c r="G294" s="127">
        <f t="shared" si="19"/>
        <v>0</v>
      </c>
    </row>
    <row r="295" spans="1:7" x14ac:dyDescent="0.25">
      <c r="A295" s="170" t="str">
        <f>IFERROR(DATEVALUE(CONCATENATE(CONCATENATE(REPT("0",2-LEN(Hoja20!A11)),Hoja20!A11),"/",CONCATENATE(REPT("0",2-LEN(Hoja20!B11)),Hoja20!B11),"/",Hoja20!$A$4)),"")</f>
        <v/>
      </c>
      <c r="B295" s="171" t="str">
        <f>CONCATENATE(Hoja20!D11,"-",Hoja20!E11)</f>
        <v>-</v>
      </c>
      <c r="C295" s="172">
        <f>Hoja20!C11</f>
        <v>0</v>
      </c>
      <c r="D295" s="172">
        <f>Hoja20!F11</f>
        <v>0</v>
      </c>
      <c r="E295" s="126">
        <f>Hoja20!K11</f>
        <v>0</v>
      </c>
      <c r="F295" s="126">
        <f>Hoja20!L11</f>
        <v>0</v>
      </c>
      <c r="G295" s="127">
        <f t="shared" si="19"/>
        <v>0</v>
      </c>
    </row>
    <row r="296" spans="1:7" x14ac:dyDescent="0.25">
      <c r="A296" s="170" t="str">
        <f>IFERROR(DATEVALUE(CONCATENATE(CONCATENATE(REPT("0",2-LEN(Hoja20!A12)),Hoja20!A12),"/",CONCATENATE(REPT("0",2-LEN(Hoja20!B12)),Hoja20!B12),"/",Hoja20!$A$4)),"")</f>
        <v/>
      </c>
      <c r="B296" s="171" t="str">
        <f>CONCATENATE(Hoja20!D12,"-",Hoja20!E12)</f>
        <v>-</v>
      </c>
      <c r="C296" s="172">
        <f>Hoja20!C12</f>
        <v>0</v>
      </c>
      <c r="D296" s="172">
        <f>Hoja20!F12</f>
        <v>0</v>
      </c>
      <c r="E296" s="126">
        <f>Hoja20!K12</f>
        <v>0</v>
      </c>
      <c r="F296" s="126">
        <f>Hoja20!L12</f>
        <v>0</v>
      </c>
      <c r="G296" s="127">
        <f t="shared" si="19"/>
        <v>0</v>
      </c>
    </row>
    <row r="297" spans="1:7" x14ac:dyDescent="0.25">
      <c r="A297" s="170" t="str">
        <f>IFERROR(DATEVALUE(CONCATENATE(CONCATENATE(REPT("0",2-LEN(Hoja20!A13)),Hoja20!A13),"/",CONCATENATE(REPT("0",2-LEN(Hoja20!B13)),Hoja20!B13),"/",Hoja20!$A$4)),"")</f>
        <v/>
      </c>
      <c r="B297" s="171" t="str">
        <f>CONCATENATE(Hoja20!D13,"-",Hoja20!E13)</f>
        <v>-</v>
      </c>
      <c r="C297" s="172">
        <f>Hoja20!C13</f>
        <v>0</v>
      </c>
      <c r="D297" s="172">
        <f>Hoja20!F13</f>
        <v>0</v>
      </c>
      <c r="E297" s="126">
        <f>Hoja20!K13</f>
        <v>0</v>
      </c>
      <c r="F297" s="126">
        <f>Hoja20!L13</f>
        <v>0</v>
      </c>
      <c r="G297" s="127">
        <f t="shared" si="19"/>
        <v>0</v>
      </c>
    </row>
    <row r="298" spans="1:7" x14ac:dyDescent="0.25">
      <c r="A298" s="170" t="str">
        <f>IFERROR(DATEVALUE(CONCATENATE(CONCATENATE(REPT("0",2-LEN(Hoja20!A14)),Hoja20!A14),"/",CONCATENATE(REPT("0",2-LEN(Hoja20!B14)),Hoja20!B14),"/",Hoja20!$A$4)),"")</f>
        <v/>
      </c>
      <c r="B298" s="171" t="str">
        <f>CONCATENATE(Hoja20!D14,"-",Hoja20!E14)</f>
        <v>-</v>
      </c>
      <c r="C298" s="172">
        <f>Hoja20!C14</f>
        <v>0</v>
      </c>
      <c r="D298" s="172">
        <f>Hoja20!F14</f>
        <v>0</v>
      </c>
      <c r="E298" s="126">
        <f>Hoja20!K14</f>
        <v>0</v>
      </c>
      <c r="F298" s="126">
        <f>Hoja20!L14</f>
        <v>0</v>
      </c>
      <c r="G298" s="127">
        <f t="shared" si="19"/>
        <v>0</v>
      </c>
    </row>
    <row r="299" spans="1:7" x14ac:dyDescent="0.25">
      <c r="A299" s="170" t="str">
        <f>IFERROR(DATEVALUE(CONCATENATE(CONCATENATE(REPT("0",2-LEN(Hoja20!A15)),Hoja20!A15),"/",CONCATENATE(REPT("0",2-LEN(Hoja20!B15)),Hoja20!B15),"/",Hoja20!$A$4)),"")</f>
        <v/>
      </c>
      <c r="B299" s="171" t="str">
        <f>CONCATENATE(Hoja20!D15,"-",Hoja20!E15)</f>
        <v>-</v>
      </c>
      <c r="C299" s="172">
        <f>Hoja20!C15</f>
        <v>0</v>
      </c>
      <c r="D299" s="172">
        <f>Hoja20!F15</f>
        <v>0</v>
      </c>
      <c r="E299" s="126">
        <f>Hoja20!K15</f>
        <v>0</v>
      </c>
      <c r="F299" s="126">
        <f>Hoja20!L15</f>
        <v>0</v>
      </c>
      <c r="G299" s="127">
        <f t="shared" si="19"/>
        <v>0</v>
      </c>
    </row>
    <row r="300" spans="1:7" x14ac:dyDescent="0.25">
      <c r="A300" s="170" t="str">
        <f>IFERROR(DATEVALUE(CONCATENATE(CONCATENATE(REPT("0",2-LEN(Hoja20!A16)),Hoja20!A16),"/",CONCATENATE(REPT("0",2-LEN(Hoja20!B16)),Hoja20!B16),"/",Hoja20!$A$4)),"")</f>
        <v/>
      </c>
      <c r="B300" s="171" t="str">
        <f>CONCATENATE(Hoja20!D16,"-",Hoja20!E16)</f>
        <v>-</v>
      </c>
      <c r="C300" s="172">
        <f>Hoja20!C16</f>
        <v>0</v>
      </c>
      <c r="D300" s="172">
        <f>Hoja20!F16</f>
        <v>0</v>
      </c>
      <c r="E300" s="126">
        <f>Hoja20!K16</f>
        <v>0</v>
      </c>
      <c r="F300" s="126">
        <f>Hoja20!L16</f>
        <v>0</v>
      </c>
      <c r="G300" s="127">
        <f t="shared" si="19"/>
        <v>0</v>
      </c>
    </row>
    <row r="301" spans="1:7" x14ac:dyDescent="0.25">
      <c r="A301" s="170" t="str">
        <f>IFERROR(DATEVALUE(CONCATENATE(CONCATENATE(REPT("0",2-LEN(Hoja20!A17)),Hoja20!A17),"/",CONCATENATE(REPT("0",2-LEN(Hoja20!B17)),Hoja20!B17),"/",Hoja20!$A$4)),"")</f>
        <v/>
      </c>
      <c r="B301" s="171" t="str">
        <f>CONCATENATE(Hoja20!D17,"-",Hoja20!E17)</f>
        <v>-</v>
      </c>
      <c r="C301" s="172">
        <f>Hoja20!C17</f>
        <v>0</v>
      </c>
      <c r="D301" s="172">
        <f>Hoja20!F17</f>
        <v>0</v>
      </c>
      <c r="E301" s="126">
        <f>Hoja20!K17</f>
        <v>0</v>
      </c>
      <c r="F301" s="126">
        <f>Hoja20!L17</f>
        <v>0</v>
      </c>
      <c r="G301" s="127">
        <f t="shared" si="19"/>
        <v>0</v>
      </c>
    </row>
    <row r="302" spans="1:7" x14ac:dyDescent="0.25">
      <c r="A302" s="170" t="str">
        <f>IFERROR(DATEVALUE(CONCATENATE(CONCATENATE(REPT("0",2-LEN(Hoja20!A18)),Hoja20!A18),"/",CONCATENATE(REPT("0",2-LEN(Hoja20!B18)),Hoja20!B18),"/",Hoja20!$A$4)),"")</f>
        <v/>
      </c>
      <c r="B302" s="171" t="str">
        <f>CONCATENATE(Hoja20!D18,"-",Hoja20!E18)</f>
        <v>-</v>
      </c>
      <c r="C302" s="172">
        <f>Hoja20!C18</f>
        <v>0</v>
      </c>
      <c r="D302" s="172">
        <f>Hoja20!F18</f>
        <v>0</v>
      </c>
      <c r="E302" s="126">
        <f>Hoja20!K18</f>
        <v>0</v>
      </c>
      <c r="F302" s="126">
        <f>Hoja20!L18</f>
        <v>0</v>
      </c>
      <c r="G302" s="127">
        <f t="shared" si="19"/>
        <v>0</v>
      </c>
    </row>
    <row r="303" spans="1:7" x14ac:dyDescent="0.25">
      <c r="A303" s="170" t="str">
        <f>IFERROR(DATEVALUE(CONCATENATE(CONCATENATE(REPT("0",2-LEN(Hoja20!A19)),Hoja20!A19),"/",CONCATENATE(REPT("0",2-LEN(Hoja20!B19)),Hoja20!B19),"/",Hoja20!$A$4)),"")</f>
        <v/>
      </c>
      <c r="B303" s="171" t="str">
        <f>CONCATENATE(Hoja20!D19,"-",Hoja20!E19)</f>
        <v>-</v>
      </c>
      <c r="C303" s="172">
        <f>Hoja20!C19</f>
        <v>0</v>
      </c>
      <c r="D303" s="172">
        <f>Hoja20!F19</f>
        <v>0</v>
      </c>
      <c r="E303" s="126">
        <f>Hoja20!K19</f>
        <v>0</v>
      </c>
      <c r="F303" s="126">
        <f>Hoja20!L19</f>
        <v>0</v>
      </c>
      <c r="G303" s="127">
        <f t="shared" si="19"/>
        <v>0</v>
      </c>
    </row>
    <row r="304" spans="1:7" x14ac:dyDescent="0.25">
      <c r="A304" s="170" t="str">
        <f>IFERROR(DATEVALUE(CONCATENATE(CONCATENATE(REPT("0",2-LEN(Hoja20!A20)),Hoja20!A20),"/",CONCATENATE(REPT("0",2-LEN(Hoja20!B20)),Hoja20!B20),"/",Hoja20!$A$4)),"")</f>
        <v/>
      </c>
      <c r="B304" s="171" t="str">
        <f>CONCATENATE(Hoja20!D20,"-",Hoja20!E20)</f>
        <v>-</v>
      </c>
      <c r="C304" s="172">
        <f>Hoja20!C20</f>
        <v>0</v>
      </c>
      <c r="D304" s="172">
        <f>Hoja20!F20</f>
        <v>0</v>
      </c>
      <c r="E304" s="126">
        <f>Hoja20!K20</f>
        <v>0</v>
      </c>
      <c r="F304" s="126">
        <f>Hoja20!L20</f>
        <v>0</v>
      </c>
      <c r="G304" s="127">
        <f t="shared" si="19"/>
        <v>0</v>
      </c>
    </row>
    <row r="305" spans="1:7" ht="13.8" thickBot="1" x14ac:dyDescent="0.3">
      <c r="A305" s="173" t="str">
        <f>IFERROR(DATEVALUE(CONCATENATE(CONCATENATE(REPT("0",2-LEN(Hoja20!A21)),Hoja20!A21),"/",CONCATENATE(REPT("0",2-LEN(Hoja20!B21)),Hoja20!B21),"/",Hoja20!$A$4)),"")</f>
        <v/>
      </c>
      <c r="B305" s="174" t="str">
        <f>CONCATENATE(Hoja20!D21,"-",Hoja20!E21)</f>
        <v>-</v>
      </c>
      <c r="C305" s="175">
        <f>Hoja20!C21</f>
        <v>0</v>
      </c>
      <c r="D305" s="175">
        <f>Hoja20!F21</f>
        <v>0</v>
      </c>
      <c r="E305" s="128">
        <f>Hoja20!K21</f>
        <v>0</v>
      </c>
      <c r="F305" s="128">
        <f>Hoja20!L21</f>
        <v>0</v>
      </c>
      <c r="G305" s="129">
        <f t="shared" si="19"/>
        <v>0</v>
      </c>
    </row>
    <row r="306" spans="1:7" x14ac:dyDescent="0.25">
      <c r="A306" s="152" t="str">
        <f>IFERROR(DATEVALUE(CONCATENATE(CONCATENATE(REPT("0",2-LEN(Hoja21!A7)),Hoja21!A7),"/",CONCATENATE(REPT("0",2-LEN(Hoja21!B7)),Hoja21!B7),"/",Hoja21!$A$4)),"")</f>
        <v/>
      </c>
      <c r="B306" s="153" t="str">
        <f>CONCATENATE(Hoja21!D7,"-",Hoja21!E7)</f>
        <v>-</v>
      </c>
      <c r="C306" s="154">
        <f>Hoja21!C7</f>
        <v>0</v>
      </c>
      <c r="D306" s="154">
        <f>Hoja21!F7</f>
        <v>0</v>
      </c>
      <c r="E306" s="155">
        <f>Hoja21!K7</f>
        <v>0</v>
      </c>
      <c r="F306" s="155">
        <f>Hoja21!L7</f>
        <v>0</v>
      </c>
      <c r="G306" s="156">
        <f t="shared" si="17"/>
        <v>0</v>
      </c>
    </row>
    <row r="307" spans="1:7" x14ac:dyDescent="0.25">
      <c r="A307" s="157" t="str">
        <f>IFERROR(DATEVALUE(CONCATENATE(CONCATENATE(REPT("0",2-LEN(Hoja21!A8)),Hoja21!A8),"/",CONCATENATE(REPT("0",2-LEN(Hoja21!B8)),Hoja21!B8),"/",Hoja21!$A$4)),"")</f>
        <v/>
      </c>
      <c r="B307" s="158" t="str">
        <f>CONCATENATE(Hoja21!D8,"-",Hoja21!E8)</f>
        <v>-</v>
      </c>
      <c r="C307" s="159">
        <f>Hoja21!C8</f>
        <v>0</v>
      </c>
      <c r="D307" s="159">
        <f>Hoja21!F8</f>
        <v>0</v>
      </c>
      <c r="E307" s="160">
        <f>Hoja21!K8</f>
        <v>0</v>
      </c>
      <c r="F307" s="160">
        <f>Hoja21!L8</f>
        <v>0</v>
      </c>
      <c r="G307" s="161">
        <f t="shared" ref="G307:G320" si="20">+E307+F307</f>
        <v>0</v>
      </c>
    </row>
    <row r="308" spans="1:7" x14ac:dyDescent="0.25">
      <c r="A308" s="157" t="str">
        <f>IFERROR(DATEVALUE(CONCATENATE(CONCATENATE(REPT("0",2-LEN(Hoja21!A9)),Hoja21!A9),"/",CONCATENATE(REPT("0",2-LEN(Hoja21!B9)),Hoja21!B9),"/",Hoja21!$A$4)),"")</f>
        <v/>
      </c>
      <c r="B308" s="158" t="str">
        <f>CONCATENATE(Hoja21!D9,"-",Hoja21!E9)</f>
        <v>-</v>
      </c>
      <c r="C308" s="159">
        <f>Hoja21!C9</f>
        <v>0</v>
      </c>
      <c r="D308" s="159">
        <f>Hoja21!F9</f>
        <v>0</v>
      </c>
      <c r="E308" s="160">
        <f>Hoja21!K9</f>
        <v>0</v>
      </c>
      <c r="F308" s="160">
        <f>Hoja21!L9</f>
        <v>0</v>
      </c>
      <c r="G308" s="161">
        <f t="shared" si="20"/>
        <v>0</v>
      </c>
    </row>
    <row r="309" spans="1:7" x14ac:dyDescent="0.25">
      <c r="A309" s="157" t="str">
        <f>IFERROR(DATEVALUE(CONCATENATE(CONCATENATE(REPT("0",2-LEN(Hoja21!A10)),Hoja21!A10),"/",CONCATENATE(REPT("0",2-LEN(Hoja21!B10)),Hoja21!B10),"/",Hoja21!$A$4)),"")</f>
        <v/>
      </c>
      <c r="B309" s="158" t="str">
        <f>CONCATENATE(Hoja21!D10,"-",Hoja21!E10)</f>
        <v>-</v>
      </c>
      <c r="C309" s="159">
        <f>Hoja21!C10</f>
        <v>0</v>
      </c>
      <c r="D309" s="159">
        <f>Hoja21!F10</f>
        <v>0</v>
      </c>
      <c r="E309" s="160">
        <f>Hoja21!K10</f>
        <v>0</v>
      </c>
      <c r="F309" s="160">
        <f>Hoja21!L10</f>
        <v>0</v>
      </c>
      <c r="G309" s="161">
        <f t="shared" si="20"/>
        <v>0</v>
      </c>
    </row>
    <row r="310" spans="1:7" x14ac:dyDescent="0.25">
      <c r="A310" s="157" t="str">
        <f>IFERROR(DATEVALUE(CONCATENATE(CONCATENATE(REPT("0",2-LEN(Hoja21!A11)),Hoja21!A11),"/",CONCATENATE(REPT("0",2-LEN(Hoja21!B11)),Hoja21!B11),"/",Hoja21!$A$4)),"")</f>
        <v/>
      </c>
      <c r="B310" s="158" t="str">
        <f>CONCATENATE(Hoja21!D11,"-",Hoja21!E11)</f>
        <v>-</v>
      </c>
      <c r="C310" s="159">
        <f>Hoja21!C11</f>
        <v>0</v>
      </c>
      <c r="D310" s="159">
        <f>Hoja21!F11</f>
        <v>0</v>
      </c>
      <c r="E310" s="160">
        <f>Hoja21!K11</f>
        <v>0</v>
      </c>
      <c r="F310" s="160">
        <f>Hoja21!L11</f>
        <v>0</v>
      </c>
      <c r="G310" s="161">
        <f t="shared" si="20"/>
        <v>0</v>
      </c>
    </row>
    <row r="311" spans="1:7" x14ac:dyDescent="0.25">
      <c r="A311" s="157" t="str">
        <f>IFERROR(DATEVALUE(CONCATENATE(CONCATENATE(REPT("0",2-LEN(Hoja21!A12)),Hoja21!A12),"/",CONCATENATE(REPT("0",2-LEN(Hoja21!B12)),Hoja21!B12),"/",Hoja21!$A$4)),"")</f>
        <v/>
      </c>
      <c r="B311" s="158" t="str">
        <f>CONCATENATE(Hoja21!D12,"-",Hoja21!E12)</f>
        <v>-</v>
      </c>
      <c r="C311" s="159">
        <f>Hoja21!C12</f>
        <v>0</v>
      </c>
      <c r="D311" s="159">
        <f>Hoja21!F12</f>
        <v>0</v>
      </c>
      <c r="E311" s="160">
        <f>Hoja21!K12</f>
        <v>0</v>
      </c>
      <c r="F311" s="160">
        <f>Hoja21!L12</f>
        <v>0</v>
      </c>
      <c r="G311" s="161">
        <f t="shared" si="20"/>
        <v>0</v>
      </c>
    </row>
    <row r="312" spans="1:7" x14ac:dyDescent="0.25">
      <c r="A312" s="157" t="str">
        <f>IFERROR(DATEVALUE(CONCATENATE(CONCATENATE(REPT("0",2-LEN(Hoja21!A13)),Hoja21!A13),"/",CONCATENATE(REPT("0",2-LEN(Hoja21!B13)),Hoja21!B13),"/",Hoja21!$A$4)),"")</f>
        <v/>
      </c>
      <c r="B312" s="158" t="str">
        <f>CONCATENATE(Hoja21!D13,"-",Hoja21!E13)</f>
        <v>-</v>
      </c>
      <c r="C312" s="159">
        <f>Hoja21!C13</f>
        <v>0</v>
      </c>
      <c r="D312" s="159">
        <f>Hoja21!F13</f>
        <v>0</v>
      </c>
      <c r="E312" s="160">
        <f>Hoja21!K13</f>
        <v>0</v>
      </c>
      <c r="F312" s="160">
        <f>Hoja21!L13</f>
        <v>0</v>
      </c>
      <c r="G312" s="161">
        <f t="shared" si="20"/>
        <v>0</v>
      </c>
    </row>
    <row r="313" spans="1:7" x14ac:dyDescent="0.25">
      <c r="A313" s="157" t="str">
        <f>IFERROR(DATEVALUE(CONCATENATE(CONCATENATE(REPT("0",2-LEN(Hoja21!A14)),Hoja21!A14),"/",CONCATENATE(REPT("0",2-LEN(Hoja21!B14)),Hoja21!B14),"/",Hoja21!$A$4)),"")</f>
        <v/>
      </c>
      <c r="B313" s="158" t="str">
        <f>CONCATENATE(Hoja21!D14,"-",Hoja21!E14)</f>
        <v>-</v>
      </c>
      <c r="C313" s="159">
        <f>Hoja21!C14</f>
        <v>0</v>
      </c>
      <c r="D313" s="159">
        <f>Hoja21!F14</f>
        <v>0</v>
      </c>
      <c r="E313" s="160">
        <f>Hoja21!K14</f>
        <v>0</v>
      </c>
      <c r="F313" s="160">
        <f>Hoja21!L14</f>
        <v>0</v>
      </c>
      <c r="G313" s="161">
        <f t="shared" si="20"/>
        <v>0</v>
      </c>
    </row>
    <row r="314" spans="1:7" x14ac:dyDescent="0.25">
      <c r="A314" s="157" t="str">
        <f>IFERROR(DATEVALUE(CONCATENATE(CONCATENATE(REPT("0",2-LEN(Hoja21!A15)),Hoja21!A15),"/",CONCATENATE(REPT("0",2-LEN(Hoja21!B15)),Hoja21!B15),"/",Hoja21!$A$4)),"")</f>
        <v/>
      </c>
      <c r="B314" s="158" t="str">
        <f>CONCATENATE(Hoja21!D15,"-",Hoja21!E15)</f>
        <v>-</v>
      </c>
      <c r="C314" s="159">
        <f>Hoja21!C15</f>
        <v>0</v>
      </c>
      <c r="D314" s="159">
        <f>Hoja21!F15</f>
        <v>0</v>
      </c>
      <c r="E314" s="160">
        <f>Hoja21!K15</f>
        <v>0</v>
      </c>
      <c r="F314" s="160">
        <f>Hoja21!L15</f>
        <v>0</v>
      </c>
      <c r="G314" s="161">
        <f t="shared" si="20"/>
        <v>0</v>
      </c>
    </row>
    <row r="315" spans="1:7" x14ac:dyDescent="0.25">
      <c r="A315" s="157" t="str">
        <f>IFERROR(DATEVALUE(CONCATENATE(CONCATENATE(REPT("0",2-LEN(Hoja21!A16)),Hoja21!A16),"/",CONCATENATE(REPT("0",2-LEN(Hoja21!B16)),Hoja21!B16),"/",Hoja21!$A$4)),"")</f>
        <v/>
      </c>
      <c r="B315" s="158" t="str">
        <f>CONCATENATE(Hoja21!D16,"-",Hoja21!E16)</f>
        <v>-</v>
      </c>
      <c r="C315" s="159">
        <f>Hoja21!C16</f>
        <v>0</v>
      </c>
      <c r="D315" s="159">
        <f>Hoja21!F16</f>
        <v>0</v>
      </c>
      <c r="E315" s="160">
        <f>Hoja21!K16</f>
        <v>0</v>
      </c>
      <c r="F315" s="160">
        <f>Hoja21!L16</f>
        <v>0</v>
      </c>
      <c r="G315" s="161">
        <f t="shared" si="20"/>
        <v>0</v>
      </c>
    </row>
    <row r="316" spans="1:7" x14ac:dyDescent="0.25">
      <c r="A316" s="157" t="str">
        <f>IFERROR(DATEVALUE(CONCATENATE(CONCATENATE(REPT("0",2-LEN(Hoja21!A17)),Hoja21!A17),"/",CONCATENATE(REPT("0",2-LEN(Hoja21!B17)),Hoja21!B17),"/",Hoja21!$A$4)),"")</f>
        <v/>
      </c>
      <c r="B316" s="158" t="str">
        <f>CONCATENATE(Hoja21!D17,"-",Hoja21!E17)</f>
        <v>-</v>
      </c>
      <c r="C316" s="159">
        <f>Hoja21!C17</f>
        <v>0</v>
      </c>
      <c r="D316" s="159">
        <f>Hoja21!F17</f>
        <v>0</v>
      </c>
      <c r="E316" s="160">
        <f>Hoja21!K17</f>
        <v>0</v>
      </c>
      <c r="F316" s="160">
        <f>Hoja21!L17</f>
        <v>0</v>
      </c>
      <c r="G316" s="161">
        <f t="shared" si="20"/>
        <v>0</v>
      </c>
    </row>
    <row r="317" spans="1:7" x14ac:dyDescent="0.25">
      <c r="A317" s="157" t="str">
        <f>IFERROR(DATEVALUE(CONCATENATE(CONCATENATE(REPT("0",2-LEN(Hoja21!A18)),Hoja21!A18),"/",CONCATENATE(REPT("0",2-LEN(Hoja21!B18)),Hoja21!B18),"/",Hoja21!$A$4)),"")</f>
        <v/>
      </c>
      <c r="B317" s="158" t="str">
        <f>CONCATENATE(Hoja21!D18,"-",Hoja21!E18)</f>
        <v>-</v>
      </c>
      <c r="C317" s="159">
        <f>Hoja21!C18</f>
        <v>0</v>
      </c>
      <c r="D317" s="159">
        <f>Hoja21!F18</f>
        <v>0</v>
      </c>
      <c r="E317" s="160">
        <f>Hoja21!K18</f>
        <v>0</v>
      </c>
      <c r="F317" s="160">
        <f>Hoja21!L18</f>
        <v>0</v>
      </c>
      <c r="G317" s="161">
        <f t="shared" si="20"/>
        <v>0</v>
      </c>
    </row>
    <row r="318" spans="1:7" x14ac:dyDescent="0.25">
      <c r="A318" s="157" t="str">
        <f>IFERROR(DATEVALUE(CONCATENATE(CONCATENATE(REPT("0",2-LEN(Hoja21!A19)),Hoja21!A19),"/",CONCATENATE(REPT("0",2-LEN(Hoja21!B19)),Hoja21!B19),"/",Hoja21!$A$4)),"")</f>
        <v/>
      </c>
      <c r="B318" s="158" t="str">
        <f>CONCATENATE(Hoja21!D19,"-",Hoja21!E19)</f>
        <v>-</v>
      </c>
      <c r="C318" s="159">
        <f>Hoja21!C19</f>
        <v>0</v>
      </c>
      <c r="D318" s="159">
        <f>Hoja21!F19</f>
        <v>0</v>
      </c>
      <c r="E318" s="160">
        <f>Hoja21!K19</f>
        <v>0</v>
      </c>
      <c r="F318" s="160">
        <f>Hoja21!L19</f>
        <v>0</v>
      </c>
      <c r="G318" s="161">
        <f t="shared" si="20"/>
        <v>0</v>
      </c>
    </row>
    <row r="319" spans="1:7" x14ac:dyDescent="0.25">
      <c r="A319" s="157" t="str">
        <f>IFERROR(DATEVALUE(CONCATENATE(CONCATENATE(REPT("0",2-LEN(Hoja21!A20)),Hoja21!A20),"/",CONCATENATE(REPT("0",2-LEN(Hoja21!B20)),Hoja21!B20),"/",Hoja21!$A$4)),"")</f>
        <v/>
      </c>
      <c r="B319" s="158" t="str">
        <f>CONCATENATE(Hoja21!D20,"-",Hoja21!E20)</f>
        <v>-</v>
      </c>
      <c r="C319" s="159">
        <f>Hoja21!C20</f>
        <v>0</v>
      </c>
      <c r="D319" s="159">
        <f>Hoja21!F20</f>
        <v>0</v>
      </c>
      <c r="E319" s="160">
        <f>Hoja21!K20</f>
        <v>0</v>
      </c>
      <c r="F319" s="160">
        <f>Hoja21!L20</f>
        <v>0</v>
      </c>
      <c r="G319" s="161">
        <f t="shared" si="20"/>
        <v>0</v>
      </c>
    </row>
    <row r="320" spans="1:7" ht="13.8" thickBot="1" x14ac:dyDescent="0.3">
      <c r="A320" s="176" t="str">
        <f>IFERROR(DATEVALUE(CONCATENATE(CONCATENATE(REPT("0",2-LEN(Hoja21!A21)),Hoja21!A21),"/",CONCATENATE(REPT("0",2-LEN(Hoja21!B21)),Hoja21!B21),"/",Hoja21!$A$4)),"")</f>
        <v/>
      </c>
      <c r="B320" s="177" t="str">
        <f>CONCATENATE(Hoja21!D21,"-",Hoja21!E21)</f>
        <v>-</v>
      </c>
      <c r="C320" s="178">
        <f>Hoja21!C21</f>
        <v>0</v>
      </c>
      <c r="D320" s="178">
        <f>Hoja21!F21</f>
        <v>0</v>
      </c>
      <c r="E320" s="179">
        <f>Hoja21!K21</f>
        <v>0</v>
      </c>
      <c r="F320" s="179">
        <f>Hoja21!L21</f>
        <v>0</v>
      </c>
      <c r="G320" s="180">
        <f t="shared" si="20"/>
        <v>0</v>
      </c>
    </row>
    <row r="321" spans="1:7" x14ac:dyDescent="0.25">
      <c r="A321" s="167" t="str">
        <f>IFERROR(DATEVALUE(CONCATENATE(CONCATENATE(REPT("0",2-LEN(Hoja22!A7)),Hoja22!A7),"/",CONCATENATE(REPT("0",2-LEN(Hoja22!B7)),Hoja22!B7),"/",Hoja22!$A$4)),"")</f>
        <v/>
      </c>
      <c r="B321" s="168" t="str">
        <f>CONCATENATE(Hoja22!D7,"-",Hoja22!E7)</f>
        <v>-</v>
      </c>
      <c r="C321" s="169">
        <f>Hoja22!C7</f>
        <v>0</v>
      </c>
      <c r="D321" s="169">
        <f>Hoja22!F7</f>
        <v>0</v>
      </c>
      <c r="E321" s="134">
        <f>Hoja22!K7</f>
        <v>0</v>
      </c>
      <c r="F321" s="134">
        <f>Hoja22!L7</f>
        <v>0</v>
      </c>
      <c r="G321" s="135">
        <f t="shared" si="17"/>
        <v>0</v>
      </c>
    </row>
    <row r="322" spans="1:7" x14ac:dyDescent="0.25">
      <c r="A322" s="170" t="str">
        <f>IFERROR(DATEVALUE(CONCATENATE(CONCATENATE(REPT("0",2-LEN(Hoja22!A8)),Hoja22!A8),"/",CONCATENATE(REPT("0",2-LEN(Hoja22!B8)),Hoja22!B8),"/",Hoja22!$A$4)),"")</f>
        <v/>
      </c>
      <c r="B322" s="171" t="str">
        <f>CONCATENATE(Hoja22!D8,"-",Hoja22!E8)</f>
        <v>-</v>
      </c>
      <c r="C322" s="172">
        <f>Hoja22!C8</f>
        <v>0</v>
      </c>
      <c r="D322" s="172">
        <f>Hoja22!F8</f>
        <v>0</v>
      </c>
      <c r="E322" s="126">
        <f>Hoja22!K8</f>
        <v>0</v>
      </c>
      <c r="F322" s="126">
        <f>Hoja22!L8</f>
        <v>0</v>
      </c>
      <c r="G322" s="127">
        <f t="shared" ref="G322:G335" si="21">+E322+F322</f>
        <v>0</v>
      </c>
    </row>
    <row r="323" spans="1:7" x14ac:dyDescent="0.25">
      <c r="A323" s="170" t="str">
        <f>IFERROR(DATEVALUE(CONCATENATE(CONCATENATE(REPT("0",2-LEN(Hoja22!A9)),Hoja22!A9),"/",CONCATENATE(REPT("0",2-LEN(Hoja22!B9)),Hoja22!B9),"/",Hoja22!$A$4)),"")</f>
        <v/>
      </c>
      <c r="B323" s="171" t="str">
        <f>CONCATENATE(Hoja22!D9,"-",Hoja22!E9)</f>
        <v>-</v>
      </c>
      <c r="C323" s="172">
        <f>Hoja22!C9</f>
        <v>0</v>
      </c>
      <c r="D323" s="172">
        <f>Hoja22!F9</f>
        <v>0</v>
      </c>
      <c r="E323" s="126">
        <f>Hoja22!K9</f>
        <v>0</v>
      </c>
      <c r="F323" s="126">
        <f>Hoja22!L9</f>
        <v>0</v>
      </c>
      <c r="G323" s="127">
        <f t="shared" si="21"/>
        <v>0</v>
      </c>
    </row>
    <row r="324" spans="1:7" x14ac:dyDescent="0.25">
      <c r="A324" s="170" t="str">
        <f>IFERROR(DATEVALUE(CONCATENATE(CONCATENATE(REPT("0",2-LEN(Hoja22!A10)),Hoja22!A10),"/",CONCATENATE(REPT("0",2-LEN(Hoja22!B10)),Hoja22!B10),"/",Hoja22!$A$4)),"")</f>
        <v/>
      </c>
      <c r="B324" s="171" t="str">
        <f>CONCATENATE(Hoja22!D10,"-",Hoja22!E10)</f>
        <v>-</v>
      </c>
      <c r="C324" s="172">
        <f>Hoja22!C10</f>
        <v>0</v>
      </c>
      <c r="D324" s="172">
        <f>Hoja22!F10</f>
        <v>0</v>
      </c>
      <c r="E324" s="126">
        <f>Hoja22!K10</f>
        <v>0</v>
      </c>
      <c r="F324" s="126">
        <f>Hoja22!L10</f>
        <v>0</v>
      </c>
      <c r="G324" s="127">
        <f t="shared" si="21"/>
        <v>0</v>
      </c>
    </row>
    <row r="325" spans="1:7" x14ac:dyDescent="0.25">
      <c r="A325" s="170" t="str">
        <f>IFERROR(DATEVALUE(CONCATENATE(CONCATENATE(REPT("0",2-LEN(Hoja22!A11)),Hoja22!A11),"/",CONCATENATE(REPT("0",2-LEN(Hoja22!B11)),Hoja22!B11),"/",Hoja22!$A$4)),"")</f>
        <v/>
      </c>
      <c r="B325" s="171" t="str">
        <f>CONCATENATE(Hoja22!D11,"-",Hoja22!E11)</f>
        <v>-</v>
      </c>
      <c r="C325" s="172">
        <f>Hoja22!C11</f>
        <v>0</v>
      </c>
      <c r="D325" s="172">
        <f>Hoja22!F11</f>
        <v>0</v>
      </c>
      <c r="E325" s="126">
        <f>Hoja22!K11</f>
        <v>0</v>
      </c>
      <c r="F325" s="126">
        <f>Hoja22!L11</f>
        <v>0</v>
      </c>
      <c r="G325" s="127">
        <f t="shared" si="21"/>
        <v>0</v>
      </c>
    </row>
    <row r="326" spans="1:7" x14ac:dyDescent="0.25">
      <c r="A326" s="170" t="str">
        <f>IFERROR(DATEVALUE(CONCATENATE(CONCATENATE(REPT("0",2-LEN(Hoja22!A12)),Hoja22!A12),"/",CONCATENATE(REPT("0",2-LEN(Hoja22!B12)),Hoja22!B12),"/",Hoja22!$A$4)),"")</f>
        <v/>
      </c>
      <c r="B326" s="171" t="str">
        <f>CONCATENATE(Hoja22!D12,"-",Hoja22!E12)</f>
        <v>-</v>
      </c>
      <c r="C326" s="172">
        <f>Hoja22!C12</f>
        <v>0</v>
      </c>
      <c r="D326" s="172">
        <f>Hoja22!F12</f>
        <v>0</v>
      </c>
      <c r="E326" s="126">
        <f>Hoja22!K12</f>
        <v>0</v>
      </c>
      <c r="F326" s="126">
        <f>Hoja22!L12</f>
        <v>0</v>
      </c>
      <c r="G326" s="127">
        <f t="shared" si="21"/>
        <v>0</v>
      </c>
    </row>
    <row r="327" spans="1:7" x14ac:dyDescent="0.25">
      <c r="A327" s="170" t="str">
        <f>IFERROR(DATEVALUE(CONCATENATE(CONCATENATE(REPT("0",2-LEN(Hoja22!A13)),Hoja22!A13),"/",CONCATENATE(REPT("0",2-LEN(Hoja22!B13)),Hoja22!B13),"/",Hoja22!$A$4)),"")</f>
        <v/>
      </c>
      <c r="B327" s="171" t="str">
        <f>CONCATENATE(Hoja22!D13,"-",Hoja22!E13)</f>
        <v>-</v>
      </c>
      <c r="C327" s="172">
        <f>Hoja22!C13</f>
        <v>0</v>
      </c>
      <c r="D327" s="172">
        <f>Hoja22!F13</f>
        <v>0</v>
      </c>
      <c r="E327" s="126">
        <f>Hoja22!K13</f>
        <v>0</v>
      </c>
      <c r="F327" s="126">
        <f>Hoja22!L13</f>
        <v>0</v>
      </c>
      <c r="G327" s="127">
        <f t="shared" si="21"/>
        <v>0</v>
      </c>
    </row>
    <row r="328" spans="1:7" x14ac:dyDescent="0.25">
      <c r="A328" s="170" t="str">
        <f>IFERROR(DATEVALUE(CONCATENATE(CONCATENATE(REPT("0",2-LEN(Hoja22!A14)),Hoja22!A14),"/",CONCATENATE(REPT("0",2-LEN(Hoja22!B14)),Hoja22!B14),"/",Hoja22!$A$4)),"")</f>
        <v/>
      </c>
      <c r="B328" s="171" t="str">
        <f>CONCATENATE(Hoja22!D14,"-",Hoja22!E14)</f>
        <v>-</v>
      </c>
      <c r="C328" s="172">
        <f>Hoja22!C14</f>
        <v>0</v>
      </c>
      <c r="D328" s="172">
        <f>Hoja22!F14</f>
        <v>0</v>
      </c>
      <c r="E328" s="126">
        <f>Hoja22!K14</f>
        <v>0</v>
      </c>
      <c r="F328" s="126">
        <f>Hoja22!L14</f>
        <v>0</v>
      </c>
      <c r="G328" s="127">
        <f t="shared" si="21"/>
        <v>0</v>
      </c>
    </row>
    <row r="329" spans="1:7" x14ac:dyDescent="0.25">
      <c r="A329" s="170" t="str">
        <f>IFERROR(DATEVALUE(CONCATENATE(CONCATENATE(REPT("0",2-LEN(Hoja22!A15)),Hoja22!A15),"/",CONCATENATE(REPT("0",2-LEN(Hoja22!B15)),Hoja22!B15),"/",Hoja22!$A$4)),"")</f>
        <v/>
      </c>
      <c r="B329" s="171" t="str">
        <f>CONCATENATE(Hoja22!D15,"-",Hoja22!E15)</f>
        <v>-</v>
      </c>
      <c r="C329" s="172">
        <f>Hoja22!C15</f>
        <v>0</v>
      </c>
      <c r="D329" s="172">
        <f>Hoja22!F15</f>
        <v>0</v>
      </c>
      <c r="E329" s="126">
        <f>Hoja22!K15</f>
        <v>0</v>
      </c>
      <c r="F329" s="126">
        <f>Hoja22!L15</f>
        <v>0</v>
      </c>
      <c r="G329" s="127">
        <f t="shared" si="21"/>
        <v>0</v>
      </c>
    </row>
    <row r="330" spans="1:7" x14ac:dyDescent="0.25">
      <c r="A330" s="170" t="str">
        <f>IFERROR(DATEVALUE(CONCATENATE(CONCATENATE(REPT("0",2-LEN(Hoja22!A16)),Hoja22!A16),"/",CONCATENATE(REPT("0",2-LEN(Hoja22!B16)),Hoja22!B16),"/",Hoja22!$A$4)),"")</f>
        <v/>
      </c>
      <c r="B330" s="171" t="str">
        <f>CONCATENATE(Hoja22!D16,"-",Hoja22!E16)</f>
        <v>-</v>
      </c>
      <c r="C330" s="172">
        <f>Hoja22!C16</f>
        <v>0</v>
      </c>
      <c r="D330" s="172">
        <f>Hoja22!F16</f>
        <v>0</v>
      </c>
      <c r="E330" s="126">
        <f>Hoja22!K16</f>
        <v>0</v>
      </c>
      <c r="F330" s="126">
        <f>Hoja22!L16</f>
        <v>0</v>
      </c>
      <c r="G330" s="127">
        <f t="shared" si="21"/>
        <v>0</v>
      </c>
    </row>
    <row r="331" spans="1:7" x14ac:dyDescent="0.25">
      <c r="A331" s="170" t="str">
        <f>IFERROR(DATEVALUE(CONCATENATE(CONCATENATE(REPT("0",2-LEN(Hoja22!A17)),Hoja22!A17),"/",CONCATENATE(REPT("0",2-LEN(Hoja22!B17)),Hoja22!B17),"/",Hoja22!$A$4)),"")</f>
        <v/>
      </c>
      <c r="B331" s="171" t="str">
        <f>CONCATENATE(Hoja22!D17,"-",Hoja22!E17)</f>
        <v>-</v>
      </c>
      <c r="C331" s="172">
        <f>Hoja22!C17</f>
        <v>0</v>
      </c>
      <c r="D331" s="172">
        <f>Hoja22!F17</f>
        <v>0</v>
      </c>
      <c r="E331" s="126">
        <f>Hoja22!K17</f>
        <v>0</v>
      </c>
      <c r="F331" s="126">
        <f>Hoja22!L17</f>
        <v>0</v>
      </c>
      <c r="G331" s="127">
        <f t="shared" si="21"/>
        <v>0</v>
      </c>
    </row>
    <row r="332" spans="1:7" x14ac:dyDescent="0.25">
      <c r="A332" s="170" t="str">
        <f>IFERROR(DATEVALUE(CONCATENATE(CONCATENATE(REPT("0",2-LEN(Hoja22!A18)),Hoja22!A18),"/",CONCATENATE(REPT("0",2-LEN(Hoja22!B18)),Hoja22!B18),"/",Hoja22!$A$4)),"")</f>
        <v/>
      </c>
      <c r="B332" s="171" t="str">
        <f>CONCATENATE(Hoja22!D18,"-",Hoja22!E18)</f>
        <v>-</v>
      </c>
      <c r="C332" s="172">
        <f>Hoja22!C18</f>
        <v>0</v>
      </c>
      <c r="D332" s="172">
        <f>Hoja22!F18</f>
        <v>0</v>
      </c>
      <c r="E332" s="126">
        <f>Hoja22!K18</f>
        <v>0</v>
      </c>
      <c r="F332" s="126">
        <f>Hoja22!L18</f>
        <v>0</v>
      </c>
      <c r="G332" s="127">
        <f t="shared" si="21"/>
        <v>0</v>
      </c>
    </row>
    <row r="333" spans="1:7" x14ac:dyDescent="0.25">
      <c r="A333" s="170" t="str">
        <f>IFERROR(DATEVALUE(CONCATENATE(CONCATENATE(REPT("0",2-LEN(Hoja22!A19)),Hoja22!A19),"/",CONCATENATE(REPT("0",2-LEN(Hoja22!B19)),Hoja22!B19),"/",Hoja22!$A$4)),"")</f>
        <v/>
      </c>
      <c r="B333" s="171" t="str">
        <f>CONCATENATE(Hoja22!D19,"-",Hoja22!E19)</f>
        <v>-</v>
      </c>
      <c r="C333" s="172">
        <f>Hoja22!C19</f>
        <v>0</v>
      </c>
      <c r="D333" s="172">
        <f>Hoja22!F19</f>
        <v>0</v>
      </c>
      <c r="E333" s="126">
        <f>Hoja22!K19</f>
        <v>0</v>
      </c>
      <c r="F333" s="126">
        <f>Hoja22!L19</f>
        <v>0</v>
      </c>
      <c r="G333" s="127">
        <f t="shared" si="21"/>
        <v>0</v>
      </c>
    </row>
    <row r="334" spans="1:7" x14ac:dyDescent="0.25">
      <c r="A334" s="170" t="str">
        <f>IFERROR(DATEVALUE(CONCATENATE(CONCATENATE(REPT("0",2-LEN(Hoja22!A20)),Hoja22!A20),"/",CONCATENATE(REPT("0",2-LEN(Hoja22!B20)),Hoja22!B20),"/",Hoja22!$A$4)),"")</f>
        <v/>
      </c>
      <c r="B334" s="171" t="str">
        <f>CONCATENATE(Hoja22!D20,"-",Hoja22!E20)</f>
        <v>-</v>
      </c>
      <c r="C334" s="172">
        <f>Hoja22!C20</f>
        <v>0</v>
      </c>
      <c r="D334" s="172">
        <f>Hoja22!F20</f>
        <v>0</v>
      </c>
      <c r="E334" s="126">
        <f>Hoja22!K20</f>
        <v>0</v>
      </c>
      <c r="F334" s="126">
        <f>Hoja22!L20</f>
        <v>0</v>
      </c>
      <c r="G334" s="127">
        <f t="shared" si="21"/>
        <v>0</v>
      </c>
    </row>
    <row r="335" spans="1:7" ht="13.8" thickBot="1" x14ac:dyDescent="0.3">
      <c r="A335" s="173" t="str">
        <f>IFERROR(DATEVALUE(CONCATENATE(CONCATENATE(REPT("0",2-LEN(Hoja22!A21)),Hoja22!A21),"/",CONCATENATE(REPT("0",2-LEN(Hoja22!B21)),Hoja22!B21),"/",Hoja22!$A$4)),"")</f>
        <v/>
      </c>
      <c r="B335" s="174" t="str">
        <f>CONCATENATE(Hoja22!D21,"-",Hoja22!E21)</f>
        <v>-</v>
      </c>
      <c r="C335" s="175">
        <f>Hoja22!C21</f>
        <v>0</v>
      </c>
      <c r="D335" s="175">
        <f>Hoja22!F21</f>
        <v>0</v>
      </c>
      <c r="E335" s="128">
        <f>Hoja22!K21</f>
        <v>0</v>
      </c>
      <c r="F335" s="128">
        <f>Hoja22!L21</f>
        <v>0</v>
      </c>
      <c r="G335" s="129">
        <f t="shared" si="21"/>
        <v>0</v>
      </c>
    </row>
    <row r="336" spans="1:7" x14ac:dyDescent="0.25">
      <c r="A336" s="152" t="str">
        <f>IFERROR(DATEVALUE(CONCATENATE(CONCATENATE(REPT("0",2-LEN(Hoja23!A7)),Hoja23!A7),"/",CONCATENATE(REPT("0",2-LEN(Hoja23!B7)),Hoja23!B7),"/",Hoja23!$A$4)),"")</f>
        <v/>
      </c>
      <c r="B336" s="153" t="str">
        <f>CONCATENATE(Hoja23!D7,"-",Hoja23!E7)</f>
        <v>-</v>
      </c>
      <c r="C336" s="154">
        <f>Hoja23!C7</f>
        <v>0</v>
      </c>
      <c r="D336" s="154">
        <f>Hoja23!F7</f>
        <v>0</v>
      </c>
      <c r="E336" s="155">
        <f>Hoja23!K7</f>
        <v>0</v>
      </c>
      <c r="F336" s="155">
        <f>Hoja23!L7</f>
        <v>0</v>
      </c>
      <c r="G336" s="156">
        <f t="shared" ref="G336:G351" si="22">+E336+F336</f>
        <v>0</v>
      </c>
    </row>
    <row r="337" spans="1:7" x14ac:dyDescent="0.25">
      <c r="A337" s="157" t="str">
        <f>IFERROR(DATEVALUE(CONCATENATE(CONCATENATE(REPT("0",2-LEN(Hoja23!A8)),Hoja23!A8),"/",CONCATENATE(REPT("0",2-LEN(Hoja23!B8)),Hoja23!B8),"/",Hoja23!$A$4)),"")</f>
        <v/>
      </c>
      <c r="B337" s="158" t="str">
        <f>CONCATENATE(Hoja23!D8,"-",Hoja23!E8)</f>
        <v>-</v>
      </c>
      <c r="C337" s="159">
        <f>Hoja23!C8</f>
        <v>0</v>
      </c>
      <c r="D337" s="159">
        <f>Hoja23!F8</f>
        <v>0</v>
      </c>
      <c r="E337" s="160">
        <f>Hoja23!K8</f>
        <v>0</v>
      </c>
      <c r="F337" s="160">
        <f>Hoja23!L8</f>
        <v>0</v>
      </c>
      <c r="G337" s="161">
        <f t="shared" ref="G337:G350" si="23">+E337+F337</f>
        <v>0</v>
      </c>
    </row>
    <row r="338" spans="1:7" x14ac:dyDescent="0.25">
      <c r="A338" s="157" t="str">
        <f>IFERROR(DATEVALUE(CONCATENATE(CONCATENATE(REPT("0",2-LEN(Hoja23!A9)),Hoja23!A9),"/",CONCATENATE(REPT("0",2-LEN(Hoja23!B9)),Hoja23!B9),"/",Hoja23!$A$4)),"")</f>
        <v/>
      </c>
      <c r="B338" s="158" t="str">
        <f>CONCATENATE(Hoja23!D9,"-",Hoja23!E9)</f>
        <v>-</v>
      </c>
      <c r="C338" s="159">
        <f>Hoja23!C9</f>
        <v>0</v>
      </c>
      <c r="D338" s="159">
        <f>Hoja23!F9</f>
        <v>0</v>
      </c>
      <c r="E338" s="160">
        <f>Hoja23!K9</f>
        <v>0</v>
      </c>
      <c r="F338" s="160">
        <f>Hoja23!L9</f>
        <v>0</v>
      </c>
      <c r="G338" s="161">
        <f t="shared" si="23"/>
        <v>0</v>
      </c>
    </row>
    <row r="339" spans="1:7" x14ac:dyDescent="0.25">
      <c r="A339" s="157" t="str">
        <f>IFERROR(DATEVALUE(CONCATENATE(CONCATENATE(REPT("0",2-LEN(Hoja23!A10)),Hoja23!A10),"/",CONCATENATE(REPT("0",2-LEN(Hoja23!B10)),Hoja23!B10),"/",Hoja23!$A$4)),"")</f>
        <v/>
      </c>
      <c r="B339" s="158" t="str">
        <f>CONCATENATE(Hoja23!D10,"-",Hoja23!E10)</f>
        <v>-</v>
      </c>
      <c r="C339" s="159">
        <f>Hoja23!C10</f>
        <v>0</v>
      </c>
      <c r="D339" s="159">
        <f>Hoja23!F10</f>
        <v>0</v>
      </c>
      <c r="E339" s="160">
        <f>Hoja23!K10</f>
        <v>0</v>
      </c>
      <c r="F339" s="160">
        <f>Hoja23!L10</f>
        <v>0</v>
      </c>
      <c r="G339" s="161">
        <f t="shared" si="23"/>
        <v>0</v>
      </c>
    </row>
    <row r="340" spans="1:7" x14ac:dyDescent="0.25">
      <c r="A340" s="157" t="str">
        <f>IFERROR(DATEVALUE(CONCATENATE(CONCATENATE(REPT("0",2-LEN(Hoja23!A11)),Hoja23!A11),"/",CONCATENATE(REPT("0",2-LEN(Hoja23!B11)),Hoja23!B11),"/",Hoja23!$A$4)),"")</f>
        <v/>
      </c>
      <c r="B340" s="158" t="str">
        <f>CONCATENATE(Hoja23!D11,"-",Hoja23!E11)</f>
        <v>-</v>
      </c>
      <c r="C340" s="159">
        <f>Hoja23!C11</f>
        <v>0</v>
      </c>
      <c r="D340" s="159">
        <f>Hoja23!F11</f>
        <v>0</v>
      </c>
      <c r="E340" s="160">
        <f>Hoja23!K11</f>
        <v>0</v>
      </c>
      <c r="F340" s="160">
        <f>Hoja23!L11</f>
        <v>0</v>
      </c>
      <c r="G340" s="161">
        <f t="shared" si="23"/>
        <v>0</v>
      </c>
    </row>
    <row r="341" spans="1:7" x14ac:dyDescent="0.25">
      <c r="A341" s="157" t="str">
        <f>IFERROR(DATEVALUE(CONCATENATE(CONCATENATE(REPT("0",2-LEN(Hoja23!A12)),Hoja23!A12),"/",CONCATENATE(REPT("0",2-LEN(Hoja23!B12)),Hoja23!B12),"/",Hoja23!$A$4)),"")</f>
        <v/>
      </c>
      <c r="B341" s="158" t="str">
        <f>CONCATENATE(Hoja23!D12,"-",Hoja23!E12)</f>
        <v>-</v>
      </c>
      <c r="C341" s="159">
        <f>Hoja23!C12</f>
        <v>0</v>
      </c>
      <c r="D341" s="159">
        <f>Hoja23!F12</f>
        <v>0</v>
      </c>
      <c r="E341" s="160">
        <f>Hoja23!K12</f>
        <v>0</v>
      </c>
      <c r="F341" s="160">
        <f>Hoja23!L12</f>
        <v>0</v>
      </c>
      <c r="G341" s="161">
        <f t="shared" si="23"/>
        <v>0</v>
      </c>
    </row>
    <row r="342" spans="1:7" x14ac:dyDescent="0.25">
      <c r="A342" s="157" t="str">
        <f>IFERROR(DATEVALUE(CONCATENATE(CONCATENATE(REPT("0",2-LEN(Hoja23!A13)),Hoja23!A13),"/",CONCATENATE(REPT("0",2-LEN(Hoja23!B13)),Hoja23!B13),"/",Hoja23!$A$4)),"")</f>
        <v/>
      </c>
      <c r="B342" s="158" t="str">
        <f>CONCATENATE(Hoja23!D13,"-",Hoja23!E13)</f>
        <v>-</v>
      </c>
      <c r="C342" s="159">
        <f>Hoja23!C13</f>
        <v>0</v>
      </c>
      <c r="D342" s="159">
        <f>Hoja23!F13</f>
        <v>0</v>
      </c>
      <c r="E342" s="160">
        <f>Hoja23!K13</f>
        <v>0</v>
      </c>
      <c r="F342" s="160">
        <f>Hoja23!L13</f>
        <v>0</v>
      </c>
      <c r="G342" s="161">
        <f t="shared" si="23"/>
        <v>0</v>
      </c>
    </row>
    <row r="343" spans="1:7" x14ac:dyDescent="0.25">
      <c r="A343" s="157" t="str">
        <f>IFERROR(DATEVALUE(CONCATENATE(CONCATENATE(REPT("0",2-LEN(Hoja23!A14)),Hoja23!A14),"/",CONCATENATE(REPT("0",2-LEN(Hoja23!B14)),Hoja23!B14),"/",Hoja23!$A$4)),"")</f>
        <v/>
      </c>
      <c r="B343" s="158" t="str">
        <f>CONCATENATE(Hoja23!D14,"-",Hoja23!E14)</f>
        <v>-</v>
      </c>
      <c r="C343" s="159">
        <f>Hoja23!C14</f>
        <v>0</v>
      </c>
      <c r="D343" s="159">
        <f>Hoja23!F14</f>
        <v>0</v>
      </c>
      <c r="E343" s="160">
        <f>Hoja23!K14</f>
        <v>0</v>
      </c>
      <c r="F343" s="160">
        <f>Hoja23!L14</f>
        <v>0</v>
      </c>
      <c r="G343" s="161">
        <f t="shared" si="23"/>
        <v>0</v>
      </c>
    </row>
    <row r="344" spans="1:7" x14ac:dyDescent="0.25">
      <c r="A344" s="157" t="str">
        <f>IFERROR(DATEVALUE(CONCATENATE(CONCATENATE(REPT("0",2-LEN(Hoja23!A15)),Hoja23!A15),"/",CONCATENATE(REPT("0",2-LEN(Hoja23!B15)),Hoja23!B15),"/",Hoja23!$A$4)),"")</f>
        <v/>
      </c>
      <c r="B344" s="158" t="str">
        <f>CONCATENATE(Hoja23!D15,"-",Hoja23!E15)</f>
        <v>-</v>
      </c>
      <c r="C344" s="159">
        <f>Hoja23!C15</f>
        <v>0</v>
      </c>
      <c r="D344" s="159">
        <f>Hoja23!F15</f>
        <v>0</v>
      </c>
      <c r="E344" s="160">
        <f>Hoja23!K15</f>
        <v>0</v>
      </c>
      <c r="F344" s="160">
        <f>Hoja23!L15</f>
        <v>0</v>
      </c>
      <c r="G344" s="161">
        <f t="shared" si="23"/>
        <v>0</v>
      </c>
    </row>
    <row r="345" spans="1:7" x14ac:dyDescent="0.25">
      <c r="A345" s="157" t="str">
        <f>IFERROR(DATEVALUE(CONCATENATE(CONCATENATE(REPT("0",2-LEN(Hoja23!A16)),Hoja23!A16),"/",CONCATENATE(REPT("0",2-LEN(Hoja23!B16)),Hoja23!B16),"/",Hoja23!$A$4)),"")</f>
        <v/>
      </c>
      <c r="B345" s="158" t="str">
        <f>CONCATENATE(Hoja23!D16,"-",Hoja23!E16)</f>
        <v>-</v>
      </c>
      <c r="C345" s="159">
        <f>Hoja23!C16</f>
        <v>0</v>
      </c>
      <c r="D345" s="159">
        <f>Hoja23!F16</f>
        <v>0</v>
      </c>
      <c r="E345" s="160">
        <f>Hoja23!K16</f>
        <v>0</v>
      </c>
      <c r="F345" s="160">
        <f>Hoja23!L16</f>
        <v>0</v>
      </c>
      <c r="G345" s="161">
        <f t="shared" si="23"/>
        <v>0</v>
      </c>
    </row>
    <row r="346" spans="1:7" x14ac:dyDescent="0.25">
      <c r="A346" s="157" t="str">
        <f>IFERROR(DATEVALUE(CONCATENATE(CONCATENATE(REPT("0",2-LEN(Hoja23!A17)),Hoja23!A17),"/",CONCATENATE(REPT("0",2-LEN(Hoja23!B17)),Hoja23!B17),"/",Hoja23!$A$4)),"")</f>
        <v/>
      </c>
      <c r="B346" s="158" t="str">
        <f>CONCATENATE(Hoja23!D17,"-",Hoja23!E17)</f>
        <v>-</v>
      </c>
      <c r="C346" s="159">
        <f>Hoja23!C17</f>
        <v>0</v>
      </c>
      <c r="D346" s="159">
        <f>Hoja23!F17</f>
        <v>0</v>
      </c>
      <c r="E346" s="160">
        <f>Hoja23!K17</f>
        <v>0</v>
      </c>
      <c r="F346" s="160">
        <f>Hoja23!L17</f>
        <v>0</v>
      </c>
      <c r="G346" s="161">
        <f t="shared" si="23"/>
        <v>0</v>
      </c>
    </row>
    <row r="347" spans="1:7" x14ac:dyDescent="0.25">
      <c r="A347" s="157" t="str">
        <f>IFERROR(DATEVALUE(CONCATENATE(CONCATENATE(REPT("0",2-LEN(Hoja23!A18)),Hoja23!A18),"/",CONCATENATE(REPT("0",2-LEN(Hoja23!B18)),Hoja23!B18),"/",Hoja23!$A$4)),"")</f>
        <v/>
      </c>
      <c r="B347" s="158" t="str">
        <f>CONCATENATE(Hoja23!D18,"-",Hoja23!E18)</f>
        <v>-</v>
      </c>
      <c r="C347" s="159">
        <f>Hoja23!C18</f>
        <v>0</v>
      </c>
      <c r="D347" s="159">
        <f>Hoja23!F18</f>
        <v>0</v>
      </c>
      <c r="E347" s="160">
        <f>Hoja23!K18</f>
        <v>0</v>
      </c>
      <c r="F347" s="160">
        <f>Hoja23!L18</f>
        <v>0</v>
      </c>
      <c r="G347" s="161">
        <f t="shared" si="23"/>
        <v>0</v>
      </c>
    </row>
    <row r="348" spans="1:7" x14ac:dyDescent="0.25">
      <c r="A348" s="157" t="str">
        <f>IFERROR(DATEVALUE(CONCATENATE(CONCATENATE(REPT("0",2-LEN(Hoja23!A19)),Hoja23!A19),"/",CONCATENATE(REPT("0",2-LEN(Hoja23!B19)),Hoja23!B19),"/",Hoja23!$A$4)),"")</f>
        <v/>
      </c>
      <c r="B348" s="158" t="str">
        <f>CONCATENATE(Hoja23!D19,"-",Hoja23!E19)</f>
        <v>-</v>
      </c>
      <c r="C348" s="159">
        <f>Hoja23!C19</f>
        <v>0</v>
      </c>
      <c r="D348" s="159">
        <f>Hoja23!F19</f>
        <v>0</v>
      </c>
      <c r="E348" s="160">
        <f>Hoja23!K19</f>
        <v>0</v>
      </c>
      <c r="F348" s="160">
        <f>Hoja23!L19</f>
        <v>0</v>
      </c>
      <c r="G348" s="161">
        <f t="shared" si="23"/>
        <v>0</v>
      </c>
    </row>
    <row r="349" spans="1:7" x14ac:dyDescent="0.25">
      <c r="A349" s="157" t="str">
        <f>IFERROR(DATEVALUE(CONCATENATE(CONCATENATE(REPT("0",2-LEN(Hoja23!A20)),Hoja23!A20),"/",CONCATENATE(REPT("0",2-LEN(Hoja23!B20)),Hoja23!B20),"/",Hoja23!$A$4)),"")</f>
        <v/>
      </c>
      <c r="B349" s="158" t="str">
        <f>CONCATENATE(Hoja23!D20,"-",Hoja23!E20)</f>
        <v>-</v>
      </c>
      <c r="C349" s="159">
        <f>Hoja23!C20</f>
        <v>0</v>
      </c>
      <c r="D349" s="159">
        <f>Hoja23!F20</f>
        <v>0</v>
      </c>
      <c r="E349" s="160">
        <f>Hoja23!K20</f>
        <v>0</v>
      </c>
      <c r="F349" s="160">
        <f>Hoja23!L20</f>
        <v>0</v>
      </c>
      <c r="G349" s="161">
        <f t="shared" si="23"/>
        <v>0</v>
      </c>
    </row>
    <row r="350" spans="1:7" ht="13.8" thickBot="1" x14ac:dyDescent="0.3">
      <c r="A350" s="176" t="str">
        <f>IFERROR(DATEVALUE(CONCATENATE(CONCATENATE(REPT("0",2-LEN(Hoja23!A21)),Hoja23!A21),"/",CONCATENATE(REPT("0",2-LEN(Hoja23!B21)),Hoja23!B21),"/",Hoja23!$A$4)),"")</f>
        <v/>
      </c>
      <c r="B350" s="177" t="str">
        <f>CONCATENATE(Hoja23!D21,"-",Hoja23!E21)</f>
        <v>-</v>
      </c>
      <c r="C350" s="178">
        <f>Hoja23!C21</f>
        <v>0</v>
      </c>
      <c r="D350" s="178">
        <f>Hoja23!F21</f>
        <v>0</v>
      </c>
      <c r="E350" s="179">
        <f>Hoja23!K21</f>
        <v>0</v>
      </c>
      <c r="F350" s="179">
        <f>Hoja23!L21</f>
        <v>0</v>
      </c>
      <c r="G350" s="180">
        <f t="shared" si="23"/>
        <v>0</v>
      </c>
    </row>
    <row r="351" spans="1:7" x14ac:dyDescent="0.25">
      <c r="A351" s="167" t="str">
        <f>IFERROR(DATEVALUE(CONCATENATE(CONCATENATE(REPT("0",2-LEN(Hoja24!A7)),Hoja24!A7),"/",CONCATENATE(REPT("0",2-LEN(Hoja24!B7)),Hoja24!B7),"/",Hoja24!$A$4)),"")</f>
        <v/>
      </c>
      <c r="B351" s="168" t="str">
        <f>CONCATENATE(Hoja24!D7,"-",Hoja24!E7)</f>
        <v>-</v>
      </c>
      <c r="C351" s="169">
        <f>Hoja24!C7</f>
        <v>0</v>
      </c>
      <c r="D351" s="169">
        <f>Hoja24!F7</f>
        <v>0</v>
      </c>
      <c r="E351" s="134">
        <f>Hoja24!K7</f>
        <v>0</v>
      </c>
      <c r="F351" s="134">
        <f>Hoja24!L7</f>
        <v>0</v>
      </c>
      <c r="G351" s="135">
        <f t="shared" si="22"/>
        <v>0</v>
      </c>
    </row>
    <row r="352" spans="1:7" x14ac:dyDescent="0.25">
      <c r="A352" s="170" t="str">
        <f>IFERROR(DATEVALUE(CONCATENATE(CONCATENATE(REPT("0",2-LEN(Hoja24!A8)),Hoja24!A8),"/",CONCATENATE(REPT("0",2-LEN(Hoja24!B8)),Hoja24!B8),"/",Hoja24!$A$4)),"")</f>
        <v/>
      </c>
      <c r="B352" s="171" t="str">
        <f>CONCATENATE(Hoja24!D8,"-",Hoja24!E8)</f>
        <v>-</v>
      </c>
      <c r="C352" s="172">
        <f>Hoja24!C8</f>
        <v>0</v>
      </c>
      <c r="D352" s="172">
        <f>Hoja24!F8</f>
        <v>0</v>
      </c>
      <c r="E352" s="126">
        <f>Hoja24!K8</f>
        <v>0</v>
      </c>
      <c r="F352" s="126">
        <f>Hoja24!L8</f>
        <v>0</v>
      </c>
      <c r="G352" s="127">
        <f t="shared" ref="G352:G366" si="24">+E352+F352</f>
        <v>0</v>
      </c>
    </row>
    <row r="353" spans="1:7" x14ac:dyDescent="0.25">
      <c r="A353" s="170" t="str">
        <f>IFERROR(DATEVALUE(CONCATENATE(CONCATENATE(REPT("0",2-LEN(Hoja24!A9)),Hoja24!A9),"/",CONCATENATE(REPT("0",2-LEN(Hoja24!B9)),Hoja24!B9),"/",Hoja24!$A$4)),"")</f>
        <v/>
      </c>
      <c r="B353" s="171" t="str">
        <f>CONCATENATE(Hoja24!D9,"-",Hoja24!E9)</f>
        <v>-</v>
      </c>
      <c r="C353" s="172">
        <f>Hoja24!C9</f>
        <v>0</v>
      </c>
      <c r="D353" s="172">
        <f>Hoja24!F9</f>
        <v>0</v>
      </c>
      <c r="E353" s="126">
        <f>Hoja24!K9</f>
        <v>0</v>
      </c>
      <c r="F353" s="126">
        <f>Hoja24!L9</f>
        <v>0</v>
      </c>
      <c r="G353" s="127">
        <f t="shared" si="24"/>
        <v>0</v>
      </c>
    </row>
    <row r="354" spans="1:7" x14ac:dyDescent="0.25">
      <c r="A354" s="170" t="str">
        <f>IFERROR(DATEVALUE(CONCATENATE(CONCATENATE(REPT("0",2-LEN(Hoja24!A10)),Hoja24!A10),"/",CONCATENATE(REPT("0",2-LEN(Hoja24!B10)),Hoja24!B10),"/",Hoja24!$A$4)),"")</f>
        <v/>
      </c>
      <c r="B354" s="171" t="str">
        <f>CONCATENATE(Hoja24!D10,"-",Hoja24!E10)</f>
        <v>-</v>
      </c>
      <c r="C354" s="172">
        <f>Hoja24!C10</f>
        <v>0</v>
      </c>
      <c r="D354" s="172">
        <f>Hoja24!F10</f>
        <v>0</v>
      </c>
      <c r="E354" s="126">
        <f>Hoja24!K10</f>
        <v>0</v>
      </c>
      <c r="F354" s="126">
        <f>Hoja24!L10</f>
        <v>0</v>
      </c>
      <c r="G354" s="127">
        <f t="shared" si="24"/>
        <v>0</v>
      </c>
    </row>
    <row r="355" spans="1:7" x14ac:dyDescent="0.25">
      <c r="A355" s="170" t="str">
        <f>IFERROR(DATEVALUE(CONCATENATE(CONCATENATE(REPT("0",2-LEN(Hoja24!A11)),Hoja24!A11),"/",CONCATENATE(REPT("0",2-LEN(Hoja24!B11)),Hoja24!B11),"/",Hoja24!$A$4)),"")</f>
        <v/>
      </c>
      <c r="B355" s="171" t="str">
        <f>CONCATENATE(Hoja24!D11,"-",Hoja24!E11)</f>
        <v>-</v>
      </c>
      <c r="C355" s="172">
        <f>Hoja24!C11</f>
        <v>0</v>
      </c>
      <c r="D355" s="172">
        <f>Hoja24!F11</f>
        <v>0</v>
      </c>
      <c r="E355" s="126">
        <f>Hoja24!K11</f>
        <v>0</v>
      </c>
      <c r="F355" s="126">
        <f>Hoja24!L11</f>
        <v>0</v>
      </c>
      <c r="G355" s="127">
        <f t="shared" si="24"/>
        <v>0</v>
      </c>
    </row>
    <row r="356" spans="1:7" x14ac:dyDescent="0.25">
      <c r="A356" s="170" t="str">
        <f>IFERROR(DATEVALUE(CONCATENATE(CONCATENATE(REPT("0",2-LEN(Hoja24!A12)),Hoja24!A12),"/",CONCATENATE(REPT("0",2-LEN(Hoja24!B12)),Hoja24!B12),"/",Hoja24!$A$4)),"")</f>
        <v/>
      </c>
      <c r="B356" s="171" t="str">
        <f>CONCATENATE(Hoja24!D12,"-",Hoja24!E12)</f>
        <v>-</v>
      </c>
      <c r="C356" s="172">
        <f>Hoja24!C12</f>
        <v>0</v>
      </c>
      <c r="D356" s="172">
        <f>Hoja24!F12</f>
        <v>0</v>
      </c>
      <c r="E356" s="126">
        <f>Hoja24!K12</f>
        <v>0</v>
      </c>
      <c r="F356" s="126">
        <f>Hoja24!L12</f>
        <v>0</v>
      </c>
      <c r="G356" s="127">
        <f t="shared" si="24"/>
        <v>0</v>
      </c>
    </row>
    <row r="357" spans="1:7" x14ac:dyDescent="0.25">
      <c r="A357" s="170" t="str">
        <f>IFERROR(DATEVALUE(CONCATENATE(CONCATENATE(REPT("0",2-LEN(Hoja24!A13)),Hoja24!A13),"/",CONCATENATE(REPT("0",2-LEN(Hoja24!B13)),Hoja24!B13),"/",Hoja24!$A$4)),"")</f>
        <v/>
      </c>
      <c r="B357" s="171" t="str">
        <f>CONCATENATE(Hoja24!D13,"-",Hoja24!E13)</f>
        <v>-</v>
      </c>
      <c r="C357" s="172">
        <f>Hoja24!C13</f>
        <v>0</v>
      </c>
      <c r="D357" s="172">
        <f>Hoja24!F13</f>
        <v>0</v>
      </c>
      <c r="E357" s="126">
        <f>Hoja24!K13</f>
        <v>0</v>
      </c>
      <c r="F357" s="126">
        <f>Hoja24!L13</f>
        <v>0</v>
      </c>
      <c r="G357" s="127">
        <f t="shared" si="24"/>
        <v>0</v>
      </c>
    </row>
    <row r="358" spans="1:7" x14ac:dyDescent="0.25">
      <c r="A358" s="170" t="str">
        <f>IFERROR(DATEVALUE(CONCATENATE(CONCATENATE(REPT("0",2-LEN(Hoja24!A14)),Hoja24!A14),"/",CONCATENATE(REPT("0",2-LEN(Hoja24!B14)),Hoja24!B14),"/",Hoja24!$A$4)),"")</f>
        <v/>
      </c>
      <c r="B358" s="171" t="str">
        <f>CONCATENATE(Hoja24!D14,"-",Hoja24!E14)</f>
        <v>-</v>
      </c>
      <c r="C358" s="172">
        <f>Hoja24!C14</f>
        <v>0</v>
      </c>
      <c r="D358" s="172">
        <f>Hoja24!F14</f>
        <v>0</v>
      </c>
      <c r="E358" s="126">
        <f>Hoja24!K14</f>
        <v>0</v>
      </c>
      <c r="F358" s="126">
        <f>Hoja24!L14</f>
        <v>0</v>
      </c>
      <c r="G358" s="127">
        <f t="shared" si="24"/>
        <v>0</v>
      </c>
    </row>
    <row r="359" spans="1:7" x14ac:dyDescent="0.25">
      <c r="A359" s="170" t="str">
        <f>IFERROR(DATEVALUE(CONCATENATE(CONCATENATE(REPT("0",2-LEN(Hoja24!A15)),Hoja24!A15),"/",CONCATENATE(REPT("0",2-LEN(Hoja24!B15)),Hoja24!B15),"/",Hoja24!$A$4)),"")</f>
        <v/>
      </c>
      <c r="B359" s="171" t="str">
        <f>CONCATENATE(Hoja24!D15,"-",Hoja24!E15)</f>
        <v>-</v>
      </c>
      <c r="C359" s="172">
        <f>Hoja24!C15</f>
        <v>0</v>
      </c>
      <c r="D359" s="172">
        <f>Hoja24!F15</f>
        <v>0</v>
      </c>
      <c r="E359" s="126">
        <f>Hoja24!K15</f>
        <v>0</v>
      </c>
      <c r="F359" s="126">
        <f>Hoja24!L15</f>
        <v>0</v>
      </c>
      <c r="G359" s="127">
        <f t="shared" si="24"/>
        <v>0</v>
      </c>
    </row>
    <row r="360" spans="1:7" x14ac:dyDescent="0.25">
      <c r="A360" s="170" t="str">
        <f>IFERROR(DATEVALUE(CONCATENATE(CONCATENATE(REPT("0",2-LEN(Hoja24!A16)),Hoja24!A16),"/",CONCATENATE(REPT("0",2-LEN(Hoja24!B16)),Hoja24!B16),"/",Hoja24!$A$4)),"")</f>
        <v/>
      </c>
      <c r="B360" s="171" t="str">
        <f>CONCATENATE(Hoja24!D16,"-",Hoja24!E16)</f>
        <v>-</v>
      </c>
      <c r="C360" s="172">
        <f>Hoja24!C16</f>
        <v>0</v>
      </c>
      <c r="D360" s="172">
        <f>Hoja24!F16</f>
        <v>0</v>
      </c>
      <c r="E360" s="126">
        <f>Hoja24!K16</f>
        <v>0</v>
      </c>
      <c r="F360" s="126">
        <f>Hoja24!L16</f>
        <v>0</v>
      </c>
      <c r="G360" s="127">
        <f t="shared" si="24"/>
        <v>0</v>
      </c>
    </row>
    <row r="361" spans="1:7" x14ac:dyDescent="0.25">
      <c r="A361" s="170" t="str">
        <f>IFERROR(DATEVALUE(CONCATENATE(CONCATENATE(REPT("0",2-LEN(Hoja24!A17)),Hoja24!A17),"/",CONCATENATE(REPT("0",2-LEN(Hoja24!B17)),Hoja24!B17),"/",Hoja24!$A$4)),"")</f>
        <v/>
      </c>
      <c r="B361" s="171" t="str">
        <f>CONCATENATE(Hoja24!D17,"-",Hoja24!E17)</f>
        <v>-</v>
      </c>
      <c r="C361" s="172">
        <f>Hoja24!C17</f>
        <v>0</v>
      </c>
      <c r="D361" s="172">
        <f>Hoja24!F17</f>
        <v>0</v>
      </c>
      <c r="E361" s="126">
        <f>Hoja24!K17</f>
        <v>0</v>
      </c>
      <c r="F361" s="126">
        <f>Hoja24!L17</f>
        <v>0</v>
      </c>
      <c r="G361" s="127">
        <f t="shared" si="24"/>
        <v>0</v>
      </c>
    </row>
    <row r="362" spans="1:7" x14ac:dyDescent="0.25">
      <c r="A362" s="170" t="str">
        <f>IFERROR(DATEVALUE(CONCATENATE(CONCATENATE(REPT("0",2-LEN(Hoja24!A18)),Hoja24!A18),"/",CONCATENATE(REPT("0",2-LEN(Hoja24!B18)),Hoja24!B18),"/",Hoja24!$A$4)),"")</f>
        <v/>
      </c>
      <c r="B362" s="171" t="str">
        <f>CONCATENATE(Hoja24!D18,"-",Hoja24!E18)</f>
        <v>-</v>
      </c>
      <c r="C362" s="172">
        <f>Hoja24!C18</f>
        <v>0</v>
      </c>
      <c r="D362" s="172">
        <f>Hoja24!F18</f>
        <v>0</v>
      </c>
      <c r="E362" s="126">
        <f>Hoja24!K18</f>
        <v>0</v>
      </c>
      <c r="F362" s="126">
        <f>Hoja24!L18</f>
        <v>0</v>
      </c>
      <c r="G362" s="127">
        <f t="shared" si="24"/>
        <v>0</v>
      </c>
    </row>
    <row r="363" spans="1:7" x14ac:dyDescent="0.25">
      <c r="A363" s="170" t="str">
        <f>IFERROR(DATEVALUE(CONCATENATE(CONCATENATE(REPT("0",2-LEN(Hoja24!A19)),Hoja24!A19),"/",CONCATENATE(REPT("0",2-LEN(Hoja24!B19)),Hoja24!B19),"/",Hoja24!$A$4)),"")</f>
        <v/>
      </c>
      <c r="B363" s="171" t="str">
        <f>CONCATENATE(Hoja24!D19,"-",Hoja24!E19)</f>
        <v>-</v>
      </c>
      <c r="C363" s="172">
        <f>Hoja24!C19</f>
        <v>0</v>
      </c>
      <c r="D363" s="172">
        <f>Hoja24!F19</f>
        <v>0</v>
      </c>
      <c r="E363" s="126">
        <f>Hoja24!K19</f>
        <v>0</v>
      </c>
      <c r="F363" s="126">
        <f>Hoja24!L19</f>
        <v>0</v>
      </c>
      <c r="G363" s="127">
        <f t="shared" si="24"/>
        <v>0</v>
      </c>
    </row>
    <row r="364" spans="1:7" x14ac:dyDescent="0.25">
      <c r="A364" s="170" t="str">
        <f>IFERROR(DATEVALUE(CONCATENATE(CONCATENATE(REPT("0",2-LEN(Hoja24!A20)),Hoja24!A20),"/",CONCATENATE(REPT("0",2-LEN(Hoja24!B20)),Hoja24!B20),"/",Hoja24!$A$4)),"")</f>
        <v/>
      </c>
      <c r="B364" s="171" t="str">
        <f>CONCATENATE(Hoja24!D20,"-",Hoja24!E20)</f>
        <v>-</v>
      </c>
      <c r="C364" s="172">
        <f>Hoja24!C20</f>
        <v>0</v>
      </c>
      <c r="D364" s="172">
        <f>Hoja24!F20</f>
        <v>0</v>
      </c>
      <c r="E364" s="126">
        <f>Hoja24!K20</f>
        <v>0</v>
      </c>
      <c r="F364" s="126">
        <f>Hoja24!L20</f>
        <v>0</v>
      </c>
      <c r="G364" s="127">
        <f t="shared" si="24"/>
        <v>0</v>
      </c>
    </row>
    <row r="365" spans="1:7" ht="13.8" thickBot="1" x14ac:dyDescent="0.3">
      <c r="A365" s="173" t="str">
        <f>IFERROR(DATEVALUE(CONCATENATE(CONCATENATE(REPT("0",2-LEN(Hoja24!A21)),Hoja24!A21),"/",CONCATENATE(REPT("0",2-LEN(Hoja24!B21)),Hoja24!B21),"/",Hoja24!$A$4)),"")</f>
        <v/>
      </c>
      <c r="B365" s="174" t="str">
        <f>CONCATENATE(Hoja24!D21,"-",Hoja24!E21)</f>
        <v>-</v>
      </c>
      <c r="C365" s="175">
        <f>Hoja24!C21</f>
        <v>0</v>
      </c>
      <c r="D365" s="175">
        <f>Hoja24!F21</f>
        <v>0</v>
      </c>
      <c r="E365" s="128">
        <f>Hoja24!K21</f>
        <v>0</v>
      </c>
      <c r="F365" s="128">
        <f>Hoja24!L21</f>
        <v>0</v>
      </c>
      <c r="G365" s="129">
        <f t="shared" si="24"/>
        <v>0</v>
      </c>
    </row>
    <row r="366" spans="1:7" x14ac:dyDescent="0.25">
      <c r="A366" s="152" t="str">
        <f>IFERROR(DATEVALUE(CONCATENATE(CONCATENATE(REPT("0",2-LEN(Hoja25!A7)),Hoja25!A7),"/",CONCATENATE(REPT("0",2-LEN(Hoja25!B7)),Hoja25!B7),"/",Hoja25!$A$4)),"")</f>
        <v/>
      </c>
      <c r="B366" s="153" t="str">
        <f>CONCATENATE(Hoja25!D7,"-",Hoja25!E7)</f>
        <v>-</v>
      </c>
      <c r="C366" s="154">
        <f>Hoja25!C7</f>
        <v>0</v>
      </c>
      <c r="D366" s="154">
        <f>Hoja25!F7</f>
        <v>0</v>
      </c>
      <c r="E366" s="155">
        <f>Hoja25!K7</f>
        <v>0</v>
      </c>
      <c r="F366" s="155">
        <f>Hoja25!L7</f>
        <v>0</v>
      </c>
      <c r="G366" s="156">
        <f t="shared" si="24"/>
        <v>0</v>
      </c>
    </row>
    <row r="367" spans="1:7" x14ac:dyDescent="0.25">
      <c r="A367" s="157" t="str">
        <f>IFERROR(DATEVALUE(CONCATENATE(CONCATENATE(REPT("0",2-LEN(Hoja25!A8)),Hoja25!A8),"/",CONCATENATE(REPT("0",2-LEN(Hoja25!B8)),Hoja25!B8),"/",Hoja25!$A$4)),"")</f>
        <v/>
      </c>
      <c r="B367" s="158" t="str">
        <f>CONCATENATE(Hoja25!D8,"-",Hoja25!E8)</f>
        <v>-</v>
      </c>
      <c r="C367" s="159">
        <f>Hoja25!C8</f>
        <v>0</v>
      </c>
      <c r="D367" s="159">
        <f>Hoja25!F8</f>
        <v>0</v>
      </c>
      <c r="E367" s="160">
        <f>Hoja25!K8</f>
        <v>0</v>
      </c>
      <c r="F367" s="160">
        <f>Hoja25!L8</f>
        <v>0</v>
      </c>
      <c r="G367" s="161">
        <f t="shared" ref="G367:G380" si="25">+E367+F367</f>
        <v>0</v>
      </c>
    </row>
    <row r="368" spans="1:7" x14ac:dyDescent="0.25">
      <c r="A368" s="157" t="str">
        <f>IFERROR(DATEVALUE(CONCATENATE(CONCATENATE(REPT("0",2-LEN(Hoja25!A9)),Hoja25!A9),"/",CONCATENATE(REPT("0",2-LEN(Hoja25!B9)),Hoja25!B9),"/",Hoja25!$A$4)),"")</f>
        <v/>
      </c>
      <c r="B368" s="158" t="str">
        <f>CONCATENATE(Hoja25!D9,"-",Hoja25!E9)</f>
        <v>-</v>
      </c>
      <c r="C368" s="159">
        <f>Hoja25!C9</f>
        <v>0</v>
      </c>
      <c r="D368" s="159">
        <f>Hoja25!F9</f>
        <v>0</v>
      </c>
      <c r="E368" s="160">
        <f>Hoja25!K9</f>
        <v>0</v>
      </c>
      <c r="F368" s="160">
        <f>Hoja25!L9</f>
        <v>0</v>
      </c>
      <c r="G368" s="161">
        <f t="shared" si="25"/>
        <v>0</v>
      </c>
    </row>
    <row r="369" spans="1:7" x14ac:dyDescent="0.25">
      <c r="A369" s="157" t="str">
        <f>IFERROR(DATEVALUE(CONCATENATE(CONCATENATE(REPT("0",2-LEN(Hoja25!A10)),Hoja25!A10),"/",CONCATENATE(REPT("0",2-LEN(Hoja25!B10)),Hoja25!B10),"/",Hoja25!$A$4)),"")</f>
        <v/>
      </c>
      <c r="B369" s="158" t="str">
        <f>CONCATENATE(Hoja25!D10,"-",Hoja25!E10)</f>
        <v>-</v>
      </c>
      <c r="C369" s="159">
        <f>Hoja25!C10</f>
        <v>0</v>
      </c>
      <c r="D369" s="159">
        <f>Hoja25!F10</f>
        <v>0</v>
      </c>
      <c r="E369" s="160">
        <f>Hoja25!K10</f>
        <v>0</v>
      </c>
      <c r="F369" s="160">
        <f>Hoja25!L10</f>
        <v>0</v>
      </c>
      <c r="G369" s="161">
        <f t="shared" si="25"/>
        <v>0</v>
      </c>
    </row>
    <row r="370" spans="1:7" x14ac:dyDescent="0.25">
      <c r="A370" s="157" t="str">
        <f>IFERROR(DATEVALUE(CONCATENATE(CONCATENATE(REPT("0",2-LEN(Hoja25!A11)),Hoja25!A11),"/",CONCATENATE(REPT("0",2-LEN(Hoja25!B11)),Hoja25!B11),"/",Hoja25!$A$4)),"")</f>
        <v/>
      </c>
      <c r="B370" s="158" t="str">
        <f>CONCATENATE(Hoja25!D11,"-",Hoja25!E11)</f>
        <v>-</v>
      </c>
      <c r="C370" s="159">
        <f>Hoja25!C11</f>
        <v>0</v>
      </c>
      <c r="D370" s="159">
        <f>Hoja25!F11</f>
        <v>0</v>
      </c>
      <c r="E370" s="160">
        <f>Hoja25!K11</f>
        <v>0</v>
      </c>
      <c r="F370" s="160">
        <f>Hoja25!L11</f>
        <v>0</v>
      </c>
      <c r="G370" s="161">
        <f t="shared" si="25"/>
        <v>0</v>
      </c>
    </row>
    <row r="371" spans="1:7" x14ac:dyDescent="0.25">
      <c r="A371" s="157" t="str">
        <f>IFERROR(DATEVALUE(CONCATENATE(CONCATENATE(REPT("0",2-LEN(Hoja25!A12)),Hoja25!A12),"/",CONCATENATE(REPT("0",2-LEN(Hoja25!B12)),Hoja25!B12),"/",Hoja25!$A$4)),"")</f>
        <v/>
      </c>
      <c r="B371" s="158" t="str">
        <f>CONCATENATE(Hoja25!D12,"-",Hoja25!E12)</f>
        <v>-</v>
      </c>
      <c r="C371" s="159">
        <f>Hoja25!C12</f>
        <v>0</v>
      </c>
      <c r="D371" s="159">
        <f>Hoja25!F12</f>
        <v>0</v>
      </c>
      <c r="E371" s="160">
        <f>Hoja25!K12</f>
        <v>0</v>
      </c>
      <c r="F371" s="160">
        <f>Hoja25!L12</f>
        <v>0</v>
      </c>
      <c r="G371" s="161">
        <f t="shared" si="25"/>
        <v>0</v>
      </c>
    </row>
    <row r="372" spans="1:7" x14ac:dyDescent="0.25">
      <c r="A372" s="157" t="str">
        <f>IFERROR(DATEVALUE(CONCATENATE(CONCATENATE(REPT("0",2-LEN(Hoja25!A13)),Hoja25!A13),"/",CONCATENATE(REPT("0",2-LEN(Hoja25!B13)),Hoja25!B13),"/",Hoja25!$A$4)),"")</f>
        <v/>
      </c>
      <c r="B372" s="158" t="str">
        <f>CONCATENATE(Hoja25!D13,"-",Hoja25!E13)</f>
        <v>-</v>
      </c>
      <c r="C372" s="159">
        <f>Hoja25!C13</f>
        <v>0</v>
      </c>
      <c r="D372" s="159">
        <f>Hoja25!F13</f>
        <v>0</v>
      </c>
      <c r="E372" s="160">
        <f>Hoja25!K13</f>
        <v>0</v>
      </c>
      <c r="F372" s="160">
        <f>Hoja25!L13</f>
        <v>0</v>
      </c>
      <c r="G372" s="161">
        <f t="shared" si="25"/>
        <v>0</v>
      </c>
    </row>
    <row r="373" spans="1:7" x14ac:dyDescent="0.25">
      <c r="A373" s="157" t="str">
        <f>IFERROR(DATEVALUE(CONCATENATE(CONCATENATE(REPT("0",2-LEN(Hoja25!A14)),Hoja25!A14),"/",CONCATENATE(REPT("0",2-LEN(Hoja25!B14)),Hoja25!B14),"/",Hoja25!$A$4)),"")</f>
        <v/>
      </c>
      <c r="B373" s="158" t="str">
        <f>CONCATENATE(Hoja25!D14,"-",Hoja25!E14)</f>
        <v>-</v>
      </c>
      <c r="C373" s="159">
        <f>Hoja25!C14</f>
        <v>0</v>
      </c>
      <c r="D373" s="159">
        <f>Hoja25!F14</f>
        <v>0</v>
      </c>
      <c r="E373" s="160">
        <f>Hoja25!K14</f>
        <v>0</v>
      </c>
      <c r="F373" s="160">
        <f>Hoja25!L14</f>
        <v>0</v>
      </c>
      <c r="G373" s="161">
        <f t="shared" si="25"/>
        <v>0</v>
      </c>
    </row>
    <row r="374" spans="1:7" x14ac:dyDescent="0.25">
      <c r="A374" s="157" t="str">
        <f>IFERROR(DATEVALUE(CONCATENATE(CONCATENATE(REPT("0",2-LEN(Hoja25!A15)),Hoja25!A15),"/",CONCATENATE(REPT("0",2-LEN(Hoja25!B15)),Hoja25!B15),"/",Hoja25!$A$4)),"")</f>
        <v/>
      </c>
      <c r="B374" s="158" t="str">
        <f>CONCATENATE(Hoja25!D15,"-",Hoja25!E15)</f>
        <v>-</v>
      </c>
      <c r="C374" s="159">
        <f>Hoja25!C15</f>
        <v>0</v>
      </c>
      <c r="D374" s="159">
        <f>Hoja25!F15</f>
        <v>0</v>
      </c>
      <c r="E374" s="160">
        <f>Hoja25!K15</f>
        <v>0</v>
      </c>
      <c r="F374" s="160">
        <f>Hoja25!L15</f>
        <v>0</v>
      </c>
      <c r="G374" s="161">
        <f t="shared" si="25"/>
        <v>0</v>
      </c>
    </row>
    <row r="375" spans="1:7" x14ac:dyDescent="0.25">
      <c r="A375" s="157" t="str">
        <f>IFERROR(DATEVALUE(CONCATENATE(CONCATENATE(REPT("0",2-LEN(Hoja25!A16)),Hoja25!A16),"/",CONCATENATE(REPT("0",2-LEN(Hoja25!B16)),Hoja25!B16),"/",Hoja25!$A$4)),"")</f>
        <v/>
      </c>
      <c r="B375" s="158" t="str">
        <f>CONCATENATE(Hoja25!D16,"-",Hoja25!E16)</f>
        <v>-</v>
      </c>
      <c r="C375" s="159">
        <f>Hoja25!C16</f>
        <v>0</v>
      </c>
      <c r="D375" s="159">
        <f>Hoja25!F16</f>
        <v>0</v>
      </c>
      <c r="E375" s="160">
        <f>Hoja25!K16</f>
        <v>0</v>
      </c>
      <c r="F375" s="160">
        <f>Hoja25!L16</f>
        <v>0</v>
      </c>
      <c r="G375" s="161">
        <f t="shared" si="25"/>
        <v>0</v>
      </c>
    </row>
    <row r="376" spans="1:7" x14ac:dyDescent="0.25">
      <c r="A376" s="157" t="str">
        <f>IFERROR(DATEVALUE(CONCATENATE(CONCATENATE(REPT("0",2-LEN(Hoja25!A17)),Hoja25!A17),"/",CONCATENATE(REPT("0",2-LEN(Hoja25!B17)),Hoja25!B17),"/",Hoja25!$A$4)),"")</f>
        <v/>
      </c>
      <c r="B376" s="158" t="str">
        <f>CONCATENATE(Hoja25!D17,"-",Hoja25!E17)</f>
        <v>-</v>
      </c>
      <c r="C376" s="159">
        <f>Hoja25!C17</f>
        <v>0</v>
      </c>
      <c r="D376" s="159">
        <f>Hoja25!F17</f>
        <v>0</v>
      </c>
      <c r="E376" s="160">
        <f>Hoja25!K17</f>
        <v>0</v>
      </c>
      <c r="F376" s="160">
        <f>Hoja25!L17</f>
        <v>0</v>
      </c>
      <c r="G376" s="161">
        <f t="shared" si="25"/>
        <v>0</v>
      </c>
    </row>
    <row r="377" spans="1:7" x14ac:dyDescent="0.25">
      <c r="A377" s="157" t="str">
        <f>IFERROR(DATEVALUE(CONCATENATE(CONCATENATE(REPT("0",2-LEN(Hoja25!A18)),Hoja25!A18),"/",CONCATENATE(REPT("0",2-LEN(Hoja25!B18)),Hoja25!B18),"/",Hoja25!$A$4)),"")</f>
        <v/>
      </c>
      <c r="B377" s="158" t="str">
        <f>CONCATENATE(Hoja25!D18,"-",Hoja25!E18)</f>
        <v>-</v>
      </c>
      <c r="C377" s="159">
        <f>Hoja25!C18</f>
        <v>0</v>
      </c>
      <c r="D377" s="159">
        <f>Hoja25!F18</f>
        <v>0</v>
      </c>
      <c r="E377" s="160">
        <f>Hoja25!K18</f>
        <v>0</v>
      </c>
      <c r="F377" s="160">
        <f>Hoja25!L18</f>
        <v>0</v>
      </c>
      <c r="G377" s="161">
        <f t="shared" si="25"/>
        <v>0</v>
      </c>
    </row>
    <row r="378" spans="1:7" x14ac:dyDescent="0.25">
      <c r="A378" s="157" t="str">
        <f>IFERROR(DATEVALUE(CONCATENATE(CONCATENATE(REPT("0",2-LEN(Hoja25!A19)),Hoja25!A19),"/",CONCATENATE(REPT("0",2-LEN(Hoja25!B19)),Hoja25!B19),"/",Hoja25!$A$4)),"")</f>
        <v/>
      </c>
      <c r="B378" s="158" t="str">
        <f>CONCATENATE(Hoja25!D19,"-",Hoja25!E19)</f>
        <v>-</v>
      </c>
      <c r="C378" s="159">
        <f>Hoja25!C19</f>
        <v>0</v>
      </c>
      <c r="D378" s="159">
        <f>Hoja25!F19</f>
        <v>0</v>
      </c>
      <c r="E378" s="160">
        <f>Hoja25!K19</f>
        <v>0</v>
      </c>
      <c r="F378" s="160">
        <f>Hoja25!L19</f>
        <v>0</v>
      </c>
      <c r="G378" s="161">
        <f t="shared" si="25"/>
        <v>0</v>
      </c>
    </row>
    <row r="379" spans="1:7" x14ac:dyDescent="0.25">
      <c r="A379" s="157" t="str">
        <f>IFERROR(DATEVALUE(CONCATENATE(CONCATENATE(REPT("0",2-LEN(Hoja25!A20)),Hoja25!A20),"/",CONCATENATE(REPT("0",2-LEN(Hoja25!B20)),Hoja25!B20),"/",Hoja25!$A$4)),"")</f>
        <v/>
      </c>
      <c r="B379" s="158" t="str">
        <f>CONCATENATE(Hoja25!D20,"-",Hoja25!E20)</f>
        <v>-</v>
      </c>
      <c r="C379" s="159">
        <f>Hoja25!C20</f>
        <v>0</v>
      </c>
      <c r="D379" s="159">
        <f>Hoja25!F20</f>
        <v>0</v>
      </c>
      <c r="E379" s="160">
        <f>Hoja25!K20</f>
        <v>0</v>
      </c>
      <c r="F379" s="160">
        <f>Hoja25!L20</f>
        <v>0</v>
      </c>
      <c r="G379" s="161">
        <f t="shared" si="25"/>
        <v>0</v>
      </c>
    </row>
    <row r="380" spans="1:7" ht="13.8" thickBot="1" x14ac:dyDescent="0.3">
      <c r="A380" s="162" t="str">
        <f>IFERROR(DATEVALUE(CONCATENATE(CONCATENATE(REPT("0",2-LEN(Hoja25!A21)),Hoja25!A21),"/",CONCATENATE(REPT("0",2-LEN(Hoja25!B21)),Hoja25!B21),"/",Hoja25!$A$4)),"")</f>
        <v/>
      </c>
      <c r="B380" s="163" t="str">
        <f>CONCATENATE(Hoja25!D21,"-",Hoja25!E21)</f>
        <v>-</v>
      </c>
      <c r="C380" s="164">
        <f>Hoja25!C21</f>
        <v>0</v>
      </c>
      <c r="D380" s="164">
        <f>Hoja25!F21</f>
        <v>0</v>
      </c>
      <c r="E380" s="165">
        <f>Hoja25!K21</f>
        <v>0</v>
      </c>
      <c r="F380" s="165">
        <f>Hoja25!L21</f>
        <v>0</v>
      </c>
      <c r="G380" s="166">
        <f t="shared" si="25"/>
        <v>0</v>
      </c>
    </row>
  </sheetData>
  <sheetProtection sheet="1" formatCells="0" formatColumns="0" formatRows="0"/>
  <mergeCells count="1">
    <mergeCell ref="A3:G3"/>
  </mergeCells>
  <pageMargins left="0.7" right="0.7" top="0.75" bottom="0.75" header="0.3" footer="0.3"/>
  <pageSetup paperSize="9" scale="15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2">
    <pageSetUpPr fitToPage="1"/>
  </sheetPr>
  <dimension ref="A1:Y100"/>
  <sheetViews>
    <sheetView tabSelected="1" topLeftCell="D1" workbookViewId="0">
      <selection activeCell="L8" sqref="L8"/>
    </sheetView>
  </sheetViews>
  <sheetFormatPr baseColWidth="10" defaultColWidth="12.5546875" defaultRowHeight="15" customHeight="1" x14ac:dyDescent="0.25"/>
  <cols>
    <col min="1" max="1" width="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1" width="6.33203125" bestFit="1" customWidth="1"/>
    <col min="12" max="12" width="7" bestFit="1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8" max="18" width="12.5546875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271"/>
      <c r="F1" s="272"/>
      <c r="G1" s="272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9"/>
      <c r="Q1" s="1" t="s">
        <v>370</v>
      </c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21.75" customHeight="1" thickBot="1" x14ac:dyDescent="0.3">
      <c r="A4" s="282"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23">
        <v>0</v>
      </c>
      <c r="L6" s="223">
        <v>0</v>
      </c>
      <c r="M6" s="224">
        <v>0</v>
      </c>
      <c r="N6" s="225"/>
      <c r="O6" s="226"/>
      <c r="P6" s="227">
        <f>K6+L6</f>
        <v>0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>
        <v>1</v>
      </c>
      <c r="B7" s="188">
        <v>1</v>
      </c>
      <c r="C7" s="189">
        <v>4.1666666666666664E-2</v>
      </c>
      <c r="D7" s="190" t="s">
        <v>131</v>
      </c>
      <c r="E7" s="191" t="s">
        <v>54</v>
      </c>
      <c r="F7" s="189">
        <v>8.3333333333333329E-2</v>
      </c>
      <c r="G7" s="192" t="s">
        <v>371</v>
      </c>
      <c r="H7" s="192" t="s">
        <v>372</v>
      </c>
      <c r="I7" s="192" t="s">
        <v>328</v>
      </c>
      <c r="J7" s="193" t="s">
        <v>373</v>
      </c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v>1.5</v>
      </c>
      <c r="M7" s="181">
        <f>IF(F7&lt;&gt;"",1,0)</f>
        <v>1</v>
      </c>
      <c r="N7" s="181"/>
      <c r="O7" s="181"/>
      <c r="P7" s="196">
        <f>K7+L7</f>
        <v>1.5</v>
      </c>
      <c r="Q7" s="181"/>
      <c r="S7" s="108" t="str">
        <f>CONCATENATE(REPT("0",2-LEN(A7)),A7)</f>
        <v>01</v>
      </c>
      <c r="T7" s="107" t="str">
        <f>CONCATENATE(REPT("0",2-LEN(B7)),B7)</f>
        <v>01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/>
      <c r="I8" s="192"/>
      <c r="J8" s="193"/>
      <c r="K8" s="194">
        <f t="shared" si="0"/>
        <v>0</v>
      </c>
      <c r="L8" s="195">
        <f t="shared" ref="L7:L18" si="1">IF(AND((C8)&lt;V8,(F8)&lt;U8,C8&lt;=F8),(F8)-(C8),0)*24+IF(AND(C8&lt;U8,F8&gt;U8,F8&lt;=V8,C8&lt;F8),U8-C8,0)*24+IF(AND(C8&gt;=U8,C8&lt;=V8,C8&lt;F8,F8&gt;V8,F8&lt;VALUE("24:00")),F8-V8,0)*24+IF(AND(C8&lt;F8,"24:00"&gt;F8,C8&gt;V8,F8&gt;V8),F8-C8,0)*24+IF(AND(C8&gt;=U8,C8&lt;=V8,F8&gt;VALUE("00:00"),F8&lt;U8),VALUE("24:00")-V8+F8,0)*24+IF(AND(C8&gt;V8,F8&lt;C8,F8&lt;U8,F8&gt;=VALUE("00:00")),VALUE("24:00")-C8+F8,0)*24</f>
        <v>0</v>
      </c>
      <c r="M8" s="181">
        <f t="shared" ref="M8:M21" si="2">IF(F8&lt;&gt;"",1,0)</f>
        <v>0</v>
      </c>
      <c r="N8" s="181"/>
      <c r="O8" s="181"/>
      <c r="P8" s="196">
        <f t="shared" ref="P8:P21" si="3">K8+L8</f>
        <v>0</v>
      </c>
      <c r="Q8" s="181"/>
      <c r="S8" s="108" t="str">
        <f t="shared" ref="S8:S21" si="4">CONCATENATE(REPT("0",2-LEN(A8)),A8)</f>
        <v>00</v>
      </c>
      <c r="T8" s="107" t="str">
        <f t="shared" ref="T8:T21" si="5">CONCATENATE(REPT("0",2-LEN(B8)),B8)</f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/>
      <c r="I9" s="192"/>
      <c r="J9" s="193"/>
      <c r="K9" s="194">
        <f t="shared" si="0"/>
        <v>0</v>
      </c>
      <c r="L9" s="195">
        <f t="shared" si="1"/>
        <v>0</v>
      </c>
      <c r="M9" s="181">
        <f t="shared" si="2"/>
        <v>0</v>
      </c>
      <c r="N9" s="181"/>
      <c r="O9" s="181"/>
      <c r="P9" s="196">
        <f t="shared" si="3"/>
        <v>0</v>
      </c>
      <c r="Q9" s="181"/>
      <c r="S9" s="108" t="str">
        <f t="shared" si="4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/>
      <c r="I10" s="192"/>
      <c r="J10" s="193"/>
      <c r="K10" s="194">
        <f t="shared" si="0"/>
        <v>0</v>
      </c>
      <c r="L10" s="195">
        <f t="shared" si="1"/>
        <v>0</v>
      </c>
      <c r="M10" s="181">
        <f t="shared" si="2"/>
        <v>0</v>
      </c>
      <c r="N10" s="181"/>
      <c r="O10" s="181"/>
      <c r="P10" s="196">
        <f t="shared" si="3"/>
        <v>0</v>
      </c>
      <c r="Q10" s="181"/>
      <c r="S10" s="108" t="str">
        <f t="shared" si="4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/>
      <c r="I11" s="192"/>
      <c r="J11" s="193"/>
      <c r="K11" s="194">
        <f t="shared" si="0"/>
        <v>0</v>
      </c>
      <c r="L11" s="195">
        <f t="shared" si="1"/>
        <v>0</v>
      </c>
      <c r="M11" s="181">
        <f t="shared" si="2"/>
        <v>0</v>
      </c>
      <c r="N11" s="181"/>
      <c r="O11" s="181"/>
      <c r="P11" s="196">
        <f t="shared" si="3"/>
        <v>0</v>
      </c>
      <c r="Q11" s="181"/>
      <c r="S11" s="108" t="str">
        <f t="shared" si="4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ref="H12:H21" si="6">IF(AND(A12&lt;&gt;"",B12&lt;&gt;""),"B-738","")</f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2"/>
        <v>0</v>
      </c>
      <c r="N12" s="181"/>
      <c r="O12" s="181"/>
      <c r="P12" s="196">
        <f t="shared" si="3"/>
        <v>0</v>
      </c>
      <c r="Q12" s="181"/>
      <c r="S12" s="108" t="str">
        <f t="shared" si="4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6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2"/>
        <v>0</v>
      </c>
      <c r="N13" s="181"/>
      <c r="O13" s="181"/>
      <c r="P13" s="196">
        <f t="shared" si="3"/>
        <v>0</v>
      </c>
      <c r="Q13" s="181"/>
      <c r="S13" s="108" t="str">
        <f t="shared" si="4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6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2"/>
        <v>0</v>
      </c>
      <c r="N14" s="181"/>
      <c r="O14" s="181"/>
      <c r="P14" s="196">
        <f t="shared" si="3"/>
        <v>0</v>
      </c>
      <c r="Q14" s="181"/>
      <c r="S14" s="108" t="str">
        <f t="shared" si="4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6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2"/>
        <v>0</v>
      </c>
      <c r="N15" s="181"/>
      <c r="O15" s="181"/>
      <c r="P15" s="196">
        <f t="shared" si="3"/>
        <v>0</v>
      </c>
      <c r="Q15" s="181"/>
      <c r="S15" s="108" t="str">
        <f t="shared" si="4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6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2"/>
        <v>0</v>
      </c>
      <c r="N16" s="181"/>
      <c r="O16" s="181"/>
      <c r="P16" s="196">
        <f t="shared" si="3"/>
        <v>0</v>
      </c>
      <c r="Q16" s="181"/>
      <c r="S16" s="108" t="str">
        <f t="shared" si="4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6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2"/>
        <v>0</v>
      </c>
      <c r="N17" s="181"/>
      <c r="O17" s="181"/>
      <c r="P17" s="196">
        <f t="shared" si="3"/>
        <v>0</v>
      </c>
      <c r="Q17" s="181"/>
      <c r="S17" s="108" t="str">
        <f t="shared" si="4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6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2"/>
        <v>0</v>
      </c>
      <c r="N18" s="181"/>
      <c r="O18" s="181"/>
      <c r="P18" s="196">
        <f t="shared" si="3"/>
        <v>0</v>
      </c>
      <c r="Q18" s="181"/>
      <c r="S18" s="108" t="str">
        <f t="shared" si="4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6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2"/>
        <v>0</v>
      </c>
      <c r="N19" s="181"/>
      <c r="O19" s="181"/>
      <c r="P19" s="196">
        <f t="shared" si="3"/>
        <v>0</v>
      </c>
      <c r="Q19" s="181"/>
      <c r="S19" s="108" t="str">
        <f t="shared" si="4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6"/>
        <v/>
      </c>
      <c r="I20" s="181"/>
      <c r="J20" s="197"/>
      <c r="K20" s="194">
        <f t="shared" ref="K20:K21" si="7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8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2"/>
        <v>0</v>
      </c>
      <c r="N20" s="181"/>
      <c r="O20" s="181"/>
      <c r="P20" s="196">
        <f t="shared" si="3"/>
        <v>0</v>
      </c>
      <c r="Q20" s="181"/>
      <c r="S20" s="108" t="str">
        <f t="shared" si="4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6"/>
        <v/>
      </c>
      <c r="I21" s="181"/>
      <c r="J21" s="197"/>
      <c r="K21" s="194">
        <f t="shared" si="7"/>
        <v>0</v>
      </c>
      <c r="L21" s="195">
        <f t="shared" si="8"/>
        <v>0</v>
      </c>
      <c r="M21" s="181">
        <f t="shared" si="2"/>
        <v>0</v>
      </c>
      <c r="N21" s="181"/>
      <c r="O21" s="181"/>
      <c r="P21" s="196">
        <f t="shared" si="3"/>
        <v>0</v>
      </c>
      <c r="Q21" s="181"/>
      <c r="S21" s="108" t="str">
        <f t="shared" si="4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sheetProtection formatCells="0" formatColumns="0" formatRows="0"/>
  <mergeCells count="36">
    <mergeCell ref="W5:X5"/>
    <mergeCell ref="M2:M5"/>
    <mergeCell ref="P2:Q5"/>
    <mergeCell ref="B1:D1"/>
    <mergeCell ref="E1:G1"/>
    <mergeCell ref="I1:L1"/>
    <mergeCell ref="C2:F2"/>
    <mergeCell ref="G2:G6"/>
    <mergeCell ref="H2:J2"/>
    <mergeCell ref="K2:L2"/>
    <mergeCell ref="L3:L5"/>
    <mergeCell ref="B5:B6"/>
    <mergeCell ref="A2:B3"/>
    <mergeCell ref="A4:B4"/>
    <mergeCell ref="H6:J6"/>
    <mergeCell ref="A5:A6"/>
    <mergeCell ref="Q22:Q23"/>
    <mergeCell ref="P22:P23"/>
    <mergeCell ref="U5:V5"/>
    <mergeCell ref="I3:I5"/>
    <mergeCell ref="J3:J5"/>
    <mergeCell ref="K3:K5"/>
    <mergeCell ref="N2:O3"/>
    <mergeCell ref="A22:J23"/>
    <mergeCell ref="K22:K23"/>
    <mergeCell ref="L22:L23"/>
    <mergeCell ref="M22:M23"/>
    <mergeCell ref="C3:C6"/>
    <mergeCell ref="D3:E6"/>
    <mergeCell ref="F3:F6"/>
    <mergeCell ref="H3:H5"/>
    <mergeCell ref="C24:F24"/>
    <mergeCell ref="J25:M25"/>
    <mergeCell ref="O25:P25"/>
    <mergeCell ref="J26:M26"/>
    <mergeCell ref="O26:P26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04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04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4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400-000003000000}">
      <formula1>0</formula1>
      <formula2>0.999988425925926</formula2>
    </dataValidation>
  </dataValidations>
  <pageMargins left="0.7" right="0.7" top="0.75" bottom="0.75" header="0.3" footer="0.3"/>
  <pageSetup paperSize="9" scale="71" orientation="landscape" r:id="rId1"/>
  <ignoredErrors>
    <ignoredError sqref="H13:H21 H12 K8:P23 P6 K7 M7:P7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4000000}">
          <x14:formula1>
            <xm:f>Parametros!$E$21:$E57</xm:f>
          </x14:formula1>
          <xm:sqref>I7:I21</xm:sqref>
        </x14:dataValidation>
        <x14:dataValidation type="list" allowBlank="1" showInputMessage="1" showErrorMessage="1" xr:uid="{00000000-0002-0000-04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>
    <pageSetUpPr fitToPage="1"/>
  </sheetPr>
  <dimension ref="A1:Y100"/>
  <sheetViews>
    <sheetView workbookViewId="0">
      <selection activeCell="I11" sqref="I1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441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hidden="1" customWidth="1"/>
    <col min="20" max="23" width="12.5546875" hidden="1" customWidth="1"/>
    <col min="24" max="25" width="0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309" t="s">
        <v>36</v>
      </c>
      <c r="V5" s="310"/>
      <c r="W5" s="309" t="s">
        <v>37</v>
      </c>
      <c r="X5" s="310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Hoja1!K22</f>
        <v>0</v>
      </c>
      <c r="L6" s="26">
        <f>Hoja1!L22</f>
        <v>1.5</v>
      </c>
      <c r="M6" s="27">
        <f>Hoja1!M22</f>
        <v>1</v>
      </c>
      <c r="N6" s="4"/>
      <c r="O6" s="5"/>
      <c r="P6" s="21">
        <f>Hoja1!P22</f>
        <v>1.5</v>
      </c>
      <c r="Q6" s="22" t="s">
        <v>25</v>
      </c>
      <c r="S6" s="65" t="s">
        <v>113</v>
      </c>
      <c r="T6" s="66" t="s">
        <v>114</v>
      </c>
      <c r="U6" s="59" t="s">
        <v>38</v>
      </c>
      <c r="V6" s="67" t="s">
        <v>40</v>
      </c>
      <c r="W6" s="68" t="s">
        <v>38</v>
      </c>
      <c r="X6" s="68" t="s">
        <v>40</v>
      </c>
      <c r="Y6" s="70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62" t="str">
        <f>CONCATENATE(REPT("0",2-LEN(A7)),A7)</f>
        <v>00</v>
      </c>
      <c r="T7" s="52" t="str">
        <f>CONCATENATE(REPT("0",2-LEN(B7)),B7)</f>
        <v>00</v>
      </c>
      <c r="U7" s="63">
        <f>IFERROR(VLOOKUP(Y7,Parametros!$A$10:$G$13,4,0),0)</f>
        <v>0.375</v>
      </c>
      <c r="V7" s="64">
        <f>IFERROR(VLOOKUP(Y7,Parametros!$A$10:$G$13,5,0),0)</f>
        <v>0.95833333333333337</v>
      </c>
      <c r="W7" s="64">
        <f>IFERROR(VLOOKUP(Y7,Parametros!$A$10:$G$13,6,0),0)</f>
        <v>0.9590277777777777</v>
      </c>
      <c r="X7" s="69">
        <f>IFERROR(VLOOKUP(Y7,Parametros!$A$10:$G$13,7,0),0)</f>
        <v>0.3743055555555555</v>
      </c>
      <c r="Y7" s="10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62" t="str">
        <f t="shared" ref="S8:T21" si="5">CONCATENATE(REPT("0",2-LEN(A8)),A8)</f>
        <v>00</v>
      </c>
      <c r="T8" s="52" t="str">
        <f t="shared" si="5"/>
        <v>00</v>
      </c>
      <c r="U8" s="63">
        <f>IFERROR(VLOOKUP(Y8,Parametros!$A$10:$G$13,4,0),0)</f>
        <v>0.375</v>
      </c>
      <c r="V8" s="64">
        <f>IFERROR(VLOOKUP(Y8,Parametros!$A$10:$G$13,5,0),0)</f>
        <v>0.95833333333333337</v>
      </c>
      <c r="W8" s="64">
        <f>IFERROR(VLOOKUP(Y8,Parametros!$A$10:$G$13,6,0),0)</f>
        <v>0.9590277777777777</v>
      </c>
      <c r="X8" s="69">
        <f>IFERROR(VLOOKUP(Y8,Parametros!$A$10:$G$13,7,0),0)</f>
        <v>0.3743055555555555</v>
      </c>
      <c r="Y8" s="10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62" t="str">
        <f t="shared" si="5"/>
        <v>00</v>
      </c>
      <c r="T9" s="52" t="str">
        <f t="shared" si="5"/>
        <v>00</v>
      </c>
      <c r="U9" s="63">
        <f>IFERROR(VLOOKUP(Y9,Parametros!$A$10:$G$13,4,0),0)</f>
        <v>0.375</v>
      </c>
      <c r="V9" s="64">
        <f>IFERROR(VLOOKUP(Y9,Parametros!$A$10:$G$13,5,0),0)</f>
        <v>0.95833333333333337</v>
      </c>
      <c r="W9" s="64">
        <f>IFERROR(VLOOKUP(Y9,Parametros!$A$10:$G$13,6,0),0)</f>
        <v>0.9590277777777777</v>
      </c>
      <c r="X9" s="69">
        <f>IFERROR(VLOOKUP(Y9,Parametros!$A$10:$G$13,7,0),0)</f>
        <v>0.3743055555555555</v>
      </c>
      <c r="Y9" s="10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62" t="str">
        <f t="shared" si="5"/>
        <v>00</v>
      </c>
      <c r="T10" s="52" t="str">
        <f t="shared" si="5"/>
        <v>00</v>
      </c>
      <c r="U10" s="63">
        <f>IFERROR(VLOOKUP(Y10,Parametros!$A$10:$G$13,4,0),0)</f>
        <v>0.375</v>
      </c>
      <c r="V10" s="64">
        <f>IFERROR(VLOOKUP(Y10,Parametros!$A$10:$G$13,5,0),0)</f>
        <v>0.95833333333333337</v>
      </c>
      <c r="W10" s="64">
        <f>IFERROR(VLOOKUP(Y10,Parametros!$A$10:$G$13,6,0),0)</f>
        <v>0.9590277777777777</v>
      </c>
      <c r="X10" s="69">
        <f>IFERROR(VLOOKUP(Y10,Parametros!$A$10:$G$13,7,0),0)</f>
        <v>0.3743055555555555</v>
      </c>
      <c r="Y10" s="10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62" t="str">
        <f t="shared" si="5"/>
        <v>00</v>
      </c>
      <c r="T11" s="52" t="str">
        <f t="shared" si="5"/>
        <v>00</v>
      </c>
      <c r="U11" s="63">
        <f>IFERROR(VLOOKUP(Y11,Parametros!$A$10:$G$13,4,0),0)</f>
        <v>0.375</v>
      </c>
      <c r="V11" s="64">
        <f>IFERROR(VLOOKUP(Y11,Parametros!$A$10:$G$13,5,0),0)</f>
        <v>0.95833333333333337</v>
      </c>
      <c r="W11" s="64">
        <f>IFERROR(VLOOKUP(Y11,Parametros!$A$10:$G$13,6,0),0)</f>
        <v>0.9590277777777777</v>
      </c>
      <c r="X11" s="69">
        <f>IFERROR(VLOOKUP(Y11,Parametros!$A$10:$G$13,7,0),0)</f>
        <v>0.3743055555555555</v>
      </c>
      <c r="Y11" s="10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62" t="str">
        <f t="shared" si="5"/>
        <v>00</v>
      </c>
      <c r="T12" s="52" t="str">
        <f t="shared" si="5"/>
        <v>00</v>
      </c>
      <c r="U12" s="63">
        <f>IFERROR(VLOOKUP(Y12,Parametros!$A$10:$G$13,4,0),0)</f>
        <v>0.375</v>
      </c>
      <c r="V12" s="64">
        <f>IFERROR(VLOOKUP(Y12,Parametros!$A$10:$G$13,5,0),0)</f>
        <v>0.95833333333333337</v>
      </c>
      <c r="W12" s="64">
        <f>IFERROR(VLOOKUP(Y12,Parametros!$A$10:$G$13,6,0),0)</f>
        <v>0.9590277777777777</v>
      </c>
      <c r="X12" s="69">
        <f>IFERROR(VLOOKUP(Y12,Parametros!$A$10:$G$13,7,0),0)</f>
        <v>0.3743055555555555</v>
      </c>
      <c r="Y12" s="10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62" t="str">
        <f t="shared" si="5"/>
        <v>00</v>
      </c>
      <c r="T13" s="52" t="str">
        <f t="shared" si="5"/>
        <v>00</v>
      </c>
      <c r="U13" s="63">
        <f>IFERROR(VLOOKUP(Y13,Parametros!$A$10:$G$13,4,0),0)</f>
        <v>0.375</v>
      </c>
      <c r="V13" s="64">
        <f>IFERROR(VLOOKUP(Y13,Parametros!$A$10:$G$13,5,0),0)</f>
        <v>0.95833333333333337</v>
      </c>
      <c r="W13" s="64">
        <f>IFERROR(VLOOKUP(Y13,Parametros!$A$10:$G$13,6,0),0)</f>
        <v>0.9590277777777777</v>
      </c>
      <c r="X13" s="69">
        <f>IFERROR(VLOOKUP(Y13,Parametros!$A$10:$G$13,7,0),0)</f>
        <v>0.3743055555555555</v>
      </c>
      <c r="Y13" s="10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62" t="str">
        <f t="shared" si="5"/>
        <v>00</v>
      </c>
      <c r="T14" s="52" t="str">
        <f t="shared" si="5"/>
        <v>00</v>
      </c>
      <c r="U14" s="63">
        <f>IFERROR(VLOOKUP(Y14,Parametros!$A$10:$G$13,4,0),0)</f>
        <v>0.375</v>
      </c>
      <c r="V14" s="64">
        <f>IFERROR(VLOOKUP(Y14,Parametros!$A$10:$G$13,5,0),0)</f>
        <v>0.95833333333333337</v>
      </c>
      <c r="W14" s="64">
        <f>IFERROR(VLOOKUP(Y14,Parametros!$A$10:$G$13,6,0),0)</f>
        <v>0.9590277777777777</v>
      </c>
      <c r="X14" s="69">
        <f>IFERROR(VLOOKUP(Y14,Parametros!$A$10:$G$13,7,0),0)</f>
        <v>0.3743055555555555</v>
      </c>
      <c r="Y14" s="10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62" t="str">
        <f t="shared" si="5"/>
        <v>00</v>
      </c>
      <c r="T15" s="52" t="str">
        <f t="shared" si="5"/>
        <v>00</v>
      </c>
      <c r="U15" s="63">
        <f>IFERROR(VLOOKUP(Y15,Parametros!$A$10:$G$13,4,0),0)</f>
        <v>0.375</v>
      </c>
      <c r="V15" s="64">
        <f>IFERROR(VLOOKUP(Y15,Parametros!$A$10:$G$13,5,0),0)</f>
        <v>0.95833333333333337</v>
      </c>
      <c r="W15" s="64">
        <f>IFERROR(VLOOKUP(Y15,Parametros!$A$10:$G$13,6,0),0)</f>
        <v>0.9590277777777777</v>
      </c>
      <c r="X15" s="69">
        <f>IFERROR(VLOOKUP(Y15,Parametros!$A$10:$G$13,7,0),0)</f>
        <v>0.3743055555555555</v>
      </c>
      <c r="Y15" s="10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62" t="str">
        <f t="shared" si="5"/>
        <v>00</v>
      </c>
      <c r="T16" s="52" t="str">
        <f t="shared" si="5"/>
        <v>00</v>
      </c>
      <c r="U16" s="63">
        <f>IFERROR(VLOOKUP(Y16,Parametros!$A$10:$G$13,4,0),0)</f>
        <v>0.375</v>
      </c>
      <c r="V16" s="64">
        <f>IFERROR(VLOOKUP(Y16,Parametros!$A$10:$G$13,5,0),0)</f>
        <v>0.95833333333333337</v>
      </c>
      <c r="W16" s="64">
        <f>IFERROR(VLOOKUP(Y16,Parametros!$A$10:$G$13,6,0),0)</f>
        <v>0.9590277777777777</v>
      </c>
      <c r="X16" s="69">
        <f>IFERROR(VLOOKUP(Y16,Parametros!$A$10:$G$13,7,0),0)</f>
        <v>0.3743055555555555</v>
      </c>
      <c r="Y16" s="10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62" t="str">
        <f t="shared" si="5"/>
        <v>00</v>
      </c>
      <c r="T17" s="52" t="str">
        <f t="shared" si="5"/>
        <v>00</v>
      </c>
      <c r="U17" s="63">
        <f>IFERROR(VLOOKUP(Y17,Parametros!$A$10:$G$13,4,0),0)</f>
        <v>0.375</v>
      </c>
      <c r="V17" s="64">
        <f>IFERROR(VLOOKUP(Y17,Parametros!$A$10:$G$13,5,0),0)</f>
        <v>0.95833333333333337</v>
      </c>
      <c r="W17" s="64">
        <f>IFERROR(VLOOKUP(Y17,Parametros!$A$10:$G$13,6,0),0)</f>
        <v>0.9590277777777777</v>
      </c>
      <c r="X17" s="69">
        <f>IFERROR(VLOOKUP(Y17,Parametros!$A$10:$G$13,7,0),0)</f>
        <v>0.3743055555555555</v>
      </c>
      <c r="Y17" s="10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62" t="str">
        <f t="shared" si="5"/>
        <v>00</v>
      </c>
      <c r="T18" s="52" t="str">
        <f t="shared" si="5"/>
        <v>00</v>
      </c>
      <c r="U18" s="63">
        <f>IFERROR(VLOOKUP(Y18,Parametros!$A$10:$G$13,4,0),0)</f>
        <v>0.375</v>
      </c>
      <c r="V18" s="64">
        <f>IFERROR(VLOOKUP(Y18,Parametros!$A$10:$G$13,5,0),0)</f>
        <v>0.95833333333333337</v>
      </c>
      <c r="W18" s="64">
        <f>IFERROR(VLOOKUP(Y18,Parametros!$A$10:$G$13,6,0),0)</f>
        <v>0.9590277777777777</v>
      </c>
      <c r="X18" s="69">
        <f>IFERROR(VLOOKUP(Y18,Parametros!$A$10:$G$13,7,0),0)</f>
        <v>0.3743055555555555</v>
      </c>
      <c r="Y18" s="10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62" t="str">
        <f t="shared" si="5"/>
        <v>00</v>
      </c>
      <c r="T19" s="52" t="str">
        <f t="shared" si="5"/>
        <v>00</v>
      </c>
      <c r="U19" s="63">
        <f>IFERROR(VLOOKUP(Y19,Parametros!$A$10:$G$13,4,0),0)</f>
        <v>0.375</v>
      </c>
      <c r="V19" s="64">
        <f>IFERROR(VLOOKUP(Y19,Parametros!$A$10:$G$13,5,0),0)</f>
        <v>0.95833333333333337</v>
      </c>
      <c r="W19" s="64">
        <f>IFERROR(VLOOKUP(Y19,Parametros!$A$10:$G$13,6,0),0)</f>
        <v>0.9590277777777777</v>
      </c>
      <c r="X19" s="69">
        <f>IFERROR(VLOOKUP(Y19,Parametros!$A$10:$G$13,7,0),0)</f>
        <v>0.3743055555555555</v>
      </c>
      <c r="Y19" s="10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62" t="str">
        <f t="shared" si="5"/>
        <v>00</v>
      </c>
      <c r="T20" s="52" t="str">
        <f t="shared" si="5"/>
        <v>00</v>
      </c>
      <c r="U20" s="63">
        <f>IFERROR(VLOOKUP(Y20,Parametros!$A$10:$G$13,4,0),0)</f>
        <v>0.375</v>
      </c>
      <c r="V20" s="64">
        <f>IFERROR(VLOOKUP(Y20,Parametros!$A$10:$G$13,5,0),0)</f>
        <v>0.95833333333333337</v>
      </c>
      <c r="W20" s="64">
        <f>IFERROR(VLOOKUP(Y20,Parametros!$A$10:$G$13,6,0),0)</f>
        <v>0.9590277777777777</v>
      </c>
      <c r="X20" s="69">
        <f>IFERROR(VLOOKUP(Y20,Parametros!$A$10:$G$13,7,0),0)</f>
        <v>0.3743055555555555</v>
      </c>
      <c r="Y20" s="10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62" t="str">
        <f t="shared" si="5"/>
        <v>00</v>
      </c>
      <c r="T21" s="52" t="str">
        <f t="shared" si="5"/>
        <v>00</v>
      </c>
      <c r="U21" s="63">
        <f>IFERROR(VLOOKUP(Y21,Parametros!$A$10:$G$13,4,0),0)</f>
        <v>0.375</v>
      </c>
      <c r="V21" s="64">
        <f>IFERROR(VLOOKUP(Y21,Parametros!$A$10:$G$13,5,0),0)</f>
        <v>0.95833333333333337</v>
      </c>
      <c r="W21" s="64">
        <f>IFERROR(VLOOKUP(Y21,Parametros!$A$10:$G$13,6,0),0)</f>
        <v>0.9590277777777777</v>
      </c>
      <c r="X21" s="69">
        <f>IFERROR(VLOOKUP(Y21,Parametros!$A$10:$G$13,7,0),0)</f>
        <v>0.3743055555555555</v>
      </c>
      <c r="Y21" s="10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W5:X5"/>
    <mergeCell ref="P2:Q5"/>
    <mergeCell ref="K3:K5"/>
    <mergeCell ref="M2:M5"/>
    <mergeCell ref="U5:V5"/>
    <mergeCell ref="N2:O3"/>
    <mergeCell ref="I1:L1"/>
    <mergeCell ref="H2:J2"/>
    <mergeCell ref="K2:L2"/>
    <mergeCell ref="L3:L5"/>
    <mergeCell ref="H3:H5"/>
    <mergeCell ref="I3:I5"/>
    <mergeCell ref="E1:G1"/>
    <mergeCell ref="B1:D1"/>
    <mergeCell ref="C2:F2"/>
    <mergeCell ref="A5:A6"/>
    <mergeCell ref="F3:F6"/>
    <mergeCell ref="G2:G6"/>
    <mergeCell ref="D3:E6"/>
    <mergeCell ref="C3:C6"/>
    <mergeCell ref="B5:B6"/>
    <mergeCell ref="A2:B3"/>
    <mergeCell ref="A4:B4"/>
    <mergeCell ref="C24:F24"/>
    <mergeCell ref="A22:J23"/>
    <mergeCell ref="O26:P26"/>
    <mergeCell ref="O25:P25"/>
    <mergeCell ref="M22:M23"/>
    <mergeCell ref="J26:M26"/>
    <mergeCell ref="P22:P23"/>
    <mergeCell ref="Q22:Q23"/>
    <mergeCell ref="J25:M25"/>
    <mergeCell ref="J3:J5"/>
    <mergeCell ref="K22:K23"/>
    <mergeCell ref="L22:L23"/>
    <mergeCell ref="H6:J6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5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500-000001000000}">
      <formula1>1</formula1>
      <formula2>12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500-000002000000}">
      <formula1>0</formula1>
      <formula2>0.999988425925926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500-000003000000}">
      <formula1>0</formula1>
      <formula2>0.999988425925926</formula2>
    </dataValidation>
  </dataValidations>
  <hyperlinks>
    <hyperlink ref="E1:G1" location="Parametros!B1" display="Parametros!B1" xr:uid="{00000000-0004-0000-0500-000000000000}"/>
    <hyperlink ref="P1" location="Parametros!B2" display="Parametros!B2" xr:uid="{00000000-0004-0000-0500-000001000000}"/>
  </hyperlinks>
  <pageMargins left="0.7" right="0.7" top="0.75" bottom="0.75" header="0" footer="0"/>
  <pageSetup scale="65" orientation="landscape" cellComments="atEnd" r:id="rId1"/>
  <ignoredErrors>
    <ignoredError sqref="H8:H21 H7 J7:P7 J8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5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>
    <pageSetUpPr fitToPage="1"/>
  </sheetPr>
  <dimension ref="A1:Y100"/>
  <sheetViews>
    <sheetView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1" width="7.33203125" customWidth="1"/>
    <col min="12" max="12" width="10.441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hidden="1" customWidth="1"/>
    <col min="20" max="23" width="12.5546875" hidden="1" customWidth="1"/>
    <col min="24" max="25" width="0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Hoja2!A4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309" t="s">
        <v>36</v>
      </c>
      <c r="V5" s="310"/>
      <c r="W5" s="309" t="s">
        <v>37</v>
      </c>
      <c r="X5" s="310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Hoja2!K22</f>
        <v>0</v>
      </c>
      <c r="L6" s="26">
        <f>Hoja2!L22</f>
        <v>1.5</v>
      </c>
      <c r="M6" s="27">
        <f>Hoja2!M22</f>
        <v>1</v>
      </c>
      <c r="N6" s="4"/>
      <c r="O6" s="5"/>
      <c r="P6" s="21">
        <f>Hoja2!P22</f>
        <v>1.5</v>
      </c>
      <c r="Q6" s="22" t="s">
        <v>25</v>
      </c>
      <c r="S6" s="65" t="s">
        <v>113</v>
      </c>
      <c r="T6" s="66" t="s">
        <v>114</v>
      </c>
      <c r="U6" s="59" t="s">
        <v>38</v>
      </c>
      <c r="V6" s="67" t="s">
        <v>40</v>
      </c>
      <c r="W6" s="68" t="s">
        <v>38</v>
      </c>
      <c r="X6" s="68" t="s">
        <v>40</v>
      </c>
      <c r="Y6" s="70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62" t="str">
        <f>CONCATENATE(REPT("0",2-LEN(A7)),A7)</f>
        <v>00</v>
      </c>
      <c r="T7" s="52" t="str">
        <f>CONCATENATE(REPT("0",2-LEN(B7)),B7)</f>
        <v>00</v>
      </c>
      <c r="U7" s="63">
        <f>IFERROR(VLOOKUP(Y7,Parametros!$A$10:$G$13,4,0),0)</f>
        <v>0.375</v>
      </c>
      <c r="V7" s="64">
        <f>IFERROR(VLOOKUP(Y7,Parametros!$A$10:$G$13,5,0),0)</f>
        <v>0.95833333333333337</v>
      </c>
      <c r="W7" s="64">
        <f>IFERROR(VLOOKUP(Y7,Parametros!$A$10:$G$13,6,0),0)</f>
        <v>0.9590277777777777</v>
      </c>
      <c r="X7" s="69">
        <f>IFERROR(VLOOKUP(Y7,Parametros!$A$10:$G$13,7,0),0)</f>
        <v>0.3743055555555555</v>
      </c>
      <c r="Y7" s="10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62" t="str">
        <f t="shared" ref="S8:T21" si="5">CONCATENATE(REPT("0",2-LEN(A8)),A8)</f>
        <v>00</v>
      </c>
      <c r="T8" s="52" t="str">
        <f t="shared" si="5"/>
        <v>00</v>
      </c>
      <c r="U8" s="63">
        <f>IFERROR(VLOOKUP(Y8,Parametros!$A$10:$G$13,4,0),0)</f>
        <v>0.375</v>
      </c>
      <c r="V8" s="64">
        <f>IFERROR(VLOOKUP(Y8,Parametros!$A$10:$G$13,5,0),0)</f>
        <v>0.95833333333333337</v>
      </c>
      <c r="W8" s="64">
        <f>IFERROR(VLOOKUP(Y8,Parametros!$A$10:$G$13,6,0),0)</f>
        <v>0.9590277777777777</v>
      </c>
      <c r="X8" s="69">
        <f>IFERROR(VLOOKUP(Y8,Parametros!$A$10:$G$13,7,0),0)</f>
        <v>0.3743055555555555</v>
      </c>
      <c r="Y8" s="10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62" t="str">
        <f t="shared" si="5"/>
        <v>00</v>
      </c>
      <c r="T9" s="52" t="str">
        <f t="shared" si="5"/>
        <v>00</v>
      </c>
      <c r="U9" s="63">
        <f>IFERROR(VLOOKUP(Y9,Parametros!$A$10:$G$13,4,0),0)</f>
        <v>0.375</v>
      </c>
      <c r="V9" s="64">
        <f>IFERROR(VLOOKUP(Y9,Parametros!$A$10:$G$13,5,0),0)</f>
        <v>0.95833333333333337</v>
      </c>
      <c r="W9" s="64">
        <f>IFERROR(VLOOKUP(Y9,Parametros!$A$10:$G$13,6,0),0)</f>
        <v>0.9590277777777777</v>
      </c>
      <c r="X9" s="69">
        <f>IFERROR(VLOOKUP(Y9,Parametros!$A$10:$G$13,7,0),0)</f>
        <v>0.3743055555555555</v>
      </c>
      <c r="Y9" s="10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62" t="str">
        <f t="shared" si="5"/>
        <v>00</v>
      </c>
      <c r="T10" s="52" t="str">
        <f t="shared" si="5"/>
        <v>00</v>
      </c>
      <c r="U10" s="63">
        <f>IFERROR(VLOOKUP(Y10,Parametros!$A$10:$G$13,4,0),0)</f>
        <v>0.375</v>
      </c>
      <c r="V10" s="64">
        <f>IFERROR(VLOOKUP(Y10,Parametros!$A$10:$G$13,5,0),0)</f>
        <v>0.95833333333333337</v>
      </c>
      <c r="W10" s="64">
        <f>IFERROR(VLOOKUP(Y10,Parametros!$A$10:$G$13,6,0),0)</f>
        <v>0.9590277777777777</v>
      </c>
      <c r="X10" s="69">
        <f>IFERROR(VLOOKUP(Y10,Parametros!$A$10:$G$13,7,0),0)</f>
        <v>0.3743055555555555</v>
      </c>
      <c r="Y10" s="10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62" t="str">
        <f t="shared" si="5"/>
        <v>00</v>
      </c>
      <c r="T11" s="52" t="str">
        <f t="shared" si="5"/>
        <v>00</v>
      </c>
      <c r="U11" s="63">
        <f>IFERROR(VLOOKUP(Y11,Parametros!$A$10:$G$13,4,0),0)</f>
        <v>0.375</v>
      </c>
      <c r="V11" s="64">
        <f>IFERROR(VLOOKUP(Y11,Parametros!$A$10:$G$13,5,0),0)</f>
        <v>0.95833333333333337</v>
      </c>
      <c r="W11" s="64">
        <f>IFERROR(VLOOKUP(Y11,Parametros!$A$10:$G$13,6,0),0)</f>
        <v>0.9590277777777777</v>
      </c>
      <c r="X11" s="69">
        <f>IFERROR(VLOOKUP(Y11,Parametros!$A$10:$G$13,7,0),0)</f>
        <v>0.3743055555555555</v>
      </c>
      <c r="Y11" s="10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62" t="str">
        <f t="shared" si="5"/>
        <v>00</v>
      </c>
      <c r="T12" s="52" t="str">
        <f t="shared" si="5"/>
        <v>00</v>
      </c>
      <c r="U12" s="63">
        <f>IFERROR(VLOOKUP(Y12,Parametros!$A$10:$G$13,4,0),0)</f>
        <v>0.375</v>
      </c>
      <c r="V12" s="64">
        <f>IFERROR(VLOOKUP(Y12,Parametros!$A$10:$G$13,5,0),0)</f>
        <v>0.95833333333333337</v>
      </c>
      <c r="W12" s="64">
        <f>IFERROR(VLOOKUP(Y12,Parametros!$A$10:$G$13,6,0),0)</f>
        <v>0.9590277777777777</v>
      </c>
      <c r="X12" s="69">
        <f>IFERROR(VLOOKUP(Y12,Parametros!$A$10:$G$13,7,0),0)</f>
        <v>0.3743055555555555</v>
      </c>
      <c r="Y12" s="10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62" t="str">
        <f t="shared" si="5"/>
        <v>00</v>
      </c>
      <c r="T13" s="52" t="str">
        <f t="shared" si="5"/>
        <v>00</v>
      </c>
      <c r="U13" s="63">
        <f>IFERROR(VLOOKUP(Y13,Parametros!$A$10:$G$13,4,0),0)</f>
        <v>0.375</v>
      </c>
      <c r="V13" s="64">
        <f>IFERROR(VLOOKUP(Y13,Parametros!$A$10:$G$13,5,0),0)</f>
        <v>0.95833333333333337</v>
      </c>
      <c r="W13" s="64">
        <f>IFERROR(VLOOKUP(Y13,Parametros!$A$10:$G$13,6,0),0)</f>
        <v>0.9590277777777777</v>
      </c>
      <c r="X13" s="69">
        <f>IFERROR(VLOOKUP(Y13,Parametros!$A$10:$G$13,7,0),0)</f>
        <v>0.3743055555555555</v>
      </c>
      <c r="Y13" s="10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62" t="str">
        <f t="shared" si="5"/>
        <v>00</v>
      </c>
      <c r="T14" s="52" t="str">
        <f t="shared" si="5"/>
        <v>00</v>
      </c>
      <c r="U14" s="63">
        <f>IFERROR(VLOOKUP(Y14,Parametros!$A$10:$G$13,4,0),0)</f>
        <v>0.375</v>
      </c>
      <c r="V14" s="64">
        <f>IFERROR(VLOOKUP(Y14,Parametros!$A$10:$G$13,5,0),0)</f>
        <v>0.95833333333333337</v>
      </c>
      <c r="W14" s="64">
        <f>IFERROR(VLOOKUP(Y14,Parametros!$A$10:$G$13,6,0),0)</f>
        <v>0.9590277777777777</v>
      </c>
      <c r="X14" s="69">
        <f>IFERROR(VLOOKUP(Y14,Parametros!$A$10:$G$13,7,0),0)</f>
        <v>0.3743055555555555</v>
      </c>
      <c r="Y14" s="10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62" t="str">
        <f t="shared" si="5"/>
        <v>00</v>
      </c>
      <c r="T15" s="52" t="str">
        <f t="shared" si="5"/>
        <v>00</v>
      </c>
      <c r="U15" s="63">
        <f>IFERROR(VLOOKUP(Y15,Parametros!$A$10:$G$13,4,0),0)</f>
        <v>0.375</v>
      </c>
      <c r="V15" s="64">
        <f>IFERROR(VLOOKUP(Y15,Parametros!$A$10:$G$13,5,0),0)</f>
        <v>0.95833333333333337</v>
      </c>
      <c r="W15" s="64">
        <f>IFERROR(VLOOKUP(Y15,Parametros!$A$10:$G$13,6,0),0)</f>
        <v>0.9590277777777777</v>
      </c>
      <c r="X15" s="69">
        <f>IFERROR(VLOOKUP(Y15,Parametros!$A$10:$G$13,7,0),0)</f>
        <v>0.3743055555555555</v>
      </c>
      <c r="Y15" s="10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62" t="str">
        <f t="shared" si="5"/>
        <v>00</v>
      </c>
      <c r="T16" s="52" t="str">
        <f t="shared" si="5"/>
        <v>00</v>
      </c>
      <c r="U16" s="63">
        <f>IFERROR(VLOOKUP(Y16,Parametros!$A$10:$G$13,4,0),0)</f>
        <v>0.375</v>
      </c>
      <c r="V16" s="64">
        <f>IFERROR(VLOOKUP(Y16,Parametros!$A$10:$G$13,5,0),0)</f>
        <v>0.95833333333333337</v>
      </c>
      <c r="W16" s="64">
        <f>IFERROR(VLOOKUP(Y16,Parametros!$A$10:$G$13,6,0),0)</f>
        <v>0.9590277777777777</v>
      </c>
      <c r="X16" s="69">
        <f>IFERROR(VLOOKUP(Y16,Parametros!$A$10:$G$13,7,0),0)</f>
        <v>0.3743055555555555</v>
      </c>
      <c r="Y16" s="10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62" t="str">
        <f t="shared" si="5"/>
        <v>00</v>
      </c>
      <c r="T17" s="52" t="str">
        <f t="shared" si="5"/>
        <v>00</v>
      </c>
      <c r="U17" s="63">
        <f>IFERROR(VLOOKUP(Y17,Parametros!$A$10:$G$13,4,0),0)</f>
        <v>0.375</v>
      </c>
      <c r="V17" s="64">
        <f>IFERROR(VLOOKUP(Y17,Parametros!$A$10:$G$13,5,0),0)</f>
        <v>0.95833333333333337</v>
      </c>
      <c r="W17" s="64">
        <f>IFERROR(VLOOKUP(Y17,Parametros!$A$10:$G$13,6,0),0)</f>
        <v>0.9590277777777777</v>
      </c>
      <c r="X17" s="69">
        <f>IFERROR(VLOOKUP(Y17,Parametros!$A$10:$G$13,7,0),0)</f>
        <v>0.3743055555555555</v>
      </c>
      <c r="Y17" s="10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62" t="str">
        <f t="shared" si="5"/>
        <v>00</v>
      </c>
      <c r="T18" s="52" t="str">
        <f t="shared" si="5"/>
        <v>00</v>
      </c>
      <c r="U18" s="63">
        <f>IFERROR(VLOOKUP(Y18,Parametros!$A$10:$G$13,4,0),0)</f>
        <v>0.375</v>
      </c>
      <c r="V18" s="64">
        <f>IFERROR(VLOOKUP(Y18,Parametros!$A$10:$G$13,5,0),0)</f>
        <v>0.95833333333333337</v>
      </c>
      <c r="W18" s="64">
        <f>IFERROR(VLOOKUP(Y18,Parametros!$A$10:$G$13,6,0),0)</f>
        <v>0.9590277777777777</v>
      </c>
      <c r="X18" s="69">
        <f>IFERROR(VLOOKUP(Y18,Parametros!$A$10:$G$13,7,0),0)</f>
        <v>0.3743055555555555</v>
      </c>
      <c r="Y18" s="10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62" t="str">
        <f t="shared" si="5"/>
        <v>00</v>
      </c>
      <c r="T19" s="52" t="str">
        <f t="shared" si="5"/>
        <v>00</v>
      </c>
      <c r="U19" s="63">
        <f>IFERROR(VLOOKUP(Y19,Parametros!$A$10:$G$13,4,0),0)</f>
        <v>0.375</v>
      </c>
      <c r="V19" s="64">
        <f>IFERROR(VLOOKUP(Y19,Parametros!$A$10:$G$13,5,0),0)</f>
        <v>0.95833333333333337</v>
      </c>
      <c r="W19" s="64">
        <f>IFERROR(VLOOKUP(Y19,Parametros!$A$10:$G$13,6,0),0)</f>
        <v>0.9590277777777777</v>
      </c>
      <c r="X19" s="69">
        <f>IFERROR(VLOOKUP(Y19,Parametros!$A$10:$G$13,7,0),0)</f>
        <v>0.3743055555555555</v>
      </c>
      <c r="Y19" s="10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62" t="str">
        <f t="shared" si="5"/>
        <v>00</v>
      </c>
      <c r="T20" s="52" t="str">
        <f t="shared" si="5"/>
        <v>00</v>
      </c>
      <c r="U20" s="63">
        <f>IFERROR(VLOOKUP(Y20,Parametros!$A$10:$G$13,4,0),0)</f>
        <v>0.375</v>
      </c>
      <c r="V20" s="64">
        <f>IFERROR(VLOOKUP(Y20,Parametros!$A$10:$G$13,5,0),0)</f>
        <v>0.95833333333333337</v>
      </c>
      <c r="W20" s="64">
        <f>IFERROR(VLOOKUP(Y20,Parametros!$A$10:$G$13,6,0),0)</f>
        <v>0.9590277777777777</v>
      </c>
      <c r="X20" s="69">
        <f>IFERROR(VLOOKUP(Y20,Parametros!$A$10:$G$13,7,0),0)</f>
        <v>0.3743055555555555</v>
      </c>
      <c r="Y20" s="10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62" t="str">
        <f t="shared" si="5"/>
        <v>00</v>
      </c>
      <c r="T21" s="52" t="str">
        <f t="shared" si="5"/>
        <v>00</v>
      </c>
      <c r="U21" s="63">
        <f>IFERROR(VLOOKUP(Y21,Parametros!$A$10:$G$13,4,0),0)</f>
        <v>0.375</v>
      </c>
      <c r="V21" s="64">
        <f>IFERROR(VLOOKUP(Y21,Parametros!$A$10:$G$13,5,0),0)</f>
        <v>0.95833333333333337</v>
      </c>
      <c r="W21" s="64">
        <f>IFERROR(VLOOKUP(Y21,Parametros!$A$10:$G$13,6,0),0)</f>
        <v>0.9590277777777777</v>
      </c>
      <c r="X21" s="69">
        <f>IFERROR(VLOOKUP(Y21,Parametros!$A$10:$G$13,7,0),0)</f>
        <v>0.3743055555555555</v>
      </c>
      <c r="Y21" s="10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sheetProtection formatCells="0" formatColumns="0" formatRows="0"/>
  <mergeCells count="36">
    <mergeCell ref="O26:P26"/>
    <mergeCell ref="O25:P25"/>
    <mergeCell ref="J26:M26"/>
    <mergeCell ref="P22:P23"/>
    <mergeCell ref="M22:M23"/>
    <mergeCell ref="J25:M25"/>
    <mergeCell ref="C24:F24"/>
    <mergeCell ref="A22:J23"/>
    <mergeCell ref="K22:K23"/>
    <mergeCell ref="L22:L23"/>
    <mergeCell ref="C2:F2"/>
    <mergeCell ref="G2:G6"/>
    <mergeCell ref="F3:F6"/>
    <mergeCell ref="A5:A6"/>
    <mergeCell ref="B5:B6"/>
    <mergeCell ref="D3:E6"/>
    <mergeCell ref="A2:B3"/>
    <mergeCell ref="A4:B4"/>
    <mergeCell ref="Q22:Q23"/>
    <mergeCell ref="H2:J2"/>
    <mergeCell ref="L3:L5"/>
    <mergeCell ref="M2:M5"/>
    <mergeCell ref="H3:H5"/>
    <mergeCell ref="I3:I5"/>
    <mergeCell ref="J3:J5"/>
    <mergeCell ref="K3:K5"/>
    <mergeCell ref="P2:Q5"/>
    <mergeCell ref="H6:J6"/>
    <mergeCell ref="N2:O3"/>
    <mergeCell ref="U5:V5"/>
    <mergeCell ref="W5:X5"/>
    <mergeCell ref="B1:D1"/>
    <mergeCell ref="C3:C6"/>
    <mergeCell ref="I1:L1"/>
    <mergeCell ref="E1:G1"/>
    <mergeCell ref="K2:L2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6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6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6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600-000003000000}">
      <formula1>0</formula1>
      <formula2>0.999988425925926</formula2>
    </dataValidation>
  </dataValidations>
  <hyperlinks>
    <hyperlink ref="E1:G1" location="Parametros!B1" display="Parametros!B1" xr:uid="{00000000-0004-0000-0600-000000000000}"/>
    <hyperlink ref="P1" location="Parametros!B2" display="Parametros!B2" xr:uid="{00000000-0004-0000-0600-000001000000}"/>
  </hyperlinks>
  <pageMargins left="0.7" right="0.7" top="0.75" bottom="0.75" header="0" footer="0"/>
  <pageSetup scale="65" orientation="landscape" r:id="rId1"/>
  <ignoredErrors>
    <ignoredError sqref="H7:H21 K7:P23 J7:J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6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>
    <pageSetUpPr fitToPage="1"/>
  </sheetPr>
  <dimension ref="A1:Y100"/>
  <sheetViews>
    <sheetView topLeftCell="B1" zoomScaleNormal="100" workbookViewId="0">
      <selection activeCell="I17" sqref="I17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1" width="6.33203125" bestFit="1" customWidth="1"/>
    <col min="12" max="12" width="10.8867187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Hoja3!A4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Hoja3!K22</f>
        <v>0</v>
      </c>
      <c r="L6" s="26">
        <f>Hoja3!L22</f>
        <v>1.5</v>
      </c>
      <c r="M6" s="27">
        <f>Hoja3!M22</f>
        <v>1</v>
      </c>
      <c r="N6" s="4"/>
      <c r="O6" s="5"/>
      <c r="P6" s="21">
        <f>Hoja3!P22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108" t="str">
        <f>CONCATENATE(REPT("0",2-LEN(A7)),A7)</f>
        <v>00</v>
      </c>
      <c r="T7" s="107" t="str">
        <f>CONCATENATE(REPT("0",2-LEN(B7)),B7)</f>
        <v>00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108" t="str">
        <f t="shared" ref="S8:T21" si="5">CONCATENATE(REPT("0",2-LEN(A8)),A8)</f>
        <v>00</v>
      </c>
      <c r="T8" s="107" t="str">
        <f t="shared" si="5"/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108" t="str">
        <f t="shared" si="5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108" t="str">
        <f t="shared" si="5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108" t="str">
        <f t="shared" si="5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108" t="str">
        <f t="shared" si="5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108" t="str">
        <f t="shared" si="5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108" t="str">
        <f t="shared" si="5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108" t="str">
        <f t="shared" si="5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108" t="str">
        <f t="shared" si="5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108" t="str">
        <f t="shared" si="5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108" t="str">
        <f t="shared" si="5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108" t="str">
        <f t="shared" si="5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108" t="str">
        <f t="shared" si="5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108" t="str">
        <f t="shared" si="5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O26:P26"/>
    <mergeCell ref="O25:P25"/>
    <mergeCell ref="J26:M26"/>
    <mergeCell ref="P22:P23"/>
    <mergeCell ref="M22:M23"/>
    <mergeCell ref="J25:M25"/>
    <mergeCell ref="C24:F24"/>
    <mergeCell ref="A22:J23"/>
    <mergeCell ref="K22:K23"/>
    <mergeCell ref="L22:L23"/>
    <mergeCell ref="C2:F2"/>
    <mergeCell ref="G2:G6"/>
    <mergeCell ref="F3:F6"/>
    <mergeCell ref="A5:A6"/>
    <mergeCell ref="B5:B6"/>
    <mergeCell ref="D3:E6"/>
    <mergeCell ref="A2:B3"/>
    <mergeCell ref="A4:B4"/>
    <mergeCell ref="Q22:Q23"/>
    <mergeCell ref="H2:J2"/>
    <mergeCell ref="L3:L5"/>
    <mergeCell ref="M2:M5"/>
    <mergeCell ref="H3:H5"/>
    <mergeCell ref="I3:I5"/>
    <mergeCell ref="J3:J5"/>
    <mergeCell ref="K3:K5"/>
    <mergeCell ref="P2:Q5"/>
    <mergeCell ref="H6:J6"/>
    <mergeCell ref="N2:O3"/>
    <mergeCell ref="U5:V5"/>
    <mergeCell ref="W5:X5"/>
    <mergeCell ref="B1:D1"/>
    <mergeCell ref="C3:C6"/>
    <mergeCell ref="I1:L1"/>
    <mergeCell ref="E1:G1"/>
    <mergeCell ref="K2:L2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7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7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7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700-000003000000}">
      <formula1>0</formula1>
      <formula2>0.999988425925926</formula2>
    </dataValidation>
  </dataValidations>
  <hyperlinks>
    <hyperlink ref="E1:G1" location="Parametros!B1" display="Parametros!B1" xr:uid="{00000000-0004-0000-0700-000000000000}"/>
    <hyperlink ref="P1" location="Parametros!B2" display="Parametros!B2" xr:uid="{00000000-0004-0000-0700-000001000000}"/>
  </hyperlinks>
  <pageMargins left="0.7" right="0.7" top="0.75" bottom="0.75" header="0" footer="0"/>
  <pageSetup scale="65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7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>
    <pageSetUpPr fitToPage="1"/>
  </sheetPr>
  <dimension ref="A1:Y100"/>
  <sheetViews>
    <sheetView topLeftCell="A3" workbookViewId="0">
      <selection activeCell="I8" sqref="I8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1" width="8.88671875" customWidth="1"/>
    <col min="12" max="12" width="8.554687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hidden="1" customWidth="1"/>
    <col min="20" max="23" width="12.5546875" hidden="1" customWidth="1"/>
    <col min="24" max="25" width="0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Hoja4!A4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309" t="s">
        <v>36</v>
      </c>
      <c r="V5" s="310"/>
      <c r="W5" s="309" t="s">
        <v>37</v>
      </c>
      <c r="X5" s="310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Hoja4!K22</f>
        <v>0</v>
      </c>
      <c r="L6" s="26">
        <f>Hoja4!L22</f>
        <v>1.5</v>
      </c>
      <c r="M6" s="231">
        <f>Hoja4!M22</f>
        <v>1</v>
      </c>
      <c r="N6" s="4"/>
      <c r="O6" s="5"/>
      <c r="P6" s="21">
        <f>Hoja4!P22</f>
        <v>1.5</v>
      </c>
      <c r="Q6" s="22" t="s">
        <v>25</v>
      </c>
      <c r="S6" s="65" t="s">
        <v>113</v>
      </c>
      <c r="T6" s="66" t="s">
        <v>114</v>
      </c>
      <c r="U6" s="59" t="s">
        <v>38</v>
      </c>
      <c r="V6" s="67" t="s">
        <v>40</v>
      </c>
      <c r="W6" s="68" t="s">
        <v>38</v>
      </c>
      <c r="X6" s="68" t="s">
        <v>40</v>
      </c>
      <c r="Y6" s="70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62" t="str">
        <f>CONCATENATE(REPT("0",2-LEN(A7)),A7)</f>
        <v>00</v>
      </c>
      <c r="T7" s="52" t="str">
        <f>CONCATENATE(REPT("0",2-LEN(B7)),B7)</f>
        <v>00</v>
      </c>
      <c r="U7" s="63">
        <f>IFERROR(VLOOKUP(Y7,Parametros!$A$10:$G$13,4,0),0)</f>
        <v>0.375</v>
      </c>
      <c r="V7" s="64">
        <f>IFERROR(VLOOKUP(Y7,Parametros!$A$10:$G$13,5,0),0)</f>
        <v>0.95833333333333337</v>
      </c>
      <c r="W7" s="64">
        <f>IFERROR(VLOOKUP(Y7,Parametros!$A$10:$G$13,6,0),0)</f>
        <v>0.9590277777777777</v>
      </c>
      <c r="X7" s="69">
        <f>IFERROR(VLOOKUP(Y7,Parametros!$A$10:$G$13,7,0),0)</f>
        <v>0.3743055555555555</v>
      </c>
      <c r="Y7" s="10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62" t="str">
        <f t="shared" ref="S8:T21" si="5">CONCATENATE(REPT("0",2-LEN(A8)),A8)</f>
        <v>00</v>
      </c>
      <c r="T8" s="52" t="str">
        <f t="shared" si="5"/>
        <v>00</v>
      </c>
      <c r="U8" s="63">
        <f>IFERROR(VLOOKUP(Y8,Parametros!$A$10:$G$13,4,0),0)</f>
        <v>0.375</v>
      </c>
      <c r="V8" s="64">
        <f>IFERROR(VLOOKUP(Y8,Parametros!$A$10:$G$13,5,0),0)</f>
        <v>0.95833333333333337</v>
      </c>
      <c r="W8" s="64">
        <f>IFERROR(VLOOKUP(Y8,Parametros!$A$10:$G$13,6,0),0)</f>
        <v>0.9590277777777777</v>
      </c>
      <c r="X8" s="69">
        <f>IFERROR(VLOOKUP(Y8,Parametros!$A$10:$G$13,7,0),0)</f>
        <v>0.3743055555555555</v>
      </c>
      <c r="Y8" s="10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62" t="str">
        <f t="shared" si="5"/>
        <v>00</v>
      </c>
      <c r="T9" s="52" t="str">
        <f t="shared" si="5"/>
        <v>00</v>
      </c>
      <c r="U9" s="63">
        <f>IFERROR(VLOOKUP(Y9,Parametros!$A$10:$G$13,4,0),0)</f>
        <v>0.375</v>
      </c>
      <c r="V9" s="64">
        <f>IFERROR(VLOOKUP(Y9,Parametros!$A$10:$G$13,5,0),0)</f>
        <v>0.95833333333333337</v>
      </c>
      <c r="W9" s="64">
        <f>IFERROR(VLOOKUP(Y9,Parametros!$A$10:$G$13,6,0),0)</f>
        <v>0.9590277777777777</v>
      </c>
      <c r="X9" s="69">
        <f>IFERROR(VLOOKUP(Y9,Parametros!$A$10:$G$13,7,0),0)</f>
        <v>0.3743055555555555</v>
      </c>
      <c r="Y9" s="10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62" t="str">
        <f t="shared" si="5"/>
        <v>00</v>
      </c>
      <c r="T10" s="52" t="str">
        <f t="shared" si="5"/>
        <v>00</v>
      </c>
      <c r="U10" s="63">
        <f>IFERROR(VLOOKUP(Y10,Parametros!$A$10:$G$13,4,0),0)</f>
        <v>0.375</v>
      </c>
      <c r="V10" s="64">
        <f>IFERROR(VLOOKUP(Y10,Parametros!$A$10:$G$13,5,0),0)</f>
        <v>0.95833333333333337</v>
      </c>
      <c r="W10" s="64">
        <f>IFERROR(VLOOKUP(Y10,Parametros!$A$10:$G$13,6,0),0)</f>
        <v>0.9590277777777777</v>
      </c>
      <c r="X10" s="69">
        <f>IFERROR(VLOOKUP(Y10,Parametros!$A$10:$G$13,7,0),0)</f>
        <v>0.3743055555555555</v>
      </c>
      <c r="Y10" s="10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62" t="str">
        <f t="shared" si="5"/>
        <v>00</v>
      </c>
      <c r="T11" s="52" t="str">
        <f t="shared" si="5"/>
        <v>00</v>
      </c>
      <c r="U11" s="63">
        <f>IFERROR(VLOOKUP(Y11,Parametros!$A$10:$G$13,4,0),0)</f>
        <v>0.375</v>
      </c>
      <c r="V11" s="64">
        <f>IFERROR(VLOOKUP(Y11,Parametros!$A$10:$G$13,5,0),0)</f>
        <v>0.95833333333333337</v>
      </c>
      <c r="W11" s="64">
        <f>IFERROR(VLOOKUP(Y11,Parametros!$A$10:$G$13,6,0),0)</f>
        <v>0.9590277777777777</v>
      </c>
      <c r="X11" s="69">
        <f>IFERROR(VLOOKUP(Y11,Parametros!$A$10:$G$13,7,0),0)</f>
        <v>0.3743055555555555</v>
      </c>
      <c r="Y11" s="10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62" t="str">
        <f t="shared" si="5"/>
        <v>00</v>
      </c>
      <c r="T12" s="52" t="str">
        <f t="shared" si="5"/>
        <v>00</v>
      </c>
      <c r="U12" s="63">
        <f>IFERROR(VLOOKUP(Y12,Parametros!$A$10:$G$13,4,0),0)</f>
        <v>0.375</v>
      </c>
      <c r="V12" s="64">
        <f>IFERROR(VLOOKUP(Y12,Parametros!$A$10:$G$13,5,0),0)</f>
        <v>0.95833333333333337</v>
      </c>
      <c r="W12" s="64">
        <f>IFERROR(VLOOKUP(Y12,Parametros!$A$10:$G$13,6,0),0)</f>
        <v>0.9590277777777777</v>
      </c>
      <c r="X12" s="69">
        <f>IFERROR(VLOOKUP(Y12,Parametros!$A$10:$G$13,7,0),0)</f>
        <v>0.3743055555555555</v>
      </c>
      <c r="Y12" s="10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62" t="str">
        <f t="shared" si="5"/>
        <v>00</v>
      </c>
      <c r="T13" s="52" t="str">
        <f t="shared" si="5"/>
        <v>00</v>
      </c>
      <c r="U13" s="63">
        <f>IFERROR(VLOOKUP(Y13,Parametros!$A$10:$G$13,4,0),0)</f>
        <v>0.375</v>
      </c>
      <c r="V13" s="64">
        <f>IFERROR(VLOOKUP(Y13,Parametros!$A$10:$G$13,5,0),0)</f>
        <v>0.95833333333333337</v>
      </c>
      <c r="W13" s="64">
        <f>IFERROR(VLOOKUP(Y13,Parametros!$A$10:$G$13,6,0),0)</f>
        <v>0.9590277777777777</v>
      </c>
      <c r="X13" s="69">
        <f>IFERROR(VLOOKUP(Y13,Parametros!$A$10:$G$13,7,0),0)</f>
        <v>0.3743055555555555</v>
      </c>
      <c r="Y13" s="10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62" t="str">
        <f t="shared" si="5"/>
        <v>00</v>
      </c>
      <c r="T14" s="52" t="str">
        <f t="shared" si="5"/>
        <v>00</v>
      </c>
      <c r="U14" s="63">
        <f>IFERROR(VLOOKUP(Y14,Parametros!$A$10:$G$13,4,0),0)</f>
        <v>0.375</v>
      </c>
      <c r="V14" s="64">
        <f>IFERROR(VLOOKUP(Y14,Parametros!$A$10:$G$13,5,0),0)</f>
        <v>0.95833333333333337</v>
      </c>
      <c r="W14" s="64">
        <f>IFERROR(VLOOKUP(Y14,Parametros!$A$10:$G$13,6,0),0)</f>
        <v>0.9590277777777777</v>
      </c>
      <c r="X14" s="69">
        <f>IFERROR(VLOOKUP(Y14,Parametros!$A$10:$G$13,7,0),0)</f>
        <v>0.3743055555555555</v>
      </c>
      <c r="Y14" s="10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62" t="str">
        <f t="shared" si="5"/>
        <v>00</v>
      </c>
      <c r="T15" s="52" t="str">
        <f t="shared" si="5"/>
        <v>00</v>
      </c>
      <c r="U15" s="63">
        <f>IFERROR(VLOOKUP(Y15,Parametros!$A$10:$G$13,4,0),0)</f>
        <v>0.375</v>
      </c>
      <c r="V15" s="64">
        <f>IFERROR(VLOOKUP(Y15,Parametros!$A$10:$G$13,5,0),0)</f>
        <v>0.95833333333333337</v>
      </c>
      <c r="W15" s="64">
        <f>IFERROR(VLOOKUP(Y15,Parametros!$A$10:$G$13,6,0),0)</f>
        <v>0.9590277777777777</v>
      </c>
      <c r="X15" s="69">
        <f>IFERROR(VLOOKUP(Y15,Parametros!$A$10:$G$13,7,0),0)</f>
        <v>0.3743055555555555</v>
      </c>
      <c r="Y15" s="10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62" t="str">
        <f t="shared" si="5"/>
        <v>00</v>
      </c>
      <c r="T16" s="52" t="str">
        <f t="shared" si="5"/>
        <v>00</v>
      </c>
      <c r="U16" s="63">
        <f>IFERROR(VLOOKUP(Y16,Parametros!$A$10:$G$13,4,0),0)</f>
        <v>0.375</v>
      </c>
      <c r="V16" s="64">
        <f>IFERROR(VLOOKUP(Y16,Parametros!$A$10:$G$13,5,0),0)</f>
        <v>0.95833333333333337</v>
      </c>
      <c r="W16" s="64">
        <f>IFERROR(VLOOKUP(Y16,Parametros!$A$10:$G$13,6,0),0)</f>
        <v>0.9590277777777777</v>
      </c>
      <c r="X16" s="69">
        <f>IFERROR(VLOOKUP(Y16,Parametros!$A$10:$G$13,7,0),0)</f>
        <v>0.3743055555555555</v>
      </c>
      <c r="Y16" s="10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62" t="str">
        <f t="shared" si="5"/>
        <v>00</v>
      </c>
      <c r="T17" s="52" t="str">
        <f t="shared" si="5"/>
        <v>00</v>
      </c>
      <c r="U17" s="63">
        <f>IFERROR(VLOOKUP(Y17,Parametros!$A$10:$G$13,4,0),0)</f>
        <v>0.375</v>
      </c>
      <c r="V17" s="64">
        <f>IFERROR(VLOOKUP(Y17,Parametros!$A$10:$G$13,5,0),0)</f>
        <v>0.95833333333333337</v>
      </c>
      <c r="W17" s="64">
        <f>IFERROR(VLOOKUP(Y17,Parametros!$A$10:$G$13,6,0),0)</f>
        <v>0.9590277777777777</v>
      </c>
      <c r="X17" s="69">
        <f>IFERROR(VLOOKUP(Y17,Parametros!$A$10:$G$13,7,0),0)</f>
        <v>0.3743055555555555</v>
      </c>
      <c r="Y17" s="10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62" t="str">
        <f t="shared" si="5"/>
        <v>00</v>
      </c>
      <c r="T18" s="52" t="str">
        <f t="shared" si="5"/>
        <v>00</v>
      </c>
      <c r="U18" s="63">
        <f>IFERROR(VLOOKUP(Y18,Parametros!$A$10:$G$13,4,0),0)</f>
        <v>0.375</v>
      </c>
      <c r="V18" s="64">
        <f>IFERROR(VLOOKUP(Y18,Parametros!$A$10:$G$13,5,0),0)</f>
        <v>0.95833333333333337</v>
      </c>
      <c r="W18" s="64">
        <f>IFERROR(VLOOKUP(Y18,Parametros!$A$10:$G$13,6,0),0)</f>
        <v>0.9590277777777777</v>
      </c>
      <c r="X18" s="69">
        <f>IFERROR(VLOOKUP(Y18,Parametros!$A$10:$G$13,7,0),0)</f>
        <v>0.3743055555555555</v>
      </c>
      <c r="Y18" s="10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62" t="str">
        <f t="shared" si="5"/>
        <v>00</v>
      </c>
      <c r="T19" s="52" t="str">
        <f t="shared" si="5"/>
        <v>00</v>
      </c>
      <c r="U19" s="63">
        <f>IFERROR(VLOOKUP(Y19,Parametros!$A$10:$G$13,4,0),0)</f>
        <v>0.375</v>
      </c>
      <c r="V19" s="64">
        <f>IFERROR(VLOOKUP(Y19,Parametros!$A$10:$G$13,5,0),0)</f>
        <v>0.95833333333333337</v>
      </c>
      <c r="W19" s="64">
        <f>IFERROR(VLOOKUP(Y19,Parametros!$A$10:$G$13,6,0),0)</f>
        <v>0.9590277777777777</v>
      </c>
      <c r="X19" s="69">
        <f>IFERROR(VLOOKUP(Y19,Parametros!$A$10:$G$13,7,0),0)</f>
        <v>0.3743055555555555</v>
      </c>
      <c r="Y19" s="10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62" t="str">
        <f t="shared" si="5"/>
        <v>00</v>
      </c>
      <c r="T20" s="52" t="str">
        <f t="shared" si="5"/>
        <v>00</v>
      </c>
      <c r="U20" s="63">
        <f>IFERROR(VLOOKUP(Y20,Parametros!$A$10:$G$13,4,0),0)</f>
        <v>0.375</v>
      </c>
      <c r="V20" s="64">
        <f>IFERROR(VLOOKUP(Y20,Parametros!$A$10:$G$13,5,0),0)</f>
        <v>0.95833333333333337</v>
      </c>
      <c r="W20" s="64">
        <f>IFERROR(VLOOKUP(Y20,Parametros!$A$10:$G$13,6,0),0)</f>
        <v>0.9590277777777777</v>
      </c>
      <c r="X20" s="69">
        <f>IFERROR(VLOOKUP(Y20,Parametros!$A$10:$G$13,7,0),0)</f>
        <v>0.3743055555555555</v>
      </c>
      <c r="Y20" s="10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62" t="str">
        <f t="shared" si="5"/>
        <v>00</v>
      </c>
      <c r="T21" s="52" t="str">
        <f t="shared" si="5"/>
        <v>00</v>
      </c>
      <c r="U21" s="63">
        <f>IFERROR(VLOOKUP(Y21,Parametros!$A$10:$G$13,4,0),0)</f>
        <v>0.375</v>
      </c>
      <c r="V21" s="64">
        <f>IFERROR(VLOOKUP(Y21,Parametros!$A$10:$G$13,5,0),0)</f>
        <v>0.95833333333333337</v>
      </c>
      <c r="W21" s="64">
        <f>IFERROR(VLOOKUP(Y21,Parametros!$A$10:$G$13,6,0),0)</f>
        <v>0.9590277777777777</v>
      </c>
      <c r="X21" s="69">
        <f>IFERROR(VLOOKUP(Y21,Parametros!$A$10:$G$13,7,0),0)</f>
        <v>0.3743055555555555</v>
      </c>
      <c r="Y21" s="10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 t="s">
        <v>73</v>
      </c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sheetProtection formatCells="0" formatColumns="0" formatRows="0"/>
  <mergeCells count="36">
    <mergeCell ref="O26:P26"/>
    <mergeCell ref="O25:P25"/>
    <mergeCell ref="J26:M26"/>
    <mergeCell ref="P22:P23"/>
    <mergeCell ref="M22:M23"/>
    <mergeCell ref="J25:M25"/>
    <mergeCell ref="C24:F24"/>
    <mergeCell ref="A22:J23"/>
    <mergeCell ref="K22:K23"/>
    <mergeCell ref="L22:L23"/>
    <mergeCell ref="C2:F2"/>
    <mergeCell ref="G2:G6"/>
    <mergeCell ref="F3:F6"/>
    <mergeCell ref="A5:A6"/>
    <mergeCell ref="B5:B6"/>
    <mergeCell ref="D3:E6"/>
    <mergeCell ref="A2:B3"/>
    <mergeCell ref="A4:B4"/>
    <mergeCell ref="Q22:Q23"/>
    <mergeCell ref="H2:J2"/>
    <mergeCell ref="L3:L5"/>
    <mergeCell ref="M2:M5"/>
    <mergeCell ref="H3:H5"/>
    <mergeCell ref="I3:I5"/>
    <mergeCell ref="J3:J5"/>
    <mergeCell ref="K3:K5"/>
    <mergeCell ref="P2:Q5"/>
    <mergeCell ref="H6:J6"/>
    <mergeCell ref="N2:O3"/>
    <mergeCell ref="U5:V5"/>
    <mergeCell ref="W5:X5"/>
    <mergeCell ref="B1:D1"/>
    <mergeCell ref="C3:C6"/>
    <mergeCell ref="I1:L1"/>
    <mergeCell ref="E1:G1"/>
    <mergeCell ref="K2:L2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8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8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8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800-000003000000}">
      <formula1>0</formula1>
      <formula2>0.999988425925926</formula2>
    </dataValidation>
  </dataValidations>
  <hyperlinks>
    <hyperlink ref="E1:G1" location="Parametros!B1" display="Parametros!B1" xr:uid="{00000000-0004-0000-0800-000000000000}"/>
    <hyperlink ref="P1" location="Parametros!B2" display="Parametros!B2" xr:uid="{00000000-0004-0000-0800-000001000000}"/>
  </hyperlinks>
  <pageMargins left="0.7" right="0.7" top="0.75" bottom="0.75" header="0" footer="0"/>
  <pageSetup scale="65" orientation="landscape" r:id="rId1"/>
  <ignoredErrors>
    <ignoredError sqref="H7:H21 K22:P23 J7:Q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8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>
    <pageSetUpPr fitToPage="1"/>
  </sheetPr>
  <dimension ref="A1:Y100"/>
  <sheetViews>
    <sheetView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10937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hidden="1" customWidth="1"/>
    <col min="20" max="23" width="12.5546875" hidden="1" customWidth="1"/>
    <col min="24" max="25" width="0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Hoja5!A4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309" t="s">
        <v>36</v>
      </c>
      <c r="V5" s="310"/>
      <c r="W5" s="309" t="s">
        <v>37</v>
      </c>
      <c r="X5" s="310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Hoja5!K22</f>
        <v>0</v>
      </c>
      <c r="L6" s="26">
        <f>Hoja5!L22</f>
        <v>1.5</v>
      </c>
      <c r="M6" s="27">
        <f>Hoja5!M22</f>
        <v>1</v>
      </c>
      <c r="N6" s="4"/>
      <c r="O6" s="5"/>
      <c r="P6" s="21">
        <f>Hoja5!P22</f>
        <v>1.5</v>
      </c>
      <c r="Q6" s="22" t="s">
        <v>25</v>
      </c>
      <c r="S6" s="65" t="s">
        <v>113</v>
      </c>
      <c r="T6" s="66" t="s">
        <v>114</v>
      </c>
      <c r="U6" s="59" t="s">
        <v>38</v>
      </c>
      <c r="V6" s="67" t="s">
        <v>40</v>
      </c>
      <c r="W6" s="68" t="s">
        <v>38</v>
      </c>
      <c r="X6" s="68" t="s">
        <v>40</v>
      </c>
      <c r="Y6" s="70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62" t="str">
        <f>CONCATENATE(REPT("0",2-LEN(A7)),A7)</f>
        <v>00</v>
      </c>
      <c r="T7" s="52" t="str">
        <f>CONCATENATE(REPT("0",2-LEN(B7)),B7)</f>
        <v>00</v>
      </c>
      <c r="U7" s="63">
        <f>IFERROR(VLOOKUP(Y7,Parametros!$A$10:$G$13,4,0),0)</f>
        <v>0.375</v>
      </c>
      <c r="V7" s="64">
        <f>IFERROR(VLOOKUP(Y7,Parametros!$A$10:$G$13,5,0),0)</f>
        <v>0.95833333333333337</v>
      </c>
      <c r="W7" s="64">
        <f>IFERROR(VLOOKUP(Y7,Parametros!$A$10:$G$13,6,0),0)</f>
        <v>0.9590277777777777</v>
      </c>
      <c r="X7" s="69">
        <f>IFERROR(VLOOKUP(Y7,Parametros!$A$10:$G$13,7,0),0)</f>
        <v>0.3743055555555555</v>
      </c>
      <c r="Y7" s="10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62" t="str">
        <f t="shared" ref="S8:T21" si="5">CONCATENATE(REPT("0",2-LEN(A8)),A8)</f>
        <v>00</v>
      </c>
      <c r="T8" s="52" t="str">
        <f t="shared" si="5"/>
        <v>00</v>
      </c>
      <c r="U8" s="63">
        <f>IFERROR(VLOOKUP(Y8,Parametros!$A$10:$G$13,4,0),0)</f>
        <v>0.375</v>
      </c>
      <c r="V8" s="64">
        <f>IFERROR(VLOOKUP(Y8,Parametros!$A$10:$G$13,5,0),0)</f>
        <v>0.95833333333333337</v>
      </c>
      <c r="W8" s="64">
        <f>IFERROR(VLOOKUP(Y8,Parametros!$A$10:$G$13,6,0),0)</f>
        <v>0.9590277777777777</v>
      </c>
      <c r="X8" s="69">
        <f>IFERROR(VLOOKUP(Y8,Parametros!$A$10:$G$13,7,0),0)</f>
        <v>0.3743055555555555</v>
      </c>
      <c r="Y8" s="10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62" t="str">
        <f t="shared" si="5"/>
        <v>00</v>
      </c>
      <c r="T9" s="52" t="str">
        <f t="shared" si="5"/>
        <v>00</v>
      </c>
      <c r="U9" s="63">
        <f>IFERROR(VLOOKUP(Y9,Parametros!$A$10:$G$13,4,0),0)</f>
        <v>0.375</v>
      </c>
      <c r="V9" s="64">
        <f>IFERROR(VLOOKUP(Y9,Parametros!$A$10:$G$13,5,0),0)</f>
        <v>0.95833333333333337</v>
      </c>
      <c r="W9" s="64">
        <f>IFERROR(VLOOKUP(Y9,Parametros!$A$10:$G$13,6,0),0)</f>
        <v>0.9590277777777777</v>
      </c>
      <c r="X9" s="69">
        <f>IFERROR(VLOOKUP(Y9,Parametros!$A$10:$G$13,7,0),0)</f>
        <v>0.3743055555555555</v>
      </c>
      <c r="Y9" s="10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62" t="str">
        <f t="shared" si="5"/>
        <v>00</v>
      </c>
      <c r="T10" s="52" t="str">
        <f t="shared" si="5"/>
        <v>00</v>
      </c>
      <c r="U10" s="63">
        <f>IFERROR(VLOOKUP(Y10,Parametros!$A$10:$G$13,4,0),0)</f>
        <v>0.375</v>
      </c>
      <c r="V10" s="64">
        <f>IFERROR(VLOOKUP(Y10,Parametros!$A$10:$G$13,5,0),0)</f>
        <v>0.95833333333333337</v>
      </c>
      <c r="W10" s="64">
        <f>IFERROR(VLOOKUP(Y10,Parametros!$A$10:$G$13,6,0),0)</f>
        <v>0.9590277777777777</v>
      </c>
      <c r="X10" s="69">
        <f>IFERROR(VLOOKUP(Y10,Parametros!$A$10:$G$13,7,0),0)</f>
        <v>0.3743055555555555</v>
      </c>
      <c r="Y10" s="10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62" t="str">
        <f t="shared" si="5"/>
        <v>00</v>
      </c>
      <c r="T11" s="52" t="str">
        <f t="shared" si="5"/>
        <v>00</v>
      </c>
      <c r="U11" s="63">
        <f>IFERROR(VLOOKUP(Y11,Parametros!$A$10:$G$13,4,0),0)</f>
        <v>0.375</v>
      </c>
      <c r="V11" s="64">
        <f>IFERROR(VLOOKUP(Y11,Parametros!$A$10:$G$13,5,0),0)</f>
        <v>0.95833333333333337</v>
      </c>
      <c r="W11" s="64">
        <f>IFERROR(VLOOKUP(Y11,Parametros!$A$10:$G$13,6,0),0)</f>
        <v>0.9590277777777777</v>
      </c>
      <c r="X11" s="69">
        <f>IFERROR(VLOOKUP(Y11,Parametros!$A$10:$G$13,7,0),0)</f>
        <v>0.3743055555555555</v>
      </c>
      <c r="Y11" s="10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62" t="str">
        <f t="shared" si="5"/>
        <v>00</v>
      </c>
      <c r="T12" s="52" t="str">
        <f t="shared" si="5"/>
        <v>00</v>
      </c>
      <c r="U12" s="63">
        <f>IFERROR(VLOOKUP(Y12,Parametros!$A$10:$G$13,4,0),0)</f>
        <v>0.375</v>
      </c>
      <c r="V12" s="64">
        <f>IFERROR(VLOOKUP(Y12,Parametros!$A$10:$G$13,5,0),0)</f>
        <v>0.95833333333333337</v>
      </c>
      <c r="W12" s="64">
        <f>IFERROR(VLOOKUP(Y12,Parametros!$A$10:$G$13,6,0),0)</f>
        <v>0.9590277777777777</v>
      </c>
      <c r="X12" s="69">
        <f>IFERROR(VLOOKUP(Y12,Parametros!$A$10:$G$13,7,0),0)</f>
        <v>0.3743055555555555</v>
      </c>
      <c r="Y12" s="10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62" t="str">
        <f t="shared" si="5"/>
        <v>00</v>
      </c>
      <c r="T13" s="52" t="str">
        <f t="shared" si="5"/>
        <v>00</v>
      </c>
      <c r="U13" s="63">
        <f>IFERROR(VLOOKUP(Y13,Parametros!$A$10:$G$13,4,0),0)</f>
        <v>0.375</v>
      </c>
      <c r="V13" s="64">
        <f>IFERROR(VLOOKUP(Y13,Parametros!$A$10:$G$13,5,0),0)</f>
        <v>0.95833333333333337</v>
      </c>
      <c r="W13" s="64">
        <f>IFERROR(VLOOKUP(Y13,Parametros!$A$10:$G$13,6,0),0)</f>
        <v>0.9590277777777777</v>
      </c>
      <c r="X13" s="69">
        <f>IFERROR(VLOOKUP(Y13,Parametros!$A$10:$G$13,7,0),0)</f>
        <v>0.3743055555555555</v>
      </c>
      <c r="Y13" s="10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62" t="str">
        <f t="shared" si="5"/>
        <v>00</v>
      </c>
      <c r="T14" s="52" t="str">
        <f t="shared" si="5"/>
        <v>00</v>
      </c>
      <c r="U14" s="63">
        <f>IFERROR(VLOOKUP(Y14,Parametros!$A$10:$G$13,4,0),0)</f>
        <v>0.375</v>
      </c>
      <c r="V14" s="64">
        <f>IFERROR(VLOOKUP(Y14,Parametros!$A$10:$G$13,5,0),0)</f>
        <v>0.95833333333333337</v>
      </c>
      <c r="W14" s="64">
        <f>IFERROR(VLOOKUP(Y14,Parametros!$A$10:$G$13,6,0),0)</f>
        <v>0.9590277777777777</v>
      </c>
      <c r="X14" s="69">
        <f>IFERROR(VLOOKUP(Y14,Parametros!$A$10:$G$13,7,0),0)</f>
        <v>0.3743055555555555</v>
      </c>
      <c r="Y14" s="10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62" t="str">
        <f t="shared" si="5"/>
        <v>00</v>
      </c>
      <c r="T15" s="52" t="str">
        <f t="shared" si="5"/>
        <v>00</v>
      </c>
      <c r="U15" s="63">
        <f>IFERROR(VLOOKUP(Y15,Parametros!$A$10:$G$13,4,0),0)</f>
        <v>0.375</v>
      </c>
      <c r="V15" s="64">
        <f>IFERROR(VLOOKUP(Y15,Parametros!$A$10:$G$13,5,0),0)</f>
        <v>0.95833333333333337</v>
      </c>
      <c r="W15" s="64">
        <f>IFERROR(VLOOKUP(Y15,Parametros!$A$10:$G$13,6,0),0)</f>
        <v>0.9590277777777777</v>
      </c>
      <c r="X15" s="69">
        <f>IFERROR(VLOOKUP(Y15,Parametros!$A$10:$G$13,7,0),0)</f>
        <v>0.3743055555555555</v>
      </c>
      <c r="Y15" s="10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62" t="str">
        <f t="shared" si="5"/>
        <v>00</v>
      </c>
      <c r="T16" s="52" t="str">
        <f t="shared" si="5"/>
        <v>00</v>
      </c>
      <c r="U16" s="63">
        <f>IFERROR(VLOOKUP(Y16,Parametros!$A$10:$G$13,4,0),0)</f>
        <v>0.375</v>
      </c>
      <c r="V16" s="64">
        <f>IFERROR(VLOOKUP(Y16,Parametros!$A$10:$G$13,5,0),0)</f>
        <v>0.95833333333333337</v>
      </c>
      <c r="W16" s="64">
        <f>IFERROR(VLOOKUP(Y16,Parametros!$A$10:$G$13,6,0),0)</f>
        <v>0.9590277777777777</v>
      </c>
      <c r="X16" s="69">
        <f>IFERROR(VLOOKUP(Y16,Parametros!$A$10:$G$13,7,0),0)</f>
        <v>0.3743055555555555</v>
      </c>
      <c r="Y16" s="10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62" t="str">
        <f t="shared" si="5"/>
        <v>00</v>
      </c>
      <c r="T17" s="52" t="str">
        <f t="shared" si="5"/>
        <v>00</v>
      </c>
      <c r="U17" s="63">
        <f>IFERROR(VLOOKUP(Y17,Parametros!$A$10:$G$13,4,0),0)</f>
        <v>0.375</v>
      </c>
      <c r="V17" s="64">
        <f>IFERROR(VLOOKUP(Y17,Parametros!$A$10:$G$13,5,0),0)</f>
        <v>0.95833333333333337</v>
      </c>
      <c r="W17" s="64">
        <f>IFERROR(VLOOKUP(Y17,Parametros!$A$10:$G$13,6,0),0)</f>
        <v>0.9590277777777777</v>
      </c>
      <c r="X17" s="69">
        <f>IFERROR(VLOOKUP(Y17,Parametros!$A$10:$G$13,7,0),0)</f>
        <v>0.3743055555555555</v>
      </c>
      <c r="Y17" s="10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62" t="str">
        <f t="shared" si="5"/>
        <v>00</v>
      </c>
      <c r="T18" s="52" t="str">
        <f t="shared" si="5"/>
        <v>00</v>
      </c>
      <c r="U18" s="63">
        <f>IFERROR(VLOOKUP(Y18,Parametros!$A$10:$G$13,4,0),0)</f>
        <v>0.375</v>
      </c>
      <c r="V18" s="64">
        <f>IFERROR(VLOOKUP(Y18,Parametros!$A$10:$G$13,5,0),0)</f>
        <v>0.95833333333333337</v>
      </c>
      <c r="W18" s="64">
        <f>IFERROR(VLOOKUP(Y18,Parametros!$A$10:$G$13,6,0),0)</f>
        <v>0.9590277777777777</v>
      </c>
      <c r="X18" s="69">
        <f>IFERROR(VLOOKUP(Y18,Parametros!$A$10:$G$13,7,0),0)</f>
        <v>0.3743055555555555</v>
      </c>
      <c r="Y18" s="10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62" t="str">
        <f t="shared" si="5"/>
        <v>00</v>
      </c>
      <c r="T19" s="52" t="str">
        <f t="shared" si="5"/>
        <v>00</v>
      </c>
      <c r="U19" s="63">
        <f>IFERROR(VLOOKUP(Y19,Parametros!$A$10:$G$13,4,0),0)</f>
        <v>0.375</v>
      </c>
      <c r="V19" s="64">
        <f>IFERROR(VLOOKUP(Y19,Parametros!$A$10:$G$13,5,0),0)</f>
        <v>0.95833333333333337</v>
      </c>
      <c r="W19" s="64">
        <f>IFERROR(VLOOKUP(Y19,Parametros!$A$10:$G$13,6,0),0)</f>
        <v>0.9590277777777777</v>
      </c>
      <c r="X19" s="69">
        <f>IFERROR(VLOOKUP(Y19,Parametros!$A$10:$G$13,7,0),0)</f>
        <v>0.3743055555555555</v>
      </c>
      <c r="Y19" s="10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62" t="str">
        <f t="shared" si="5"/>
        <v>00</v>
      </c>
      <c r="T20" s="52" t="str">
        <f t="shared" si="5"/>
        <v>00</v>
      </c>
      <c r="U20" s="63">
        <f>IFERROR(VLOOKUP(Y20,Parametros!$A$10:$G$13,4,0),0)</f>
        <v>0.375</v>
      </c>
      <c r="V20" s="64">
        <f>IFERROR(VLOOKUP(Y20,Parametros!$A$10:$G$13,5,0),0)</f>
        <v>0.95833333333333337</v>
      </c>
      <c r="W20" s="64">
        <f>IFERROR(VLOOKUP(Y20,Parametros!$A$10:$G$13,6,0),0)</f>
        <v>0.9590277777777777</v>
      </c>
      <c r="X20" s="69">
        <f>IFERROR(VLOOKUP(Y20,Parametros!$A$10:$G$13,7,0),0)</f>
        <v>0.3743055555555555</v>
      </c>
      <c r="Y20" s="10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62" t="str">
        <f t="shared" si="5"/>
        <v>00</v>
      </c>
      <c r="T21" s="52" t="str">
        <f t="shared" si="5"/>
        <v>00</v>
      </c>
      <c r="U21" s="63">
        <f>IFERROR(VLOOKUP(Y21,Parametros!$A$10:$G$13,4,0),0)</f>
        <v>0.375</v>
      </c>
      <c r="V21" s="64">
        <f>IFERROR(VLOOKUP(Y21,Parametros!$A$10:$G$13,5,0),0)</f>
        <v>0.95833333333333337</v>
      </c>
      <c r="W21" s="64">
        <f>IFERROR(VLOOKUP(Y21,Parametros!$A$10:$G$13,6,0),0)</f>
        <v>0.9590277777777777</v>
      </c>
      <c r="X21" s="69">
        <f>IFERROR(VLOOKUP(Y21,Parametros!$A$10:$G$13,7,0),0)</f>
        <v>0.3743055555555555</v>
      </c>
      <c r="Y21" s="10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200"/>
      <c r="B24" s="200"/>
      <c r="C24" s="311" t="s">
        <v>28</v>
      </c>
      <c r="D24" s="312"/>
      <c r="E24" s="312"/>
      <c r="F24" s="312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sheetProtection formatCells="0" formatColumns="0" formatRows="0"/>
  <mergeCells count="36">
    <mergeCell ref="U5:V5"/>
    <mergeCell ref="W5:X5"/>
    <mergeCell ref="I1:L1"/>
    <mergeCell ref="E1:G1"/>
    <mergeCell ref="L22:L23"/>
    <mergeCell ref="D3:E6"/>
    <mergeCell ref="K2:L2"/>
    <mergeCell ref="B1:D1"/>
    <mergeCell ref="C3:C6"/>
    <mergeCell ref="F3:F6"/>
    <mergeCell ref="Q22:Q23"/>
    <mergeCell ref="L3:L5"/>
    <mergeCell ref="M2:M5"/>
    <mergeCell ref="H3:H5"/>
    <mergeCell ref="I3:I5"/>
    <mergeCell ref="J3:J5"/>
    <mergeCell ref="C24:F24"/>
    <mergeCell ref="A22:J23"/>
    <mergeCell ref="K22:K23"/>
    <mergeCell ref="C2:F2"/>
    <mergeCell ref="H2:J2"/>
    <mergeCell ref="K3:K5"/>
    <mergeCell ref="G2:G6"/>
    <mergeCell ref="A5:A6"/>
    <mergeCell ref="B5:B6"/>
    <mergeCell ref="A2:B3"/>
    <mergeCell ref="A4:B4"/>
    <mergeCell ref="N2:O3"/>
    <mergeCell ref="O26:P26"/>
    <mergeCell ref="O25:P25"/>
    <mergeCell ref="J26:M26"/>
    <mergeCell ref="P22:P23"/>
    <mergeCell ref="M22:M23"/>
    <mergeCell ref="J25:M25"/>
    <mergeCell ref="P2:Q5"/>
    <mergeCell ref="H6:J6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9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9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9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900-000003000000}">
      <formula1>0</formula1>
      <formula2>0.999988425925926</formula2>
    </dataValidation>
  </dataValidations>
  <hyperlinks>
    <hyperlink ref="E1:G1" location="Parametros!B1" display="Parametros!B1" xr:uid="{00000000-0004-0000-0900-000000000000}"/>
    <hyperlink ref="P1" location="Parametros!B2" display="Parametros!B2" xr:uid="{00000000-0004-0000-0900-000001000000}"/>
  </hyperlinks>
  <pageMargins left="0.7" right="0.7" top="0.75" bottom="0.75" header="0" footer="0"/>
  <pageSetup scale="65" orientation="landscape" r:id="rId1"/>
  <ignoredErrors>
    <ignoredError sqref="H7:H21 K22:P23 J7:Q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9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pageSetUpPr fitToPage="1"/>
  </sheetPr>
  <dimension ref="A1:Y100"/>
  <sheetViews>
    <sheetView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66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Hoja6!A4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Hoja6!K22</f>
        <v>0</v>
      </c>
      <c r="L6" s="26">
        <f>Hoja6!L22</f>
        <v>1.5</v>
      </c>
      <c r="M6" s="27">
        <f>Hoja6!M22</f>
        <v>1</v>
      </c>
      <c r="N6" s="4"/>
      <c r="O6" s="5"/>
      <c r="P6" s="21">
        <f>Hoja6!P22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108" t="str">
        <f>CONCATENATE(REPT("0",2-LEN(A7)),A7)</f>
        <v>00</v>
      </c>
      <c r="T7" s="107" t="str">
        <f>CONCATENATE(REPT("0",2-LEN(B7)),B7)</f>
        <v>00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108" t="str">
        <f t="shared" ref="S8:T21" si="5">CONCATENATE(REPT("0",2-LEN(A8)),A8)</f>
        <v>00</v>
      </c>
      <c r="T8" s="107" t="str">
        <f t="shared" si="5"/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108" t="str">
        <f t="shared" si="5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108" t="str">
        <f t="shared" si="5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108" t="str">
        <f t="shared" si="5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108" t="str">
        <f t="shared" si="5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108" t="str">
        <f t="shared" si="5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108" t="str">
        <f t="shared" si="5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108" t="str">
        <f t="shared" si="5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108" t="str">
        <f t="shared" si="5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108" t="str">
        <f t="shared" si="5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108" t="str">
        <f t="shared" si="5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108" t="str">
        <f t="shared" si="5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108" t="str">
        <f t="shared" si="5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108" t="str">
        <f t="shared" si="5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U5:V5"/>
    <mergeCell ref="W5:X5"/>
    <mergeCell ref="I1:L1"/>
    <mergeCell ref="E1:G1"/>
    <mergeCell ref="L22:L23"/>
    <mergeCell ref="D3:E6"/>
    <mergeCell ref="K2:L2"/>
    <mergeCell ref="B1:D1"/>
    <mergeCell ref="C3:C6"/>
    <mergeCell ref="F3:F6"/>
    <mergeCell ref="Q22:Q23"/>
    <mergeCell ref="L3:L5"/>
    <mergeCell ref="M2:M5"/>
    <mergeCell ref="H3:H5"/>
    <mergeCell ref="I3:I5"/>
    <mergeCell ref="J3:J5"/>
    <mergeCell ref="C24:F24"/>
    <mergeCell ref="A22:J23"/>
    <mergeCell ref="K22:K23"/>
    <mergeCell ref="C2:F2"/>
    <mergeCell ref="H2:J2"/>
    <mergeCell ref="K3:K5"/>
    <mergeCell ref="G2:G6"/>
    <mergeCell ref="A5:A6"/>
    <mergeCell ref="B5:B6"/>
    <mergeCell ref="A2:B3"/>
    <mergeCell ref="A4:B4"/>
    <mergeCell ref="N2:O3"/>
    <mergeCell ref="O26:P26"/>
    <mergeCell ref="O25:P25"/>
    <mergeCell ref="J26:M26"/>
    <mergeCell ref="P22:P23"/>
    <mergeCell ref="M22:M23"/>
    <mergeCell ref="J25:M25"/>
    <mergeCell ref="P2:Q5"/>
    <mergeCell ref="H6:J6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A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A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A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A00-000003000000}">
      <formula1>0</formula1>
      <formula2>0.999988425925926</formula2>
    </dataValidation>
  </dataValidations>
  <hyperlinks>
    <hyperlink ref="E1:G1" location="Parametros!B1" display="Parametros!B1" xr:uid="{00000000-0004-0000-0A00-000000000000}"/>
    <hyperlink ref="P1" location="Parametros!B2" display="Parametros!B2" xr:uid="{00000000-0004-0000-0A00-000001000000}"/>
  </hyperlinks>
  <pageMargins left="0.7" right="0.7" top="0.75" bottom="0.75" header="0" footer="0"/>
  <pageSetup scale="65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A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>
    <pageSetUpPr fitToPage="1"/>
  </sheetPr>
  <dimension ref="A1:Y100"/>
  <sheetViews>
    <sheetView zoomScale="87" zoomScaleNormal="87"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3.109375" customWidth="1"/>
    <col min="11" max="12" width="11.332031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Hoja7!A4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Hoja7!K22</f>
        <v>0</v>
      </c>
      <c r="L6" s="26">
        <f>Hoja7!L22</f>
        <v>1.5</v>
      </c>
      <c r="M6" s="27">
        <f>Hoja7!M22</f>
        <v>1</v>
      </c>
      <c r="N6" s="4"/>
      <c r="O6" s="5"/>
      <c r="P6" s="21">
        <f>Hoja7!P22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108" t="str">
        <f>CONCATENATE(REPT("0",2-LEN(A7)),A7)</f>
        <v>00</v>
      </c>
      <c r="T7" s="107" t="str">
        <f>CONCATENATE(REPT("0",2-LEN(B7)),B7)</f>
        <v>00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108" t="str">
        <f t="shared" ref="S8:T21" si="5">CONCATENATE(REPT("0",2-LEN(A8)),A8)</f>
        <v>00</v>
      </c>
      <c r="T8" s="107" t="str">
        <f t="shared" si="5"/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108" t="str">
        <f t="shared" si="5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108" t="str">
        <f t="shared" si="5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108" t="str">
        <f t="shared" si="5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108" t="str">
        <f t="shared" si="5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108" t="str">
        <f t="shared" si="5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108" t="str">
        <f t="shared" si="5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108" t="str">
        <f t="shared" si="5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108" t="str">
        <f t="shared" si="5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108" t="str">
        <f t="shared" si="5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108" t="str">
        <f t="shared" si="5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108" t="str">
        <f t="shared" si="5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108" t="str">
        <f t="shared" si="5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108" t="str">
        <f t="shared" si="5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spans="1:1" ht="12" customHeight="1" x14ac:dyDescent="0.25"/>
    <row r="34" spans="1:1" ht="12" customHeight="1" x14ac:dyDescent="0.25"/>
    <row r="35" spans="1:1" ht="12" customHeight="1" x14ac:dyDescent="0.25"/>
    <row r="36" spans="1:1" ht="12" customHeight="1" x14ac:dyDescent="0.25"/>
    <row r="37" spans="1:1" ht="12" customHeight="1" x14ac:dyDescent="0.25">
      <c r="A37" s="23" t="s">
        <v>74</v>
      </c>
    </row>
    <row r="38" spans="1:1" ht="12" customHeight="1" x14ac:dyDescent="0.25"/>
    <row r="39" spans="1:1" ht="12" customHeight="1" x14ac:dyDescent="0.25"/>
    <row r="40" spans="1:1" ht="12" customHeight="1" x14ac:dyDescent="0.25"/>
    <row r="41" spans="1:1" ht="12" customHeight="1" x14ac:dyDescent="0.25"/>
    <row r="42" spans="1:1" ht="12" customHeight="1" x14ac:dyDescent="0.25"/>
    <row r="43" spans="1:1" ht="12" customHeight="1" x14ac:dyDescent="0.25"/>
    <row r="44" spans="1:1" ht="12" customHeight="1" x14ac:dyDescent="0.25"/>
    <row r="45" spans="1:1" ht="12" customHeight="1" x14ac:dyDescent="0.25"/>
    <row r="46" spans="1:1" ht="12" customHeight="1" x14ac:dyDescent="0.25"/>
    <row r="47" spans="1:1" ht="12" customHeight="1" x14ac:dyDescent="0.25"/>
    <row r="48" spans="1: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U5:V5"/>
    <mergeCell ref="W5:X5"/>
    <mergeCell ref="I1:L1"/>
    <mergeCell ref="E1:G1"/>
    <mergeCell ref="L22:L23"/>
    <mergeCell ref="D3:E6"/>
    <mergeCell ref="K2:L2"/>
    <mergeCell ref="B1:D1"/>
    <mergeCell ref="C3:C6"/>
    <mergeCell ref="F3:F6"/>
    <mergeCell ref="Q22:Q23"/>
    <mergeCell ref="L3:L5"/>
    <mergeCell ref="M2:M5"/>
    <mergeCell ref="H3:H5"/>
    <mergeCell ref="I3:I5"/>
    <mergeCell ref="J3:J5"/>
    <mergeCell ref="C24:F24"/>
    <mergeCell ref="A22:J23"/>
    <mergeCell ref="K22:K23"/>
    <mergeCell ref="C2:F2"/>
    <mergeCell ref="H2:J2"/>
    <mergeCell ref="K3:K5"/>
    <mergeCell ref="G2:G6"/>
    <mergeCell ref="A5:A6"/>
    <mergeCell ref="B5:B6"/>
    <mergeCell ref="A2:B3"/>
    <mergeCell ref="A4:B4"/>
    <mergeCell ref="N2:O3"/>
    <mergeCell ref="O26:P26"/>
    <mergeCell ref="O25:P25"/>
    <mergeCell ref="J26:M26"/>
    <mergeCell ref="P22:P23"/>
    <mergeCell ref="M22:M23"/>
    <mergeCell ref="J25:M25"/>
    <mergeCell ref="P2:Q5"/>
    <mergeCell ref="H6:J6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B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B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B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B00-000003000000}">
      <formula1>0</formula1>
      <formula2>0.999988425925926</formula2>
    </dataValidation>
  </dataValidations>
  <hyperlinks>
    <hyperlink ref="E1:G1" location="Parametros!B1" display="Parametros!B1" xr:uid="{00000000-0004-0000-0B00-000000000000}"/>
    <hyperlink ref="P1" location="Parametros!B2" display="Parametros!B2" xr:uid="{00000000-0004-0000-0B00-000001000000}"/>
  </hyperlinks>
  <pageMargins left="0.7" right="0.7" top="0.75" bottom="0.75" header="0" footer="0"/>
  <pageSetup scale="62" orientation="landscape" r:id="rId1"/>
  <ignoredErrors>
    <ignoredError sqref="H7:H21 K22:Q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B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0">
    <pageSetUpPr fitToPage="1"/>
  </sheetPr>
  <dimension ref="A1:X100"/>
  <sheetViews>
    <sheetView topLeftCell="C1" zoomScale="91" zoomScaleNormal="91"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2.109375" customWidth="1"/>
    <col min="11" max="12" width="10.332031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4" width="0" style="78" hidden="1" customWidth="1"/>
  </cols>
  <sheetData>
    <row r="1" spans="1:24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4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4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4" ht="19.5" customHeight="1" thickBot="1" x14ac:dyDescent="0.3">
      <c r="A4" s="282">
        <f>Hoja8!A4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4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313" t="s">
        <v>36</v>
      </c>
      <c r="V5" s="314"/>
      <c r="W5" s="313" t="s">
        <v>37</v>
      </c>
      <c r="X5" s="314"/>
    </row>
    <row r="6" spans="1:24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Hoja8!K22</f>
        <v>0</v>
      </c>
      <c r="L6" s="26">
        <f>Hoja8!L22</f>
        <v>1.5</v>
      </c>
      <c r="M6" s="27">
        <f>Hoja8!M22</f>
        <v>1</v>
      </c>
      <c r="N6" s="4"/>
      <c r="O6" s="5"/>
      <c r="P6" s="21">
        <f>Hoja8!P22</f>
        <v>1.5</v>
      </c>
      <c r="Q6" s="22" t="s">
        <v>25</v>
      </c>
      <c r="U6" s="184" t="s">
        <v>38</v>
      </c>
      <c r="V6" s="185" t="s">
        <v>40</v>
      </c>
      <c r="W6" s="186" t="s">
        <v>38</v>
      </c>
      <c r="X6" s="185" t="s">
        <v>40</v>
      </c>
    </row>
    <row r="7" spans="1:24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2" t="str">
        <f>CONCATENATE(REPT("0",2-LEN(Hoja1!A7)),Hoja1!A7)</f>
        <v>01</v>
      </c>
      <c r="T7" s="203" t="str">
        <f>CONCATENATE(REPT("0",2-LEN(Hoja1!B7)),Hoja1!B7)</f>
        <v>01</v>
      </c>
      <c r="U7" s="204">
        <f>IFERROR(VLOOKUP(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,Parametros!$A$10:$G$13,4,0),0)</f>
        <v>0.375</v>
      </c>
      <c r="V7" s="205">
        <f>IFERROR(VLOOKUP(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,Parametros!$A$10:$G$13,5,0),0)</f>
        <v>0.95833333333333337</v>
      </c>
      <c r="W7" s="205">
        <f>IFERROR(VLOOKUP(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,Parametros!$A$10:$G$13,6,0),0)</f>
        <v>0.9590277777777777</v>
      </c>
      <c r="X7" s="206">
        <f>IFERROR(VLOOKUP(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,Parametros!$A$10:$G$13,7,0),0)</f>
        <v>0.3743055555555555</v>
      </c>
    </row>
    <row r="8" spans="1:24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2" t="str">
        <f>CONCATENATE(REPT("0",2-LEN(Hoja1!A8)),Hoja1!A8)</f>
        <v>00</v>
      </c>
      <c r="T8" s="203" t="str">
        <f>CONCATENATE(REPT("0",2-LEN(Hoja1!B8)),Hoja1!B8)</f>
        <v>00</v>
      </c>
      <c r="U8" s="204">
        <f>IFERROR(VLOOKUP(IF(AND(VALUE(CONCATENATE(B8,A8))&gt;=Parametros!$B$11,VALUE(CONCATENATE(B8,A8))&lt;=Parametros!$C$11),Parametros!$A$11,IF(AND(VALUE(CONCATENATE(B8,A8))&gt;=Parametros!$B$12,VALUE(CONCATENATE(B8,A8))&lt;=Parametros!$C$12),Parametros!$A$12,IF(AND(VALUE(CONCATENATE(B8,A8))&gt;=Parametros!$B$13,VALUE(CONCATENATE(B8,A8))&lt;=Parametros!$C$13),Parametros!$A$13,Parametros!$A$10))),Parametros!$A$10:$G$13,4,0),0)</f>
        <v>0</v>
      </c>
      <c r="V8" s="205">
        <f>IFERROR(VLOOKUP(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,Parametros!$A$10:$G$13,5,0),0)</f>
        <v>0.95833333333333337</v>
      </c>
      <c r="W8" s="205">
        <f>IFERROR(VLOOKUP(IF(AND(VALUE(CONCATENATE(B8,A8))&gt;=Parametros!$B$11,VALUE(CONCATENATE(B8,A8))&lt;=Parametros!$C$11),Parametros!$A$11,IF(AND(VALUE(CONCATENATE(B8,A8))&gt;=Parametros!$B$12,VALUE(CONCATENATE(B8,A8))&lt;=Parametros!$C$12),Parametros!$A$12,IF(AND(VALUE(CONCATENATE(B8,A8))&gt;=Parametros!$B$13,VALUE(CONCATENATE(B8,A8))&lt;=Parametros!$C$13),Parametros!$A$13,Parametros!$A$10))),Parametros!$A$10:$G$13,6,0),0)</f>
        <v>0</v>
      </c>
      <c r="X8" s="206">
        <f>IFERROR(VLOOKUP(IF(AND(VALUE(CONCATENATE(B8,A8))&gt;=Parametros!$B$11,VALUE(CONCATENATE(B8,A8))&lt;=Parametros!$C$11),Parametros!$A$11,IF(AND(VALUE(CONCATENATE(B8,A8))&gt;=Parametros!$B$12,VALUE(CONCATENATE(B8,A8))&lt;=Parametros!$C$12),Parametros!$A$12,IF(AND(VALUE(CONCATENATE(B8,A8))&gt;=Parametros!$B$13,VALUE(CONCATENATE(B8,A8))&lt;=Parametros!$C$13),Parametros!$A$13,Parametros!$A$10))),Parametros!$A$10:$G$13,7,0),0)</f>
        <v>0</v>
      </c>
    </row>
    <row r="9" spans="1:24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2" t="str">
        <f>CONCATENATE(REPT("0",2-LEN(Hoja1!A9)),Hoja1!A9)</f>
        <v>00</v>
      </c>
      <c r="T9" s="203" t="str">
        <f>CONCATENATE(REPT("0",2-LEN(Hoja1!B9)),Hoja1!B9)</f>
        <v>00</v>
      </c>
      <c r="U9" s="204">
        <f>IFERROR(VLOOKUP(IF(AND(VALUE(CONCATENATE(B9,A9))&gt;=Parametros!$B$11,VALUE(CONCATENATE(B9,A9))&lt;=Parametros!$C$11),Parametros!$A$11,IF(AND(VALUE(CONCATENATE(B9,A9))&gt;=Parametros!$B$12,VALUE(CONCATENATE(B9,A9))&lt;=Parametros!$C$12),Parametros!$A$12,IF(AND(VALUE(CONCATENATE(B9,A9))&gt;=Parametros!$B$13,VALUE(CONCATENATE(B9,A9))&lt;=Parametros!$C$13),Parametros!$A$13,Parametros!$A$10))),Parametros!$A$10:$G$13,4,0),0)</f>
        <v>0</v>
      </c>
      <c r="V9" s="205">
        <f>IFERROR(VLOOKUP(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,Parametros!$A$10:$G$13,5,0),0)</f>
        <v>0.95833333333333337</v>
      </c>
      <c r="W9" s="205">
        <f>IFERROR(VLOOKUP(IF(AND(VALUE(CONCATENATE(B9,A9))&gt;=Parametros!$B$11,VALUE(CONCATENATE(B9,A9))&lt;=Parametros!$C$11),Parametros!$A$11,IF(AND(VALUE(CONCATENATE(B9,A9))&gt;=Parametros!$B$12,VALUE(CONCATENATE(B9,A9))&lt;=Parametros!$C$12),Parametros!$A$12,IF(AND(VALUE(CONCATENATE(B9,A9))&gt;=Parametros!$B$13,VALUE(CONCATENATE(B9,A9))&lt;=Parametros!$C$13),Parametros!$A$13,Parametros!$A$10))),Parametros!$A$10:$G$13,6,0),0)</f>
        <v>0</v>
      </c>
      <c r="X9" s="206">
        <f>IFERROR(VLOOKUP(IF(AND(VALUE(CONCATENATE(B9,A9))&gt;=Parametros!$B$11,VALUE(CONCATENATE(B9,A9))&lt;=Parametros!$C$11),Parametros!$A$11,IF(AND(VALUE(CONCATENATE(B9,A9))&gt;=Parametros!$B$12,VALUE(CONCATENATE(B9,A9))&lt;=Parametros!$C$12),Parametros!$A$12,IF(AND(VALUE(CONCATENATE(B9,A9))&gt;=Parametros!$B$13,VALUE(CONCATENATE(B9,A9))&lt;=Parametros!$C$13),Parametros!$A$13,Parametros!$A$10))),Parametros!$A$10:$G$13,7,0),0)</f>
        <v>0</v>
      </c>
    </row>
    <row r="10" spans="1:24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2" t="str">
        <f>CONCATENATE(REPT("0",2-LEN(Hoja1!A10)),Hoja1!A10)</f>
        <v>00</v>
      </c>
      <c r="T10" s="203" t="str">
        <f>CONCATENATE(REPT("0",2-LEN(Hoja1!B10)),Hoja1!B10)</f>
        <v>00</v>
      </c>
      <c r="U10" s="204">
        <f>IFERROR(VLOOKUP(IF(AND(VALUE(CONCATENATE(B10,A10))&gt;=Parametros!$B$11,VALUE(CONCATENATE(B10,A10))&lt;=Parametros!$C$11),Parametros!$A$11,IF(AND(VALUE(CONCATENATE(B10,A10))&gt;=Parametros!$B$12,VALUE(CONCATENATE(B10,A10))&lt;=Parametros!$C$12),Parametros!$A$12,IF(AND(VALUE(CONCATENATE(B10,A10))&gt;=Parametros!$B$13,VALUE(CONCATENATE(B10,A10))&lt;=Parametros!$C$13),Parametros!$A$13,Parametros!$A$10))),Parametros!$A$10:$G$13,4,0),0)</f>
        <v>0</v>
      </c>
      <c r="V10" s="205">
        <f>IFERROR(VLOOKUP(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,Parametros!$A$10:$G$13,5,0),0)</f>
        <v>0.95833333333333337</v>
      </c>
      <c r="W10" s="205">
        <f>IFERROR(VLOOKUP(IF(AND(VALUE(CONCATENATE(B10,A10))&gt;=Parametros!$B$11,VALUE(CONCATENATE(B10,A10))&lt;=Parametros!$C$11),Parametros!$A$11,IF(AND(VALUE(CONCATENATE(B10,A10))&gt;=Parametros!$B$12,VALUE(CONCATENATE(B10,A10))&lt;=Parametros!$C$12),Parametros!$A$12,IF(AND(VALUE(CONCATENATE(B10,A10))&gt;=Parametros!$B$13,VALUE(CONCATENATE(B10,A10))&lt;=Parametros!$C$13),Parametros!$A$13,Parametros!$A$10))),Parametros!$A$10:$G$13,6,0),0)</f>
        <v>0</v>
      </c>
      <c r="X10" s="206">
        <f>IFERROR(VLOOKUP(IF(AND(VALUE(CONCATENATE(B10,A10))&gt;=Parametros!$B$11,VALUE(CONCATENATE(B10,A10))&lt;=Parametros!$C$11),Parametros!$A$11,IF(AND(VALUE(CONCATENATE(B10,A10))&gt;=Parametros!$B$12,VALUE(CONCATENATE(B10,A10))&lt;=Parametros!$C$12),Parametros!$A$12,IF(AND(VALUE(CONCATENATE(B10,A10))&gt;=Parametros!$B$13,VALUE(CONCATENATE(B10,A10))&lt;=Parametros!$C$13),Parametros!$A$13,Parametros!$A$10))),Parametros!$A$10:$G$13,7,0),0)</f>
        <v>0</v>
      </c>
    </row>
    <row r="11" spans="1:24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2" t="str">
        <f>CONCATENATE(REPT("0",2-LEN(Hoja1!A11)),Hoja1!A11)</f>
        <v>00</v>
      </c>
      <c r="T11" s="203" t="str">
        <f>CONCATENATE(REPT("0",2-LEN(Hoja1!B11)),Hoja1!B11)</f>
        <v>00</v>
      </c>
      <c r="U11" s="204">
        <f>IFERROR(VLOOKUP(IF(AND(VALUE(CONCATENATE(B11,A11))&gt;=Parametros!$B$11,VALUE(CONCATENATE(B11,A11))&lt;=Parametros!$C$11),Parametros!$A$11,IF(AND(VALUE(CONCATENATE(B11,A11))&gt;=Parametros!$B$12,VALUE(CONCATENATE(B11,A11))&lt;=Parametros!$C$12),Parametros!$A$12,IF(AND(VALUE(CONCATENATE(B11,A11))&gt;=Parametros!$B$13,VALUE(CONCATENATE(B11,A11))&lt;=Parametros!$C$13),Parametros!$A$13,Parametros!$A$10))),Parametros!$A$10:$G$13,4,0),0)</f>
        <v>0</v>
      </c>
      <c r="V11" s="205">
        <f>IFERROR(VLOOKUP(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,Parametros!$A$10:$G$13,5,0),0)</f>
        <v>0.95833333333333337</v>
      </c>
      <c r="W11" s="205">
        <f>IFERROR(VLOOKUP(IF(AND(VALUE(CONCATENATE(B11,A11))&gt;=Parametros!$B$11,VALUE(CONCATENATE(B11,A11))&lt;=Parametros!$C$11),Parametros!$A$11,IF(AND(VALUE(CONCATENATE(B11,A11))&gt;=Parametros!$B$12,VALUE(CONCATENATE(B11,A11))&lt;=Parametros!$C$12),Parametros!$A$12,IF(AND(VALUE(CONCATENATE(B11,A11))&gt;=Parametros!$B$13,VALUE(CONCATENATE(B11,A11))&lt;=Parametros!$C$13),Parametros!$A$13,Parametros!$A$10))),Parametros!$A$10:$G$13,6,0),0)</f>
        <v>0</v>
      </c>
      <c r="X11" s="206">
        <f>IFERROR(VLOOKUP(IF(AND(VALUE(CONCATENATE(B11,A11))&gt;=Parametros!$B$11,VALUE(CONCATENATE(B11,A11))&lt;=Parametros!$C$11),Parametros!$A$11,IF(AND(VALUE(CONCATENATE(B11,A11))&gt;=Parametros!$B$12,VALUE(CONCATENATE(B11,A11))&lt;=Parametros!$C$12),Parametros!$A$12,IF(AND(VALUE(CONCATENATE(B11,A11))&gt;=Parametros!$B$13,VALUE(CONCATENATE(B11,A11))&lt;=Parametros!$C$13),Parametros!$A$13,Parametros!$A$10))),Parametros!$A$10:$G$13,7,0),0)</f>
        <v>0</v>
      </c>
    </row>
    <row r="12" spans="1:24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2" t="str">
        <f>CONCATENATE(REPT("0",2-LEN(Hoja1!A12)),Hoja1!A12)</f>
        <v>00</v>
      </c>
      <c r="T12" s="203" t="str">
        <f>CONCATENATE(REPT("0",2-LEN(Hoja1!B12)),Hoja1!B12)</f>
        <v>00</v>
      </c>
      <c r="U12" s="204">
        <f>IFERROR(VLOOKUP(IF(AND(VALUE(CONCATENATE(B12,A12))&gt;=Parametros!$B$11,VALUE(CONCATENATE(B12,A12))&lt;=Parametros!$C$11),Parametros!$A$11,IF(AND(VALUE(CONCATENATE(B12,A12))&gt;=Parametros!$B$12,VALUE(CONCATENATE(B12,A12))&lt;=Parametros!$C$12),Parametros!$A$12,IF(AND(VALUE(CONCATENATE(B12,A12))&gt;=Parametros!$B$13,VALUE(CONCATENATE(B12,A12))&lt;=Parametros!$C$13),Parametros!$A$13,Parametros!$A$10))),Parametros!$A$10:$G$13,4,0),0)</f>
        <v>0</v>
      </c>
      <c r="V12" s="205">
        <f>IFERROR(VLOOKUP(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,Parametros!$A$10:$G$13,5,0),0)</f>
        <v>0.95833333333333337</v>
      </c>
      <c r="W12" s="205">
        <f>IFERROR(VLOOKUP(IF(AND(VALUE(CONCATENATE(B12,A12))&gt;=Parametros!$B$11,VALUE(CONCATENATE(B12,A12))&lt;=Parametros!$C$11),Parametros!$A$11,IF(AND(VALUE(CONCATENATE(B12,A12))&gt;=Parametros!$B$12,VALUE(CONCATENATE(B12,A12))&lt;=Parametros!$C$12),Parametros!$A$12,IF(AND(VALUE(CONCATENATE(B12,A12))&gt;=Parametros!$B$13,VALUE(CONCATENATE(B12,A12))&lt;=Parametros!$C$13),Parametros!$A$13,Parametros!$A$10))),Parametros!$A$10:$G$13,6,0),0)</f>
        <v>0</v>
      </c>
      <c r="X12" s="206">
        <f>IFERROR(VLOOKUP(IF(AND(VALUE(CONCATENATE(B12,A12))&gt;=Parametros!$B$11,VALUE(CONCATENATE(B12,A12))&lt;=Parametros!$C$11),Parametros!$A$11,IF(AND(VALUE(CONCATENATE(B12,A12))&gt;=Parametros!$B$12,VALUE(CONCATENATE(B12,A12))&lt;=Parametros!$C$12),Parametros!$A$12,IF(AND(VALUE(CONCATENATE(B12,A12))&gt;=Parametros!$B$13,VALUE(CONCATENATE(B12,A12))&lt;=Parametros!$C$13),Parametros!$A$13,Parametros!$A$10))),Parametros!$A$10:$G$13,7,0),0)</f>
        <v>0</v>
      </c>
    </row>
    <row r="13" spans="1:24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2" t="str">
        <f>CONCATENATE(REPT("0",2-LEN(Hoja1!A13)),Hoja1!A13)</f>
        <v>00</v>
      </c>
      <c r="T13" s="203" t="str">
        <f>CONCATENATE(REPT("0",2-LEN(Hoja1!B13)),Hoja1!B13)</f>
        <v>00</v>
      </c>
      <c r="U13" s="204">
        <f>IFERROR(VLOOKUP(IF(AND(VALUE(CONCATENATE(B13,A13))&gt;=Parametros!$B$11,VALUE(CONCATENATE(B13,A13))&lt;=Parametros!$C$11),Parametros!$A$11,IF(AND(VALUE(CONCATENATE(B13,A13))&gt;=Parametros!$B$12,VALUE(CONCATENATE(B13,A13))&lt;=Parametros!$C$12),Parametros!$A$12,IF(AND(VALUE(CONCATENATE(B13,A13))&gt;=Parametros!$B$13,VALUE(CONCATENATE(B13,A13))&lt;=Parametros!$C$13),Parametros!$A$13,Parametros!$A$10))),Parametros!$A$10:$G$13,4,0),0)</f>
        <v>0</v>
      </c>
      <c r="V13" s="205">
        <f>IFERROR(VLOOKUP(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,Parametros!$A$10:$G$13,5,0),0)</f>
        <v>0.95833333333333337</v>
      </c>
      <c r="W13" s="205">
        <f>IFERROR(VLOOKUP(IF(AND(VALUE(CONCATENATE(B13,A13))&gt;=Parametros!$B$11,VALUE(CONCATENATE(B13,A13))&lt;=Parametros!$C$11),Parametros!$A$11,IF(AND(VALUE(CONCATENATE(B13,A13))&gt;=Parametros!$B$12,VALUE(CONCATENATE(B13,A13))&lt;=Parametros!$C$12),Parametros!$A$12,IF(AND(VALUE(CONCATENATE(B13,A13))&gt;=Parametros!$B$13,VALUE(CONCATENATE(B13,A13))&lt;=Parametros!$C$13),Parametros!$A$13,Parametros!$A$10))),Parametros!$A$10:$G$13,6,0),0)</f>
        <v>0</v>
      </c>
      <c r="X13" s="206">
        <f>IFERROR(VLOOKUP(IF(AND(VALUE(CONCATENATE(B13,A13))&gt;=Parametros!$B$11,VALUE(CONCATENATE(B13,A13))&lt;=Parametros!$C$11),Parametros!$A$11,IF(AND(VALUE(CONCATENATE(B13,A13))&gt;=Parametros!$B$12,VALUE(CONCATENATE(B13,A13))&lt;=Parametros!$C$12),Parametros!$A$12,IF(AND(VALUE(CONCATENATE(B13,A13))&gt;=Parametros!$B$13,VALUE(CONCATENATE(B13,A13))&lt;=Parametros!$C$13),Parametros!$A$13,Parametros!$A$10))),Parametros!$A$10:$G$13,7,0),0)</f>
        <v>0</v>
      </c>
    </row>
    <row r="14" spans="1:24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2" t="str">
        <f>CONCATENATE(REPT("0",2-LEN(Hoja1!A14)),Hoja1!A14)</f>
        <v>00</v>
      </c>
      <c r="T14" s="203" t="str">
        <f>CONCATENATE(REPT("0",2-LEN(Hoja1!B14)),Hoja1!B14)</f>
        <v>00</v>
      </c>
      <c r="U14" s="204">
        <f>IFERROR(VLOOKUP(IF(AND(VALUE(CONCATENATE(B14,A14))&gt;=Parametros!$B$11,VALUE(CONCATENATE(B14,A14))&lt;=Parametros!$C$11),Parametros!$A$11,IF(AND(VALUE(CONCATENATE(B14,A14))&gt;=Parametros!$B$12,VALUE(CONCATENATE(B14,A14))&lt;=Parametros!$C$12),Parametros!$A$12,IF(AND(VALUE(CONCATENATE(B14,A14))&gt;=Parametros!$B$13,VALUE(CONCATENATE(B14,A14))&lt;=Parametros!$C$13),Parametros!$A$13,Parametros!$A$10))),Parametros!$A$10:$G$13,4,0),0)</f>
        <v>0</v>
      </c>
      <c r="V14" s="205">
        <f>IFERROR(VLOOKUP(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,Parametros!$A$10:$G$13,5,0),0)</f>
        <v>0.95833333333333337</v>
      </c>
      <c r="W14" s="205">
        <f>IFERROR(VLOOKUP(IF(AND(VALUE(CONCATENATE(B14,A14))&gt;=Parametros!$B$11,VALUE(CONCATENATE(B14,A14))&lt;=Parametros!$C$11),Parametros!$A$11,IF(AND(VALUE(CONCATENATE(B14,A14))&gt;=Parametros!$B$12,VALUE(CONCATENATE(B14,A14))&lt;=Parametros!$C$12),Parametros!$A$12,IF(AND(VALUE(CONCATENATE(B14,A14))&gt;=Parametros!$B$13,VALUE(CONCATENATE(B14,A14))&lt;=Parametros!$C$13),Parametros!$A$13,Parametros!$A$10))),Parametros!$A$10:$G$13,6,0),0)</f>
        <v>0</v>
      </c>
      <c r="X14" s="206">
        <f>IFERROR(VLOOKUP(IF(AND(VALUE(CONCATENATE(B14,A14))&gt;=Parametros!$B$11,VALUE(CONCATENATE(B14,A14))&lt;=Parametros!$C$11),Parametros!$A$11,IF(AND(VALUE(CONCATENATE(B14,A14))&gt;=Parametros!$B$12,VALUE(CONCATENATE(B14,A14))&lt;=Parametros!$C$12),Parametros!$A$12,IF(AND(VALUE(CONCATENATE(B14,A14))&gt;=Parametros!$B$13,VALUE(CONCATENATE(B14,A14))&lt;=Parametros!$C$13),Parametros!$A$13,Parametros!$A$10))),Parametros!$A$10:$G$13,7,0),0)</f>
        <v>0</v>
      </c>
    </row>
    <row r="15" spans="1:24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2" t="str">
        <f>CONCATENATE(REPT("0",2-LEN(Hoja1!A15)),Hoja1!A15)</f>
        <v>00</v>
      </c>
      <c r="T15" s="203" t="str">
        <f>CONCATENATE(REPT("0",2-LEN(Hoja1!B15)),Hoja1!B15)</f>
        <v>00</v>
      </c>
      <c r="U15" s="204">
        <f>IFERROR(VLOOKUP(IF(AND(VALUE(CONCATENATE(B15,A15))&gt;=Parametros!$B$11,VALUE(CONCATENATE(B15,A15))&lt;=Parametros!$C$11),Parametros!$A$11,IF(AND(VALUE(CONCATENATE(B15,A15))&gt;=Parametros!$B$12,VALUE(CONCATENATE(B15,A15))&lt;=Parametros!$C$12),Parametros!$A$12,IF(AND(VALUE(CONCATENATE(B15,A15))&gt;=Parametros!$B$13,VALUE(CONCATENATE(B15,A15))&lt;=Parametros!$C$13),Parametros!$A$13,Parametros!$A$10))),Parametros!$A$10:$G$13,4,0),0)</f>
        <v>0</v>
      </c>
      <c r="V15" s="205">
        <f>IFERROR(VLOOKUP(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,Parametros!$A$10:$G$13,5,0),0)</f>
        <v>0.95833333333333337</v>
      </c>
      <c r="W15" s="205">
        <f>IFERROR(VLOOKUP(IF(AND(VALUE(CONCATENATE(B15,A15))&gt;=Parametros!$B$11,VALUE(CONCATENATE(B15,A15))&lt;=Parametros!$C$11),Parametros!$A$11,IF(AND(VALUE(CONCATENATE(B15,A15))&gt;=Parametros!$B$12,VALUE(CONCATENATE(B15,A15))&lt;=Parametros!$C$12),Parametros!$A$12,IF(AND(VALUE(CONCATENATE(B15,A15))&gt;=Parametros!$B$13,VALUE(CONCATENATE(B15,A15))&lt;=Parametros!$C$13),Parametros!$A$13,Parametros!$A$10))),Parametros!$A$10:$G$13,6,0),0)</f>
        <v>0</v>
      </c>
      <c r="X15" s="206">
        <f>IFERROR(VLOOKUP(IF(AND(VALUE(CONCATENATE(B15,A15))&gt;=Parametros!$B$11,VALUE(CONCATENATE(B15,A15))&lt;=Parametros!$C$11),Parametros!$A$11,IF(AND(VALUE(CONCATENATE(B15,A15))&gt;=Parametros!$B$12,VALUE(CONCATENATE(B15,A15))&lt;=Parametros!$C$12),Parametros!$A$12,IF(AND(VALUE(CONCATENATE(B15,A15))&gt;=Parametros!$B$13,VALUE(CONCATENATE(B15,A15))&lt;=Parametros!$C$13),Parametros!$A$13,Parametros!$A$10))),Parametros!$A$10:$G$13,7,0),0)</f>
        <v>0</v>
      </c>
    </row>
    <row r="16" spans="1:24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2" t="str">
        <f>CONCATENATE(REPT("0",2-LEN(Hoja1!A16)),Hoja1!A16)</f>
        <v>00</v>
      </c>
      <c r="T16" s="203" t="str">
        <f>CONCATENATE(REPT("0",2-LEN(Hoja1!B16)),Hoja1!B16)</f>
        <v>00</v>
      </c>
      <c r="U16" s="204">
        <f>IFERROR(VLOOKUP(IF(AND(VALUE(CONCATENATE(B16,A16))&gt;=Parametros!$B$11,VALUE(CONCATENATE(B16,A16))&lt;=Parametros!$C$11),Parametros!$A$11,IF(AND(VALUE(CONCATENATE(B16,A16))&gt;=Parametros!$B$12,VALUE(CONCATENATE(B16,A16))&lt;=Parametros!$C$12),Parametros!$A$12,IF(AND(VALUE(CONCATENATE(B16,A16))&gt;=Parametros!$B$13,VALUE(CONCATENATE(B16,A16))&lt;=Parametros!$C$13),Parametros!$A$13,Parametros!$A$10))),Parametros!$A$10:$G$13,4,0),0)</f>
        <v>0</v>
      </c>
      <c r="V16" s="205">
        <f>IFERROR(VLOOKUP(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,Parametros!$A$10:$G$13,5,0),0)</f>
        <v>0.95833333333333337</v>
      </c>
      <c r="W16" s="205">
        <f>IFERROR(VLOOKUP(IF(AND(VALUE(CONCATENATE(B16,A16))&gt;=Parametros!$B$11,VALUE(CONCATENATE(B16,A16))&lt;=Parametros!$C$11),Parametros!$A$11,IF(AND(VALUE(CONCATENATE(B16,A16))&gt;=Parametros!$B$12,VALUE(CONCATENATE(B16,A16))&lt;=Parametros!$C$12),Parametros!$A$12,IF(AND(VALUE(CONCATENATE(B16,A16))&gt;=Parametros!$B$13,VALUE(CONCATENATE(B16,A16))&lt;=Parametros!$C$13),Parametros!$A$13,Parametros!$A$10))),Parametros!$A$10:$G$13,6,0),0)</f>
        <v>0</v>
      </c>
      <c r="X16" s="206">
        <f>IFERROR(VLOOKUP(IF(AND(VALUE(CONCATENATE(B16,A16))&gt;=Parametros!$B$11,VALUE(CONCATENATE(B16,A16))&lt;=Parametros!$C$11),Parametros!$A$11,IF(AND(VALUE(CONCATENATE(B16,A16))&gt;=Parametros!$B$12,VALUE(CONCATENATE(B16,A16))&lt;=Parametros!$C$12),Parametros!$A$12,IF(AND(VALUE(CONCATENATE(B16,A16))&gt;=Parametros!$B$13,VALUE(CONCATENATE(B16,A16))&lt;=Parametros!$C$13),Parametros!$A$13,Parametros!$A$10))),Parametros!$A$10:$G$13,7,0),0)</f>
        <v>0</v>
      </c>
    </row>
    <row r="17" spans="1:24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2" t="str">
        <f>CONCATENATE(REPT("0",2-LEN(Hoja1!A17)),Hoja1!A17)</f>
        <v>00</v>
      </c>
      <c r="T17" s="203" t="str">
        <f>CONCATENATE(REPT("0",2-LEN(Hoja1!B17)),Hoja1!B17)</f>
        <v>00</v>
      </c>
      <c r="U17" s="204">
        <f>IFERROR(VLOOKUP(IF(AND(VALUE(CONCATENATE(B17,A17))&gt;=Parametros!$B$11,VALUE(CONCATENATE(B17,A17))&lt;=Parametros!$C$11),Parametros!$A$11,IF(AND(VALUE(CONCATENATE(B17,A17))&gt;=Parametros!$B$12,VALUE(CONCATENATE(B17,A17))&lt;=Parametros!$C$12),Parametros!$A$12,IF(AND(VALUE(CONCATENATE(B17,A17))&gt;=Parametros!$B$13,VALUE(CONCATENATE(B17,A17))&lt;=Parametros!$C$13),Parametros!$A$13,Parametros!$A$10))),Parametros!$A$10:$G$13,4,0),0)</f>
        <v>0</v>
      </c>
      <c r="V17" s="205">
        <f>IFERROR(VLOOKUP(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,Parametros!$A$10:$G$13,5,0),0)</f>
        <v>0.95833333333333337</v>
      </c>
      <c r="W17" s="205">
        <f>IFERROR(VLOOKUP(IF(AND(VALUE(CONCATENATE(B17,A17))&gt;=Parametros!$B$11,VALUE(CONCATENATE(B17,A17))&lt;=Parametros!$C$11),Parametros!$A$11,IF(AND(VALUE(CONCATENATE(B17,A17))&gt;=Parametros!$B$12,VALUE(CONCATENATE(B17,A17))&lt;=Parametros!$C$12),Parametros!$A$12,IF(AND(VALUE(CONCATENATE(B17,A17))&gt;=Parametros!$B$13,VALUE(CONCATENATE(B17,A17))&lt;=Parametros!$C$13),Parametros!$A$13,Parametros!$A$10))),Parametros!$A$10:$G$13,6,0),0)</f>
        <v>0</v>
      </c>
      <c r="X17" s="206">
        <f>IFERROR(VLOOKUP(IF(AND(VALUE(CONCATENATE(B17,A17))&gt;=Parametros!$B$11,VALUE(CONCATENATE(B17,A17))&lt;=Parametros!$C$11),Parametros!$A$11,IF(AND(VALUE(CONCATENATE(B17,A17))&gt;=Parametros!$B$12,VALUE(CONCATENATE(B17,A17))&lt;=Parametros!$C$12),Parametros!$A$12,IF(AND(VALUE(CONCATENATE(B17,A17))&gt;=Parametros!$B$13,VALUE(CONCATENATE(B17,A17))&lt;=Parametros!$C$13),Parametros!$A$13,Parametros!$A$10))),Parametros!$A$10:$G$13,7,0),0)</f>
        <v>0</v>
      </c>
    </row>
    <row r="18" spans="1:24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2" t="str">
        <f>CONCATENATE(REPT("0",2-LEN(Hoja1!A18)),Hoja1!A18)</f>
        <v>00</v>
      </c>
      <c r="T18" s="203" t="str">
        <f>CONCATENATE(REPT("0",2-LEN(Hoja1!B18)),Hoja1!B18)</f>
        <v>00</v>
      </c>
      <c r="U18" s="204">
        <f>IFERROR(VLOOKUP(IF(AND(VALUE(CONCATENATE(B18,A18))&gt;=Parametros!$B$11,VALUE(CONCATENATE(B18,A18))&lt;=Parametros!$C$11),Parametros!$A$11,IF(AND(VALUE(CONCATENATE(B18,A18))&gt;=Parametros!$B$12,VALUE(CONCATENATE(B18,A18))&lt;=Parametros!$C$12),Parametros!$A$12,IF(AND(VALUE(CONCATENATE(B18,A18))&gt;=Parametros!$B$13,VALUE(CONCATENATE(B18,A18))&lt;=Parametros!$C$13),Parametros!$A$13,Parametros!$A$10))),Parametros!$A$10:$G$13,4,0),0)</f>
        <v>0</v>
      </c>
      <c r="V18" s="205">
        <f>IFERROR(VLOOKUP(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,Parametros!$A$10:$G$13,5,0),0)</f>
        <v>0.95833333333333337</v>
      </c>
      <c r="W18" s="205">
        <f>IFERROR(VLOOKUP(IF(AND(VALUE(CONCATENATE(B18,A18))&gt;=Parametros!$B$11,VALUE(CONCATENATE(B18,A18))&lt;=Parametros!$C$11),Parametros!$A$11,IF(AND(VALUE(CONCATENATE(B18,A18))&gt;=Parametros!$B$12,VALUE(CONCATENATE(B18,A18))&lt;=Parametros!$C$12),Parametros!$A$12,IF(AND(VALUE(CONCATENATE(B18,A18))&gt;=Parametros!$B$13,VALUE(CONCATENATE(B18,A18))&lt;=Parametros!$C$13),Parametros!$A$13,Parametros!$A$10))),Parametros!$A$10:$G$13,6,0),0)</f>
        <v>0</v>
      </c>
      <c r="X18" s="206">
        <f>IFERROR(VLOOKUP(IF(AND(VALUE(CONCATENATE(B18,A18))&gt;=Parametros!$B$11,VALUE(CONCATENATE(B18,A18))&lt;=Parametros!$C$11),Parametros!$A$11,IF(AND(VALUE(CONCATENATE(B18,A18))&gt;=Parametros!$B$12,VALUE(CONCATENATE(B18,A18))&lt;=Parametros!$C$12),Parametros!$A$12,IF(AND(VALUE(CONCATENATE(B18,A18))&gt;=Parametros!$B$13,VALUE(CONCATENATE(B18,A18))&lt;=Parametros!$C$13),Parametros!$A$13,Parametros!$A$10))),Parametros!$A$10:$G$13,7,0),0)</f>
        <v>0</v>
      </c>
    </row>
    <row r="19" spans="1:24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2" t="str">
        <f>CONCATENATE(REPT("0",2-LEN(Hoja1!A19)),Hoja1!A19)</f>
        <v>00</v>
      </c>
      <c r="T19" s="203" t="str">
        <f>CONCATENATE(REPT("0",2-LEN(Hoja1!B19)),Hoja1!B19)</f>
        <v>00</v>
      </c>
      <c r="U19" s="204">
        <f>IFERROR(VLOOKUP(IF(AND(VALUE(CONCATENATE(B19,A19))&gt;=Parametros!$B$11,VALUE(CONCATENATE(B19,A19))&lt;=Parametros!$C$11),Parametros!$A$11,IF(AND(VALUE(CONCATENATE(B19,A19))&gt;=Parametros!$B$12,VALUE(CONCATENATE(B19,A19))&lt;=Parametros!$C$12),Parametros!$A$12,IF(AND(VALUE(CONCATENATE(B19,A19))&gt;=Parametros!$B$13,VALUE(CONCATENATE(B19,A19))&lt;=Parametros!$C$13),Parametros!$A$13,Parametros!$A$10))),Parametros!$A$10:$G$13,4,0),0)</f>
        <v>0</v>
      </c>
      <c r="V19" s="205">
        <f>IFERROR(VLOOKUP(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,Parametros!$A$10:$G$13,5,0),0)</f>
        <v>0.95833333333333337</v>
      </c>
      <c r="W19" s="205">
        <f>IFERROR(VLOOKUP(IF(AND(VALUE(CONCATENATE(B19,A19))&gt;=Parametros!$B$11,VALUE(CONCATENATE(B19,A19))&lt;=Parametros!$C$11),Parametros!$A$11,IF(AND(VALUE(CONCATENATE(B19,A19))&gt;=Parametros!$B$12,VALUE(CONCATENATE(B19,A19))&lt;=Parametros!$C$12),Parametros!$A$12,IF(AND(VALUE(CONCATENATE(B19,A19))&gt;=Parametros!$B$13,VALUE(CONCATENATE(B19,A19))&lt;=Parametros!$C$13),Parametros!$A$13,Parametros!$A$10))),Parametros!$A$10:$G$13,6,0),0)</f>
        <v>0</v>
      </c>
      <c r="X19" s="206">
        <f>IFERROR(VLOOKUP(IF(AND(VALUE(CONCATENATE(B19,A19))&gt;=Parametros!$B$11,VALUE(CONCATENATE(B19,A19))&lt;=Parametros!$C$11),Parametros!$A$11,IF(AND(VALUE(CONCATENATE(B19,A19))&gt;=Parametros!$B$12,VALUE(CONCATENATE(B19,A19))&lt;=Parametros!$C$12),Parametros!$A$12,IF(AND(VALUE(CONCATENATE(B19,A19))&gt;=Parametros!$B$13,VALUE(CONCATENATE(B19,A19))&lt;=Parametros!$C$13),Parametros!$A$13,Parametros!$A$10))),Parametros!$A$10:$G$13,7,0),0)</f>
        <v>0</v>
      </c>
    </row>
    <row r="20" spans="1:24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5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6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2" t="str">
        <f>CONCATENATE(REPT("0",2-LEN(Hoja1!A20)),Hoja1!A20)</f>
        <v>00</v>
      </c>
      <c r="T20" s="203" t="str">
        <f>CONCATENATE(REPT("0",2-LEN(Hoja1!B20)),Hoja1!B20)</f>
        <v>00</v>
      </c>
      <c r="U20" s="204">
        <f>IFERROR(VLOOKUP(IF(AND(VALUE(CONCATENATE(B20,A20))&gt;=Parametros!$B$11,VALUE(CONCATENATE(B20,A20))&lt;=Parametros!$C$11),Parametros!$A$11,IF(AND(VALUE(CONCATENATE(B20,A20))&gt;=Parametros!$B$12,VALUE(CONCATENATE(B20,A20))&lt;=Parametros!$C$12),Parametros!$A$12,IF(AND(VALUE(CONCATENATE(B20,A20))&gt;=Parametros!$B$13,VALUE(CONCATENATE(B20,A20))&lt;=Parametros!$C$13),Parametros!$A$13,Parametros!$A$10))),Parametros!$A$10:$G$13,4,0),0)</f>
        <v>0</v>
      </c>
      <c r="V20" s="205">
        <f>IFERROR(VLOOKUP(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,Parametros!$A$10:$G$13,5,0),0)</f>
        <v>0.95833333333333337</v>
      </c>
      <c r="W20" s="205">
        <f>IFERROR(VLOOKUP(IF(AND(VALUE(CONCATENATE(B20,A20))&gt;=Parametros!$B$11,VALUE(CONCATENATE(B20,A20))&lt;=Parametros!$C$11),Parametros!$A$11,IF(AND(VALUE(CONCATENATE(B20,A20))&gt;=Parametros!$B$12,VALUE(CONCATENATE(B20,A20))&lt;=Parametros!$C$12),Parametros!$A$12,IF(AND(VALUE(CONCATENATE(B20,A20))&gt;=Parametros!$B$13,VALUE(CONCATENATE(B20,A20))&lt;=Parametros!$C$13),Parametros!$A$13,Parametros!$A$10))),Parametros!$A$10:$G$13,6,0),0)</f>
        <v>0</v>
      </c>
      <c r="X20" s="206">
        <f>IFERROR(VLOOKUP(IF(AND(VALUE(CONCATENATE(B20,A20))&gt;=Parametros!$B$11,VALUE(CONCATENATE(B20,A20))&lt;=Parametros!$C$11),Parametros!$A$11,IF(AND(VALUE(CONCATENATE(B20,A20))&gt;=Parametros!$B$12,VALUE(CONCATENATE(B20,A20))&lt;=Parametros!$C$12),Parametros!$A$12,IF(AND(VALUE(CONCATENATE(B20,A20))&gt;=Parametros!$B$13,VALUE(CONCATENATE(B20,A20))&lt;=Parametros!$C$13),Parametros!$A$13,Parametros!$A$10))),Parametros!$A$10:$G$13,7,0),0)</f>
        <v>0</v>
      </c>
    </row>
    <row r="21" spans="1:24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5"/>
        <v>0</v>
      </c>
      <c r="L21" s="195">
        <f t="shared" si="6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7" t="str">
        <f>CONCATENATE(REPT("0",2-LEN(Hoja1!A21)),Hoja1!A21)</f>
        <v>00</v>
      </c>
      <c r="T21" s="208" t="str">
        <f>CONCATENATE(REPT("0",2-LEN(Hoja1!B21)),Hoja1!B21)</f>
        <v>00</v>
      </c>
      <c r="U21" s="204">
        <f>IFERROR(VLOOKUP(IF(AND(VALUE(CONCATENATE(B21,A21))&gt;=Parametros!$B$11,VALUE(CONCATENATE(B21,A21))&lt;=Parametros!$C$11),Parametros!$A$11,IF(AND(VALUE(CONCATENATE(B21,A21))&gt;=Parametros!$B$12,VALUE(CONCATENATE(B21,A21))&lt;=Parametros!$C$12),Parametros!$A$12,IF(AND(VALUE(CONCATENATE(B21,A21))&gt;=Parametros!$B$13,VALUE(CONCATENATE(B21,A21))&lt;=Parametros!$C$13),Parametros!$A$13,Parametros!$A$10))),Parametros!$A$10:$G$13,4,0),0)</f>
        <v>0</v>
      </c>
      <c r="V21" s="205">
        <f>IFERROR(VLOOKUP(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,Parametros!$A$10:$G$13,5,0),0)</f>
        <v>0.95833333333333337</v>
      </c>
      <c r="W21" s="205">
        <f>IFERROR(VLOOKUP(IF(AND(VALUE(CONCATENATE(B21,A21))&gt;=Parametros!$B$11,VALUE(CONCATENATE(B21,A21))&lt;=Parametros!$C$11),Parametros!$A$11,IF(AND(VALUE(CONCATENATE(B21,A21))&gt;=Parametros!$B$12,VALUE(CONCATENATE(B21,A21))&lt;=Parametros!$C$12),Parametros!$A$12,IF(AND(VALUE(CONCATENATE(B21,A21))&gt;=Parametros!$B$13,VALUE(CONCATENATE(B21,A21))&lt;=Parametros!$C$13),Parametros!$A$13,Parametros!$A$10))),Parametros!$A$10:$G$13,6,0),0)</f>
        <v>0</v>
      </c>
      <c r="X21" s="206">
        <f>IFERROR(VLOOKUP(IF(AND(VALUE(CONCATENATE(B21,A21))&gt;=Parametros!$B$11,VALUE(CONCATENATE(B21,A21))&lt;=Parametros!$C$11),Parametros!$A$11,IF(AND(VALUE(CONCATENATE(B21,A21))&gt;=Parametros!$B$12,VALUE(CONCATENATE(B21,A21))&lt;=Parametros!$C$12),Parametros!$A$12,IF(AND(VALUE(CONCATENATE(B21,A21))&gt;=Parametros!$B$13,VALUE(CONCATENATE(B21,A21))&lt;=Parametros!$C$13),Parametros!$A$13,Parametros!$A$10))),Parametros!$A$10:$G$13,7,0),0)</f>
        <v>0</v>
      </c>
    </row>
    <row r="22" spans="1:24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4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4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4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4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4" ht="12" customHeight="1" x14ac:dyDescent="0.25"/>
    <row r="28" spans="1:24" ht="12" customHeight="1" x14ac:dyDescent="0.25"/>
    <row r="29" spans="1:24" ht="12" customHeight="1" x14ac:dyDescent="0.25">
      <c r="A29" s="23"/>
    </row>
    <row r="30" spans="1:24" ht="12" customHeight="1" x14ac:dyDescent="0.25"/>
    <row r="31" spans="1:24" ht="12" customHeight="1" x14ac:dyDescent="0.25"/>
    <row r="32" spans="1:24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U5:V5"/>
    <mergeCell ref="W5:X5"/>
    <mergeCell ref="I1:L1"/>
    <mergeCell ref="E1:G1"/>
    <mergeCell ref="L22:L23"/>
    <mergeCell ref="D3:E6"/>
    <mergeCell ref="K2:L2"/>
    <mergeCell ref="B1:D1"/>
    <mergeCell ref="C3:C6"/>
    <mergeCell ref="F3:F6"/>
    <mergeCell ref="Q22:Q23"/>
    <mergeCell ref="L3:L5"/>
    <mergeCell ref="M2:M5"/>
    <mergeCell ref="H3:H5"/>
    <mergeCell ref="I3:I5"/>
    <mergeCell ref="J3:J5"/>
    <mergeCell ref="C24:F24"/>
    <mergeCell ref="A22:J23"/>
    <mergeCell ref="K22:K23"/>
    <mergeCell ref="C2:F2"/>
    <mergeCell ref="H2:J2"/>
    <mergeCell ref="K3:K5"/>
    <mergeCell ref="G2:G6"/>
    <mergeCell ref="A5:A6"/>
    <mergeCell ref="B5:B6"/>
    <mergeCell ref="A2:B3"/>
    <mergeCell ref="A4:B4"/>
    <mergeCell ref="N2:O3"/>
    <mergeCell ref="O26:P26"/>
    <mergeCell ref="O25:P25"/>
    <mergeCell ref="J26:M26"/>
    <mergeCell ref="P22:P23"/>
    <mergeCell ref="M22:M23"/>
    <mergeCell ref="J25:M25"/>
    <mergeCell ref="P2:Q5"/>
    <mergeCell ref="H6:J6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C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C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C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C00-000003000000}">
      <formula1>0</formula1>
      <formula2>0.999988425925926</formula2>
    </dataValidation>
  </dataValidations>
  <hyperlinks>
    <hyperlink ref="E1:G1" location="Parametros!B1" display="Parametros!B1" xr:uid="{00000000-0004-0000-0C00-000000000000}"/>
    <hyperlink ref="P1" location="Parametros!B2" display="Parametros!B2" xr:uid="{00000000-0004-0000-0C00-000001000000}"/>
  </hyperlinks>
  <pageMargins left="0.7" right="0.7" top="0.75" bottom="0.75" header="0" footer="0"/>
  <pageSetup scale="63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C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1">
    <pageSetUpPr fitToPage="1"/>
  </sheetPr>
  <dimension ref="A1:Y100"/>
  <sheetViews>
    <sheetView zoomScale="75" zoomScaleNormal="75"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4" customWidth="1"/>
    <col min="11" max="12" width="10.332031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Hoja9!A4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Hoja9!K22</f>
        <v>0</v>
      </c>
      <c r="L6" s="26">
        <f>Hoja9!L22</f>
        <v>1.5</v>
      </c>
      <c r="M6" s="27">
        <f>Hoja9!M22</f>
        <v>1</v>
      </c>
      <c r="N6" s="4"/>
      <c r="O6" s="5"/>
      <c r="P6" s="21">
        <f>Hoja9!P22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U5:V5"/>
    <mergeCell ref="W5:X5"/>
    <mergeCell ref="I1:L1"/>
    <mergeCell ref="E1:G1"/>
    <mergeCell ref="L22:L23"/>
    <mergeCell ref="D3:E6"/>
    <mergeCell ref="K2:L2"/>
    <mergeCell ref="B1:D1"/>
    <mergeCell ref="C3:C6"/>
    <mergeCell ref="F3:F6"/>
    <mergeCell ref="Q22:Q23"/>
    <mergeCell ref="L3:L5"/>
    <mergeCell ref="M2:M5"/>
    <mergeCell ref="H3:H5"/>
    <mergeCell ref="I3:I5"/>
    <mergeCell ref="J3:J5"/>
    <mergeCell ref="C24:F24"/>
    <mergeCell ref="A22:J23"/>
    <mergeCell ref="K22:K23"/>
    <mergeCell ref="C2:F2"/>
    <mergeCell ref="H2:J2"/>
    <mergeCell ref="K3:K5"/>
    <mergeCell ref="G2:G6"/>
    <mergeCell ref="A5:A6"/>
    <mergeCell ref="B5:B6"/>
    <mergeCell ref="A2:B3"/>
    <mergeCell ref="A4:B4"/>
    <mergeCell ref="N2:O3"/>
    <mergeCell ref="O26:P26"/>
    <mergeCell ref="O25:P25"/>
    <mergeCell ref="J26:M26"/>
    <mergeCell ref="P22:P23"/>
    <mergeCell ref="M22:M23"/>
    <mergeCell ref="J25:M25"/>
    <mergeCell ref="P2:Q5"/>
    <mergeCell ref="H6:J6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D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D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D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D00-000003000000}">
      <formula1>0</formula1>
      <formula2>0.999988425925926</formula2>
    </dataValidation>
  </dataValidations>
  <hyperlinks>
    <hyperlink ref="E1:G1" location="Parametros!B1" display="Parametros!B1" xr:uid="{00000000-0004-0000-0D00-000000000000}"/>
    <hyperlink ref="P1" location="Parametros!B2" display="Parametros!B2" xr:uid="{00000000-0004-0000-0D00-000001000000}"/>
  </hyperlinks>
  <pageMargins left="0.7" right="0.7" top="0.75" bottom="0.75" header="0" footer="0"/>
  <pageSetup scale="63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D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2">
    <pageSetUpPr fitToPage="1"/>
  </sheetPr>
  <dimension ref="A1:Y100"/>
  <sheetViews>
    <sheetView topLeftCell="A5" zoomScaleNormal="100"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3.44140625" customWidth="1"/>
    <col min="11" max="12" width="10.10937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Hoja10!A4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Hoja10!K22</f>
        <v>0</v>
      </c>
      <c r="L6" s="26">
        <f>Hoja10!L22</f>
        <v>1.5</v>
      </c>
      <c r="M6" s="27">
        <f>Hoja10!M22</f>
        <v>1</v>
      </c>
      <c r="N6" s="4"/>
      <c r="O6" s="5"/>
      <c r="P6" s="21">
        <f>Hoja10!P22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O26:P26"/>
    <mergeCell ref="O25:P25"/>
    <mergeCell ref="J26:M26"/>
    <mergeCell ref="P22:P23"/>
    <mergeCell ref="M22:M23"/>
    <mergeCell ref="J25:M25"/>
    <mergeCell ref="C24:F24"/>
    <mergeCell ref="A22:J23"/>
    <mergeCell ref="K22:K23"/>
    <mergeCell ref="I1:L1"/>
    <mergeCell ref="E1:G1"/>
    <mergeCell ref="L22:L23"/>
    <mergeCell ref="D3:E6"/>
    <mergeCell ref="K2:L2"/>
    <mergeCell ref="A2:B3"/>
    <mergeCell ref="A4:B4"/>
    <mergeCell ref="A5:A6"/>
    <mergeCell ref="B1:D1"/>
    <mergeCell ref="C3:C6"/>
    <mergeCell ref="F3:F6"/>
    <mergeCell ref="B5:B6"/>
    <mergeCell ref="C2:F2"/>
    <mergeCell ref="G2:G6"/>
    <mergeCell ref="U5:V5"/>
    <mergeCell ref="W5:X5"/>
    <mergeCell ref="Q22:Q23"/>
    <mergeCell ref="H2:J2"/>
    <mergeCell ref="L3:L5"/>
    <mergeCell ref="M2:M5"/>
    <mergeCell ref="H3:H5"/>
    <mergeCell ref="I3:I5"/>
    <mergeCell ref="J3:J5"/>
    <mergeCell ref="K3:K5"/>
    <mergeCell ref="P2:Q5"/>
    <mergeCell ref="H6:J6"/>
    <mergeCell ref="N2:O3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E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E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E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E00-000003000000}">
      <formula1>0</formula1>
      <formula2>0.999988425925926</formula2>
    </dataValidation>
  </dataValidations>
  <hyperlinks>
    <hyperlink ref="E1:G1" location="Parametros!B1" display="Parametros!B1" xr:uid="{00000000-0004-0000-0E00-000000000000}"/>
    <hyperlink ref="P1" location="Parametros!B2" display="Parametros!B2" xr:uid="{00000000-0004-0000-0E00-000001000000}"/>
  </hyperlinks>
  <pageMargins left="0.7" right="0.7" top="0.75" bottom="0.75" header="0" footer="0"/>
  <pageSetup scale="63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E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>
    <pageSetUpPr fitToPage="1"/>
  </sheetPr>
  <dimension ref="A1:Y100"/>
  <sheetViews>
    <sheetView topLeftCell="A4" zoomScale="91" zoomScaleNormal="91"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3.44140625" customWidth="1"/>
    <col min="11" max="12" width="9.66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Hoja11!A4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Hoja11!K22</f>
        <v>0</v>
      </c>
      <c r="L6" s="26">
        <f>Hoja11!L22</f>
        <v>1.5</v>
      </c>
      <c r="M6" s="27">
        <f>Hoja11!M22</f>
        <v>1</v>
      </c>
      <c r="N6" s="4"/>
      <c r="O6" s="5"/>
      <c r="P6" s="21">
        <f>Hoja11!P22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O26:P26"/>
    <mergeCell ref="O25:P25"/>
    <mergeCell ref="J26:M26"/>
    <mergeCell ref="P22:P23"/>
    <mergeCell ref="M22:M23"/>
    <mergeCell ref="J25:M25"/>
    <mergeCell ref="C24:F24"/>
    <mergeCell ref="A22:J23"/>
    <mergeCell ref="K22:K23"/>
    <mergeCell ref="I1:L1"/>
    <mergeCell ref="E1:G1"/>
    <mergeCell ref="L22:L23"/>
    <mergeCell ref="D3:E6"/>
    <mergeCell ref="K2:L2"/>
    <mergeCell ref="A2:B3"/>
    <mergeCell ref="A4:B4"/>
    <mergeCell ref="A5:A6"/>
    <mergeCell ref="B1:D1"/>
    <mergeCell ref="C3:C6"/>
    <mergeCell ref="F3:F6"/>
    <mergeCell ref="B5:B6"/>
    <mergeCell ref="C2:F2"/>
    <mergeCell ref="G2:G6"/>
    <mergeCell ref="U5:V5"/>
    <mergeCell ref="W5:X5"/>
    <mergeCell ref="Q22:Q23"/>
    <mergeCell ref="H2:J2"/>
    <mergeCell ref="L3:L5"/>
    <mergeCell ref="M2:M5"/>
    <mergeCell ref="H3:H5"/>
    <mergeCell ref="I3:I5"/>
    <mergeCell ref="J3:J5"/>
    <mergeCell ref="K3:K5"/>
    <mergeCell ref="P2:Q5"/>
    <mergeCell ref="H6:J6"/>
    <mergeCell ref="N2:O3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0F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0F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0F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0F00-000003000000}">
      <formula1>0</formula1>
      <formula2>0.999988425925926</formula2>
    </dataValidation>
  </dataValidations>
  <hyperlinks>
    <hyperlink ref="E1:G1" location="Parametros!B1" display="Parametros!B1" xr:uid="{00000000-0004-0000-0F00-000000000000}"/>
    <hyperlink ref="P1" location="Parametros!B2" display="Parametros!B2" xr:uid="{00000000-0004-0000-0F00-000001000000}"/>
  </hyperlinks>
  <pageMargins left="0.7" right="0.7" top="0.75" bottom="0.75" header="0" footer="0"/>
  <pageSetup scale="63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F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0F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4">
    <pageSetUpPr fitToPage="1"/>
  </sheetPr>
  <dimension ref="A1:Y100"/>
  <sheetViews>
    <sheetView topLeftCell="G1"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9.441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Hoja12!A4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Hoja12!K22</f>
        <v>0</v>
      </c>
      <c r="L6" s="26">
        <f>Hoja12!L22</f>
        <v>1.5</v>
      </c>
      <c r="M6" s="27">
        <f>Hoja12!M22</f>
        <v>1</v>
      </c>
      <c r="N6" s="4"/>
      <c r="O6" s="5"/>
      <c r="P6" s="21">
        <f>Hoja12!P22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 t="s">
        <v>29</v>
      </c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A5:A6"/>
    <mergeCell ref="B5:B6"/>
    <mergeCell ref="P2:Q5"/>
    <mergeCell ref="M2:M5"/>
    <mergeCell ref="C2:F2"/>
    <mergeCell ref="F3:F6"/>
    <mergeCell ref="K3:K5"/>
    <mergeCell ref="H6:J6"/>
    <mergeCell ref="C3:C6"/>
    <mergeCell ref="D3:E6"/>
    <mergeCell ref="A2:B3"/>
    <mergeCell ref="A4:B4"/>
    <mergeCell ref="N2:O3"/>
    <mergeCell ref="J26:M26"/>
    <mergeCell ref="O26:P26"/>
    <mergeCell ref="K22:K23"/>
    <mergeCell ref="C24:F24"/>
    <mergeCell ref="M22:M23"/>
    <mergeCell ref="P22:P23"/>
    <mergeCell ref="A22:J23"/>
    <mergeCell ref="L22:L23"/>
    <mergeCell ref="J25:M25"/>
    <mergeCell ref="O25:P25"/>
    <mergeCell ref="Q22:Q23"/>
    <mergeCell ref="U5:V5"/>
    <mergeCell ref="W5:X5"/>
    <mergeCell ref="B1:D1"/>
    <mergeCell ref="G2:G6"/>
    <mergeCell ref="H3:H5"/>
    <mergeCell ref="I3:I5"/>
    <mergeCell ref="J3:J5"/>
    <mergeCell ref="I1:L1"/>
    <mergeCell ref="L3:L5"/>
    <mergeCell ref="K2:L2"/>
    <mergeCell ref="H2:J2"/>
    <mergeCell ref="E1:G1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10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10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0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000-000003000000}">
      <formula1>0</formula1>
      <formula2>0.999988425925926</formula2>
    </dataValidation>
  </dataValidations>
  <hyperlinks>
    <hyperlink ref="E1:G1" location="Parametros!B1" display="Parametros!B1" xr:uid="{00000000-0004-0000-1000-000000000000}"/>
    <hyperlink ref="P1" location="Parametros!B2" display="Parametros!B2" xr:uid="{00000000-0004-0000-1000-000001000000}"/>
  </hyperlinks>
  <pageMargins left="0.7" right="0.7" top="0.75" bottom="0.75" header="0" footer="0"/>
  <pageSetup scale="65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0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0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pageSetUpPr fitToPage="1"/>
  </sheetPr>
  <dimension ref="A1:Y100"/>
  <sheetViews>
    <sheetView topLeftCell="D1" workbookViewId="0">
      <selection activeCell="I7" sqref="I7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441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Hoja13!A4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Hoja13!K22</f>
        <v>0</v>
      </c>
      <c r="L6" s="26">
        <f>Hoja13!L22</f>
        <v>1.5</v>
      </c>
      <c r="M6" s="27">
        <f>Hoja13!M22</f>
        <v>1</v>
      </c>
      <c r="N6" s="4"/>
      <c r="O6" s="5"/>
      <c r="P6" s="21">
        <f>Hoja13!P22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108" t="str">
        <f>CONCATENATE(REPT("0",2-LEN(A7)),A7)</f>
        <v>00</v>
      </c>
      <c r="T7" s="107" t="str">
        <f>CONCATENATE(REPT("0",2-LEN(B7)),B7)</f>
        <v>00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108" t="str">
        <f t="shared" ref="S8:T21" si="5">CONCATENATE(REPT("0",2-LEN(A8)),A8)</f>
        <v>00</v>
      </c>
      <c r="T8" s="107" t="str">
        <f t="shared" si="5"/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108" t="str">
        <f t="shared" si="5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108" t="str">
        <f t="shared" si="5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108" t="str">
        <f t="shared" si="5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108" t="str">
        <f t="shared" si="5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108" t="str">
        <f t="shared" si="5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108" t="str">
        <f t="shared" si="5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108" t="str">
        <f t="shared" si="5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108" t="str">
        <f t="shared" si="5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108" t="str">
        <f t="shared" si="5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108" t="str">
        <f t="shared" si="5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108" t="str">
        <f t="shared" si="5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108" t="str">
        <f t="shared" si="5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108" t="str">
        <f t="shared" si="5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43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I1:L1"/>
    <mergeCell ref="K2:L2"/>
    <mergeCell ref="Q22:Q23"/>
    <mergeCell ref="A22:J23"/>
    <mergeCell ref="O26:P26"/>
    <mergeCell ref="O25:P25"/>
    <mergeCell ref="I3:I5"/>
    <mergeCell ref="H6:J6"/>
    <mergeCell ref="J3:J5"/>
    <mergeCell ref="G2:G6"/>
    <mergeCell ref="A5:A6"/>
    <mergeCell ref="L3:L5"/>
    <mergeCell ref="M2:M5"/>
    <mergeCell ref="H2:J2"/>
    <mergeCell ref="J26:M26"/>
    <mergeCell ref="J25:M25"/>
    <mergeCell ref="B1:D1"/>
    <mergeCell ref="C2:F2"/>
    <mergeCell ref="E1:G1"/>
    <mergeCell ref="F3:F6"/>
    <mergeCell ref="C3:C6"/>
    <mergeCell ref="D3:E6"/>
    <mergeCell ref="B5:B6"/>
    <mergeCell ref="A2:B3"/>
    <mergeCell ref="A4:B4"/>
    <mergeCell ref="U5:V5"/>
    <mergeCell ref="W5:X5"/>
    <mergeCell ref="C24:F24"/>
    <mergeCell ref="P2:Q5"/>
    <mergeCell ref="K3:K5"/>
    <mergeCell ref="H3:H5"/>
    <mergeCell ref="L22:L23"/>
    <mergeCell ref="M22:M23"/>
    <mergeCell ref="P22:P23"/>
    <mergeCell ref="K22:K23"/>
    <mergeCell ref="N2:O3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11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11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1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100-000003000000}">
      <formula1>0</formula1>
      <formula2>0.999988425925926</formula2>
    </dataValidation>
  </dataValidations>
  <hyperlinks>
    <hyperlink ref="E1:G1" location="Parametros!B1" display="Parametros!B1" xr:uid="{00000000-0004-0000-1100-000000000000}"/>
    <hyperlink ref="P1" location="Parametros!B2" display="Parametros!B2" xr:uid="{00000000-0004-0000-1100-000001000000}"/>
  </hyperlinks>
  <pageMargins left="0.7" right="0.7" top="0.75" bottom="0.75" header="0" footer="0"/>
  <pageSetup scale="65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1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6">
    <pageSetUpPr fitToPage="1"/>
  </sheetPr>
  <dimension ref="A1:Y100"/>
  <sheetViews>
    <sheetView topLeftCell="D1"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8867187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Hoja14!A4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Hoja14!K22</f>
        <v>0</v>
      </c>
      <c r="L6" s="26">
        <f>Hoja14!L22</f>
        <v>1.5</v>
      </c>
      <c r="M6" s="27">
        <f>Hoja14!M22</f>
        <v>1</v>
      </c>
      <c r="N6" s="4"/>
      <c r="O6" s="5"/>
      <c r="P6" s="21">
        <f>Hoja14!P22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I1:L1"/>
    <mergeCell ref="K2:L2"/>
    <mergeCell ref="Q22:Q23"/>
    <mergeCell ref="A22:J23"/>
    <mergeCell ref="O26:P26"/>
    <mergeCell ref="O25:P25"/>
    <mergeCell ref="I3:I5"/>
    <mergeCell ref="H6:J6"/>
    <mergeCell ref="J3:J5"/>
    <mergeCell ref="G2:G6"/>
    <mergeCell ref="A5:A6"/>
    <mergeCell ref="L3:L5"/>
    <mergeCell ref="M2:M5"/>
    <mergeCell ref="H2:J2"/>
    <mergeCell ref="J26:M26"/>
    <mergeCell ref="J25:M25"/>
    <mergeCell ref="B1:D1"/>
    <mergeCell ref="C2:F2"/>
    <mergeCell ref="E1:G1"/>
    <mergeCell ref="F3:F6"/>
    <mergeCell ref="C3:C6"/>
    <mergeCell ref="D3:E6"/>
    <mergeCell ref="B5:B6"/>
    <mergeCell ref="A2:B3"/>
    <mergeCell ref="A4:B4"/>
    <mergeCell ref="U5:V5"/>
    <mergeCell ref="W5:X5"/>
    <mergeCell ref="C24:F24"/>
    <mergeCell ref="P2:Q5"/>
    <mergeCell ref="K3:K5"/>
    <mergeCell ref="H3:H5"/>
    <mergeCell ref="L22:L23"/>
    <mergeCell ref="M22:M23"/>
    <mergeCell ref="P22:P23"/>
    <mergeCell ref="K22:K23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2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2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2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200-000003000000}">
      <formula1>0</formula1>
      <formula2>0.999988425925926</formula2>
    </dataValidation>
  </dataValidations>
  <hyperlinks>
    <hyperlink ref="E1:G1" location="Parametros!B1" display="Parametros!B1" xr:uid="{00000000-0004-0000-1200-000000000000}"/>
    <hyperlink ref="P1" location="Parametros!B2" display="Parametros!B2" xr:uid="{00000000-0004-0000-1200-000001000000}"/>
  </hyperlinks>
  <pageMargins left="0.7" right="0.7" top="0.75" bottom="0.75" header="0" footer="0"/>
  <pageSetup scale="65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2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7">
    <pageSetUpPr fitToPage="1"/>
  </sheetPr>
  <dimension ref="A1:Y100"/>
  <sheetViews>
    <sheetView topLeftCell="D1" workbookViewId="0">
      <selection activeCell="I7" sqref="I7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66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Hoja15!A4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Hoja15!K22</f>
        <v>0</v>
      </c>
      <c r="L6" s="26">
        <f>Hoja15!L22</f>
        <v>1.5</v>
      </c>
      <c r="M6" s="27">
        <f>Hoja15!M22</f>
        <v>1</v>
      </c>
      <c r="N6" s="4"/>
      <c r="O6" s="5"/>
      <c r="P6" s="21">
        <f>Hoja15!P22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I1:L1"/>
    <mergeCell ref="K2:L2"/>
    <mergeCell ref="Q22:Q23"/>
    <mergeCell ref="A22:J23"/>
    <mergeCell ref="O26:P26"/>
    <mergeCell ref="O25:P25"/>
    <mergeCell ref="I3:I5"/>
    <mergeCell ref="H6:J6"/>
    <mergeCell ref="J3:J5"/>
    <mergeCell ref="G2:G6"/>
    <mergeCell ref="A5:A6"/>
    <mergeCell ref="L3:L5"/>
    <mergeCell ref="M2:M5"/>
    <mergeCell ref="H2:J2"/>
    <mergeCell ref="J26:M26"/>
    <mergeCell ref="J25:M25"/>
    <mergeCell ref="B1:D1"/>
    <mergeCell ref="C2:F2"/>
    <mergeCell ref="E1:G1"/>
    <mergeCell ref="F3:F6"/>
    <mergeCell ref="C3:C6"/>
    <mergeCell ref="D3:E6"/>
    <mergeCell ref="B5:B6"/>
    <mergeCell ref="A2:B3"/>
    <mergeCell ref="A4:B4"/>
    <mergeCell ref="U5:V5"/>
    <mergeCell ref="W5:X5"/>
    <mergeCell ref="C24:F24"/>
    <mergeCell ref="P2:Q5"/>
    <mergeCell ref="K3:K5"/>
    <mergeCell ref="H3:H5"/>
    <mergeCell ref="L22:L23"/>
    <mergeCell ref="M22:M23"/>
    <mergeCell ref="P22:P23"/>
    <mergeCell ref="K22:K23"/>
    <mergeCell ref="N2:O3"/>
  </mergeCells>
  <dataValidations count="4">
    <dataValidation type="whole" allowBlank="1" showInputMessage="1" showErrorMessage="1" errorTitle="Dia" error="Formato incorrecto debe ingresar un numero entre 01 y 31_x000a_" promptTitle="Ingreso Dia" prompt="Ingrese el dia " sqref="A7:A21" xr:uid="{00000000-0002-0000-1300-000000000000}">
      <formula1>1</formula1>
      <formula2>31</formula2>
    </dataValidation>
    <dataValidation type="whole" allowBlank="1" showInputMessage="1" showErrorMessage="1" errorTitle="mes" error="El mes debe ser entre 01 y 12" promptTitle="Mes" prompt="Ingrese el Mes" sqref="B7:B21" xr:uid="{00000000-0002-0000-1300-000001000000}">
      <formula1>1</formula1>
      <formula2>12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3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300-000003000000}">
      <formula1>0</formula1>
      <formula2>0.999988425925926</formula2>
    </dataValidation>
  </dataValidations>
  <hyperlinks>
    <hyperlink ref="E1:G1" location="Parametros!B1" display="Parametros!B1" xr:uid="{00000000-0004-0000-1300-000000000000}"/>
    <hyperlink ref="P1" location="Parametros!B2" display="Parametros!B2" xr:uid="{00000000-0004-0000-1300-000001000000}"/>
  </hyperlinks>
  <pageMargins left="0.7" right="0.7" top="0.75" bottom="0.75" header="0" footer="0"/>
  <pageSetup scale="65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3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8">
    <pageSetUpPr fitToPage="1"/>
  </sheetPr>
  <dimension ref="A1:Y100"/>
  <sheetViews>
    <sheetView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332031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Hoja16!A4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Hoja16!K22</f>
        <v>0</v>
      </c>
      <c r="L6" s="26">
        <f>Hoja16!L22</f>
        <v>1.5</v>
      </c>
      <c r="M6" s="27">
        <f>Hoja16!M22</f>
        <v>1</v>
      </c>
      <c r="N6" s="4"/>
      <c r="O6" s="5"/>
      <c r="P6" s="21">
        <f>Hoja16!P22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108" t="str">
        <f>CONCATENATE(REPT("0",2-LEN(A7)),A7)</f>
        <v>00</v>
      </c>
      <c r="T7" s="107" t="str">
        <f>CONCATENATE(REPT("0",2-LEN(B7)),B7)</f>
        <v>00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108" t="str">
        <f t="shared" ref="S8:T21" si="5">CONCATENATE(REPT("0",2-LEN(A8)),A8)</f>
        <v>00</v>
      </c>
      <c r="T8" s="107" t="str">
        <f t="shared" si="5"/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108" t="str">
        <f t="shared" si="5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108" t="str">
        <f t="shared" si="5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108" t="str">
        <f t="shared" si="5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108" t="str">
        <f t="shared" si="5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108" t="str">
        <f t="shared" si="5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108" t="str">
        <f t="shared" si="5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108" t="str">
        <f t="shared" si="5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108" t="str">
        <f t="shared" si="5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108" t="str">
        <f t="shared" si="5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108" t="str">
        <f t="shared" si="5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108" t="str">
        <f t="shared" si="5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108" t="str">
        <f t="shared" si="5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108" t="str">
        <f t="shared" si="5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I1:L1"/>
    <mergeCell ref="K2:L2"/>
    <mergeCell ref="Q22:Q23"/>
    <mergeCell ref="A22:J23"/>
    <mergeCell ref="O26:P26"/>
    <mergeCell ref="O25:P25"/>
    <mergeCell ref="I3:I5"/>
    <mergeCell ref="H6:J6"/>
    <mergeCell ref="J3:J5"/>
    <mergeCell ref="G2:G6"/>
    <mergeCell ref="A5:A6"/>
    <mergeCell ref="L3:L5"/>
    <mergeCell ref="M2:M5"/>
    <mergeCell ref="H2:J2"/>
    <mergeCell ref="J26:M26"/>
    <mergeCell ref="J25:M25"/>
    <mergeCell ref="B1:D1"/>
    <mergeCell ref="C2:F2"/>
    <mergeCell ref="E1:G1"/>
    <mergeCell ref="F3:F6"/>
    <mergeCell ref="C3:C6"/>
    <mergeCell ref="D3:E6"/>
    <mergeCell ref="B5:B6"/>
    <mergeCell ref="A2:B3"/>
    <mergeCell ref="A4:B4"/>
    <mergeCell ref="U5:V5"/>
    <mergeCell ref="W5:X5"/>
    <mergeCell ref="C24:F24"/>
    <mergeCell ref="P2:Q5"/>
    <mergeCell ref="K3:K5"/>
    <mergeCell ref="H3:H5"/>
    <mergeCell ref="L22:L23"/>
    <mergeCell ref="M22:M23"/>
    <mergeCell ref="P22:P23"/>
    <mergeCell ref="K22:K23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4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4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4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400-000003000000}">
      <formula1>0</formula1>
      <formula2>0.999988425925926</formula2>
    </dataValidation>
  </dataValidations>
  <hyperlinks>
    <hyperlink ref="E1:G1" location="Parametros!B1" display="Parametros!B1" xr:uid="{00000000-0004-0000-1400-000000000000}"/>
    <hyperlink ref="P1" location="Parametros!B2" display="Parametros!B2" xr:uid="{00000000-0004-0000-1400-000001000000}"/>
  </hyperlinks>
  <pageMargins left="0.7" right="0.7" top="0.75" bottom="0.75" header="0" footer="0"/>
  <pageSetup scale="65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4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9">
    <pageSetUpPr fitToPage="1"/>
  </sheetPr>
  <dimension ref="A1:Y100"/>
  <sheetViews>
    <sheetView workbookViewId="0">
      <selection activeCell="I7" sqref="I7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441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Hoja17!A4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Hoja17!K22</f>
        <v>0</v>
      </c>
      <c r="L6" s="26">
        <f>Hoja17!L22</f>
        <v>1.5</v>
      </c>
      <c r="M6" s="27">
        <f>Hoja17!M22</f>
        <v>1</v>
      </c>
      <c r="N6" s="4"/>
      <c r="O6" s="5"/>
      <c r="P6" s="21">
        <f>Hoja17!P22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108" t="str">
        <f>CONCATENATE(REPT("0",2-LEN(A7)),A7)</f>
        <v>00</v>
      </c>
      <c r="T7" s="107" t="str">
        <f>CONCATENATE(REPT("0",2-LEN(B7)),B7)</f>
        <v>00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108" t="str">
        <f t="shared" ref="S8:T21" si="5">CONCATENATE(REPT("0",2-LEN(A8)),A8)</f>
        <v>00</v>
      </c>
      <c r="T8" s="107" t="str">
        <f t="shared" si="5"/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108" t="str">
        <f t="shared" si="5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108" t="str">
        <f t="shared" si="5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108" t="str">
        <f t="shared" si="5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108" t="str">
        <f t="shared" si="5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108" t="str">
        <f t="shared" si="5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108" t="str">
        <f t="shared" si="5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108" t="str">
        <f t="shared" si="5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108" t="str">
        <f t="shared" si="5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108" t="str">
        <f t="shared" si="5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108" t="str">
        <f t="shared" si="5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108" t="str">
        <f t="shared" si="5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108" t="str">
        <f t="shared" si="5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108" t="str">
        <f t="shared" si="5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I1:L1"/>
    <mergeCell ref="K2:L2"/>
    <mergeCell ref="Q22:Q23"/>
    <mergeCell ref="A22:J23"/>
    <mergeCell ref="O26:P26"/>
    <mergeCell ref="O25:P25"/>
    <mergeCell ref="I3:I5"/>
    <mergeCell ref="H6:J6"/>
    <mergeCell ref="J3:J5"/>
    <mergeCell ref="G2:G6"/>
    <mergeCell ref="A5:A6"/>
    <mergeCell ref="L3:L5"/>
    <mergeCell ref="M2:M5"/>
    <mergeCell ref="H2:J2"/>
    <mergeCell ref="J26:M26"/>
    <mergeCell ref="J25:M25"/>
    <mergeCell ref="B1:D1"/>
    <mergeCell ref="C2:F2"/>
    <mergeCell ref="E1:G1"/>
    <mergeCell ref="F3:F6"/>
    <mergeCell ref="C3:C6"/>
    <mergeCell ref="D3:E6"/>
    <mergeCell ref="B5:B6"/>
    <mergeCell ref="A2:B3"/>
    <mergeCell ref="A4:B4"/>
    <mergeCell ref="U5:V5"/>
    <mergeCell ref="W5:X5"/>
    <mergeCell ref="C24:F24"/>
    <mergeCell ref="P2:Q5"/>
    <mergeCell ref="K3:K5"/>
    <mergeCell ref="H3:H5"/>
    <mergeCell ref="L22:L23"/>
    <mergeCell ref="M22:M23"/>
    <mergeCell ref="P22:P23"/>
    <mergeCell ref="K22:K23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5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5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5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500-000003000000}">
      <formula1>0</formula1>
      <formula2>0.999988425925926</formula2>
    </dataValidation>
  </dataValidations>
  <hyperlinks>
    <hyperlink ref="E1:G1" location="Parametros!B1" display="Parametros!B1" xr:uid="{00000000-0004-0000-1500-000000000000}"/>
    <hyperlink ref="P1" location="Parametros!B2" display="Parametros!B2" xr:uid="{00000000-0004-0000-1500-000001000000}"/>
  </hyperlinks>
  <pageMargins left="0.7" right="0.7" top="0.75" bottom="0.75" header="0" footer="0"/>
  <pageSetup scale="65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5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0">
    <pageSetUpPr fitToPage="1"/>
  </sheetPr>
  <dimension ref="A1:Y100"/>
  <sheetViews>
    <sheetView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66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Hoja18!A4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Hoja18!K22</f>
        <v>0</v>
      </c>
      <c r="L6" s="26">
        <f>Hoja18!L22</f>
        <v>1.5</v>
      </c>
      <c r="M6" s="27">
        <f>Hoja18!M22</f>
        <v>1</v>
      </c>
      <c r="N6" s="4"/>
      <c r="O6" s="5"/>
      <c r="P6" s="21">
        <f>Hoja18!P22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I1:L1"/>
    <mergeCell ref="K2:L2"/>
    <mergeCell ref="Q22:Q23"/>
    <mergeCell ref="A22:J23"/>
    <mergeCell ref="O26:P26"/>
    <mergeCell ref="O25:P25"/>
    <mergeCell ref="I3:I5"/>
    <mergeCell ref="H6:J6"/>
    <mergeCell ref="J3:J5"/>
    <mergeCell ref="G2:G6"/>
    <mergeCell ref="A5:A6"/>
    <mergeCell ref="L3:L5"/>
    <mergeCell ref="M2:M5"/>
    <mergeCell ref="H2:J2"/>
    <mergeCell ref="J26:M26"/>
    <mergeCell ref="J25:M25"/>
    <mergeCell ref="B1:D1"/>
    <mergeCell ref="C2:F2"/>
    <mergeCell ref="E1:G1"/>
    <mergeCell ref="F3:F6"/>
    <mergeCell ref="C3:C6"/>
    <mergeCell ref="D3:E6"/>
    <mergeCell ref="B5:B6"/>
    <mergeCell ref="A2:B3"/>
    <mergeCell ref="A4:B4"/>
    <mergeCell ref="U5:V5"/>
    <mergeCell ref="W5:X5"/>
    <mergeCell ref="C24:F24"/>
    <mergeCell ref="P2:Q5"/>
    <mergeCell ref="K3:K5"/>
    <mergeCell ref="H3:H5"/>
    <mergeCell ref="L22:L23"/>
    <mergeCell ref="M22:M23"/>
    <mergeCell ref="P22:P23"/>
    <mergeCell ref="K22:K23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6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6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6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600-000003000000}">
      <formula1>0</formula1>
      <formula2>0.999988425925926</formula2>
    </dataValidation>
  </dataValidations>
  <hyperlinks>
    <hyperlink ref="E1:G1" location="Parametros!B1" display="Parametros!B1" xr:uid="{00000000-0004-0000-1600-000000000000}"/>
    <hyperlink ref="P1" location="Parametros!B2" display="Parametros!B2" xr:uid="{00000000-0004-0000-1600-000001000000}"/>
  </hyperlinks>
  <pageMargins left="0.7" right="0.7" top="0.75" bottom="0.75" header="0" footer="0"/>
  <pageSetup scale="65" orientation="landscape" r:id="rId1"/>
  <ignoredErrors>
    <ignoredError sqref="A22:J23 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6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1">
    <pageSetUpPr fitToPage="1"/>
  </sheetPr>
  <dimension ref="A1:Y100"/>
  <sheetViews>
    <sheetView topLeftCell="A2" workbookViewId="0">
      <selection activeCell="I7" sqref="I7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9.66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Hoja19!A4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Hoja19!K22</f>
        <v>0</v>
      </c>
      <c r="L6" s="26">
        <f>Hoja19!L22</f>
        <v>1.5</v>
      </c>
      <c r="M6" s="27">
        <f>Hoja19!M22</f>
        <v>1</v>
      </c>
      <c r="N6" s="4"/>
      <c r="O6" s="5"/>
      <c r="P6" s="21">
        <f>Hoja19!P22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108" t="str">
        <f>CONCATENATE(REPT("0",2-LEN(A7)),A7)</f>
        <v>00</v>
      </c>
      <c r="T7" s="107" t="str">
        <f>CONCATENATE(REPT("0",2-LEN(B7)),B7)</f>
        <v>00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108" t="str">
        <f t="shared" ref="S8:T21" si="5">CONCATENATE(REPT("0",2-LEN(A8)),A8)</f>
        <v>00</v>
      </c>
      <c r="T8" s="107" t="str">
        <f t="shared" si="5"/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108" t="str">
        <f t="shared" si="5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108" t="str">
        <f t="shared" si="5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108" t="str">
        <f t="shared" si="5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108" t="str">
        <f t="shared" si="5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108" t="str">
        <f t="shared" si="5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108" t="str">
        <f t="shared" si="5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108" t="str">
        <f t="shared" si="5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108" t="str">
        <f t="shared" si="5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108" t="str">
        <f t="shared" si="5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108" t="str">
        <f t="shared" si="5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108" t="str">
        <f t="shared" si="5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108" t="str">
        <f t="shared" si="5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108" t="str">
        <f t="shared" si="5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39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41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B1:D1"/>
    <mergeCell ref="K3:K5"/>
    <mergeCell ref="L3:L5"/>
    <mergeCell ref="H6:J6"/>
    <mergeCell ref="G2:G6"/>
    <mergeCell ref="I1:L1"/>
    <mergeCell ref="K2:L2"/>
    <mergeCell ref="E1:G1"/>
    <mergeCell ref="F3:F6"/>
    <mergeCell ref="J3:J5"/>
    <mergeCell ref="H2:J2"/>
    <mergeCell ref="A2:B3"/>
    <mergeCell ref="A4:B4"/>
    <mergeCell ref="Q22:Q23"/>
    <mergeCell ref="J25:M25"/>
    <mergeCell ref="O25:P25"/>
    <mergeCell ref="J26:M26"/>
    <mergeCell ref="O26:P26"/>
    <mergeCell ref="M22:M23"/>
    <mergeCell ref="K22:K23"/>
    <mergeCell ref="L22:L23"/>
    <mergeCell ref="A22:J23"/>
    <mergeCell ref="C24:F24"/>
    <mergeCell ref="P22:P23"/>
    <mergeCell ref="U5:V5"/>
    <mergeCell ref="W5:X5"/>
    <mergeCell ref="P2:Q5"/>
    <mergeCell ref="A5:A6"/>
    <mergeCell ref="M2:M5"/>
    <mergeCell ref="H3:H5"/>
    <mergeCell ref="I3:I5"/>
    <mergeCell ref="B5:B6"/>
    <mergeCell ref="C2:F2"/>
    <mergeCell ref="C3:C6"/>
    <mergeCell ref="D3:E6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7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7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7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700-000003000000}">
      <formula1>0</formula1>
      <formula2>0.999988425925926</formula2>
    </dataValidation>
  </dataValidations>
  <hyperlinks>
    <hyperlink ref="E1:G1" location="Parametros!B1" display="Parametros!B1" xr:uid="{00000000-0004-0000-1700-000000000000}"/>
    <hyperlink ref="P1" location="Parametros!B2" display="Parametros!B2" xr:uid="{00000000-0004-0000-1700-000001000000}"/>
  </hyperlinks>
  <pageMargins left="0.7" right="0.7" top="0.75" bottom="0.75" header="0" footer="0"/>
  <pageSetup scale="64" orientation="landscape" r:id="rId1"/>
  <ignoredErrors>
    <ignoredError sqref="P22 H7:H21 K22:M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7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7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2">
    <pageSetUpPr fitToPage="1"/>
  </sheetPr>
  <dimension ref="A1:Y100"/>
  <sheetViews>
    <sheetView topLeftCell="D1" zoomScale="93" zoomScaleNormal="93"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9.10937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Hoja20!A4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Hoja20!K22</f>
        <v>0</v>
      </c>
      <c r="L6" s="26">
        <f>Hoja20!L22</f>
        <v>1.5</v>
      </c>
      <c r="M6" s="27">
        <f>Hoja20!M22</f>
        <v>1</v>
      </c>
      <c r="N6" s="4"/>
      <c r="O6" s="5"/>
      <c r="P6" s="21">
        <f>Hoja20!P22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108" t="str">
        <f>CONCATENATE(REPT("0",2-LEN(A7)),A7)</f>
        <v>00</v>
      </c>
      <c r="T7" s="107" t="str">
        <f>CONCATENATE(REPT("0",2-LEN(B7)),B7)</f>
        <v>00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108" t="str">
        <f t="shared" ref="S8:T21" si="5">CONCATENATE(REPT("0",2-LEN(A8)),A8)</f>
        <v>00</v>
      </c>
      <c r="T8" s="107" t="str">
        <f t="shared" si="5"/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108" t="str">
        <f t="shared" si="5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108" t="str">
        <f t="shared" si="5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108" t="str">
        <f t="shared" si="5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108" t="str">
        <f t="shared" si="5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108" t="str">
        <f t="shared" si="5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108" t="str">
        <f t="shared" si="5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108" t="str">
        <f t="shared" si="5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108" t="str">
        <f t="shared" si="5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108" t="str">
        <f t="shared" si="5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108" t="str">
        <f t="shared" si="5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108" t="str">
        <f t="shared" si="5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108" t="str">
        <f t="shared" si="5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108" t="str">
        <f t="shared" si="5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B1:D1"/>
    <mergeCell ref="K3:K5"/>
    <mergeCell ref="L3:L5"/>
    <mergeCell ref="H6:J6"/>
    <mergeCell ref="G2:G6"/>
    <mergeCell ref="I1:L1"/>
    <mergeCell ref="K2:L2"/>
    <mergeCell ref="E1:G1"/>
    <mergeCell ref="F3:F6"/>
    <mergeCell ref="J3:J5"/>
    <mergeCell ref="H2:J2"/>
    <mergeCell ref="A2:B3"/>
    <mergeCell ref="A4:B4"/>
    <mergeCell ref="Q22:Q23"/>
    <mergeCell ref="J25:M25"/>
    <mergeCell ref="O25:P25"/>
    <mergeCell ref="J26:M26"/>
    <mergeCell ref="O26:P26"/>
    <mergeCell ref="M22:M23"/>
    <mergeCell ref="K22:K23"/>
    <mergeCell ref="L22:L23"/>
    <mergeCell ref="A22:J23"/>
    <mergeCell ref="C24:F24"/>
    <mergeCell ref="P22:P23"/>
    <mergeCell ref="U5:V5"/>
    <mergeCell ref="W5:X5"/>
    <mergeCell ref="P2:Q5"/>
    <mergeCell ref="A5:A6"/>
    <mergeCell ref="M2:M5"/>
    <mergeCell ref="H3:H5"/>
    <mergeCell ref="I3:I5"/>
    <mergeCell ref="B5:B6"/>
    <mergeCell ref="C2:F2"/>
    <mergeCell ref="C3:C6"/>
    <mergeCell ref="D3:E6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8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8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8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800-000003000000}">
      <formula1>0</formula1>
      <formula2>0.999988425925926</formula2>
    </dataValidation>
  </dataValidations>
  <hyperlinks>
    <hyperlink ref="E1:G1" location="Parametros!B1" display="Parametros!B1" xr:uid="{00000000-0004-0000-1800-000000000000}"/>
    <hyperlink ref="P1" location="Parametros!B2" display="Parametros!B2" xr:uid="{00000000-0004-0000-1800-000001000000}"/>
  </hyperlinks>
  <pageMargins left="0.7" right="0.7" top="0.75" bottom="0.75" header="0" footer="0"/>
  <pageSetup scale="65" orientation="landscape" r:id="rId1"/>
  <ignoredErrors>
    <ignoredError sqref="A22:J23 H8:H21 K22:P23 H7 J7:P7 J8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8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8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3">
    <pageSetUpPr fitToPage="1"/>
  </sheetPr>
  <dimension ref="A1:Y100"/>
  <sheetViews>
    <sheetView topLeftCell="A2" workbookViewId="0">
      <selection activeCell="I7" sqref="I7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441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315">
        <f>Hoja21!A4</f>
        <v>2024</v>
      </c>
      <c r="B4" s="316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Hoja21!K22</f>
        <v>0</v>
      </c>
      <c r="L6" s="26">
        <f>Hoja21!L22</f>
        <v>1.5</v>
      </c>
      <c r="M6" s="27">
        <f>Hoja21!M22</f>
        <v>1</v>
      </c>
      <c r="N6" s="4"/>
      <c r="O6" s="5"/>
      <c r="P6" s="21">
        <f>Hoja21!P22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108" t="str">
        <f>CONCATENATE(REPT("0",2-LEN(A7)),A7)</f>
        <v>00</v>
      </c>
      <c r="T7" s="107" t="str">
        <f>CONCATENATE(REPT("0",2-LEN(B7)),B7)</f>
        <v>00</v>
      </c>
      <c r="U7" s="109">
        <f>IFERROR(VLOOKUP(Y7,Parametros!$A$10:$G$13,4,0),0)</f>
        <v>0.375</v>
      </c>
      <c r="V7" s="110">
        <f>IFERROR(VLOOKUP(Y7,Parametros!$A$10:$G$13,5,0),0)</f>
        <v>0.95833333333333337</v>
      </c>
      <c r="W7" s="110">
        <f>IFERROR(VLOOKUP(Y7,Parametros!$A$10:$G$13,6,0),0)</f>
        <v>0.9590277777777777</v>
      </c>
      <c r="X7" s="111">
        <f>IFERROR(VLOOKUP(Y7,Parametros!$A$10:$G$13,7,0),0)</f>
        <v>0.3743055555555555</v>
      </c>
      <c r="Y7" s="112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108" t="str">
        <f t="shared" ref="S8:T21" si="5">CONCATENATE(REPT("0",2-LEN(A8)),A8)</f>
        <v>00</v>
      </c>
      <c r="T8" s="107" t="str">
        <f t="shared" si="5"/>
        <v>00</v>
      </c>
      <c r="U8" s="109">
        <f>IFERROR(VLOOKUP(Y8,Parametros!$A$10:$G$13,4,0),0)</f>
        <v>0.375</v>
      </c>
      <c r="V8" s="110">
        <f>IFERROR(VLOOKUP(Y8,Parametros!$A$10:$G$13,5,0),0)</f>
        <v>0.95833333333333337</v>
      </c>
      <c r="W8" s="110">
        <f>IFERROR(VLOOKUP(Y8,Parametros!$A$10:$G$13,6,0),0)</f>
        <v>0.9590277777777777</v>
      </c>
      <c r="X8" s="111">
        <f>IFERROR(VLOOKUP(Y8,Parametros!$A$10:$G$13,7,0),0)</f>
        <v>0.3743055555555555</v>
      </c>
      <c r="Y8" s="112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108" t="str">
        <f t="shared" si="5"/>
        <v>00</v>
      </c>
      <c r="T9" s="107" t="str">
        <f t="shared" si="5"/>
        <v>00</v>
      </c>
      <c r="U9" s="109">
        <f>IFERROR(VLOOKUP(Y9,Parametros!$A$10:$G$13,4,0),0)</f>
        <v>0.375</v>
      </c>
      <c r="V9" s="110">
        <f>IFERROR(VLOOKUP(Y9,Parametros!$A$10:$G$13,5,0),0)</f>
        <v>0.95833333333333337</v>
      </c>
      <c r="W9" s="110">
        <f>IFERROR(VLOOKUP(Y9,Parametros!$A$10:$G$13,6,0),0)</f>
        <v>0.9590277777777777</v>
      </c>
      <c r="X9" s="111">
        <f>IFERROR(VLOOKUP(Y9,Parametros!$A$10:$G$13,7,0),0)</f>
        <v>0.3743055555555555</v>
      </c>
      <c r="Y9" s="112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108" t="str">
        <f t="shared" si="5"/>
        <v>00</v>
      </c>
      <c r="T10" s="107" t="str">
        <f t="shared" si="5"/>
        <v>00</v>
      </c>
      <c r="U10" s="109">
        <f>IFERROR(VLOOKUP(Y10,Parametros!$A$10:$G$13,4,0),0)</f>
        <v>0.375</v>
      </c>
      <c r="V10" s="110">
        <f>IFERROR(VLOOKUP(Y10,Parametros!$A$10:$G$13,5,0),0)</f>
        <v>0.95833333333333337</v>
      </c>
      <c r="W10" s="110">
        <f>IFERROR(VLOOKUP(Y10,Parametros!$A$10:$G$13,6,0),0)</f>
        <v>0.9590277777777777</v>
      </c>
      <c r="X10" s="111">
        <f>IFERROR(VLOOKUP(Y10,Parametros!$A$10:$G$13,7,0),0)</f>
        <v>0.3743055555555555</v>
      </c>
      <c r="Y10" s="112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108" t="str">
        <f t="shared" si="5"/>
        <v>00</v>
      </c>
      <c r="T11" s="107" t="str">
        <f t="shared" si="5"/>
        <v>00</v>
      </c>
      <c r="U11" s="109">
        <f>IFERROR(VLOOKUP(Y11,Parametros!$A$10:$G$13,4,0),0)</f>
        <v>0.375</v>
      </c>
      <c r="V11" s="110">
        <f>IFERROR(VLOOKUP(Y11,Parametros!$A$10:$G$13,5,0),0)</f>
        <v>0.95833333333333337</v>
      </c>
      <c r="W11" s="110">
        <f>IFERROR(VLOOKUP(Y11,Parametros!$A$10:$G$13,6,0),0)</f>
        <v>0.9590277777777777</v>
      </c>
      <c r="X11" s="111">
        <f>IFERROR(VLOOKUP(Y11,Parametros!$A$10:$G$13,7,0),0)</f>
        <v>0.3743055555555555</v>
      </c>
      <c r="Y11" s="112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108" t="str">
        <f t="shared" si="5"/>
        <v>00</v>
      </c>
      <c r="T12" s="107" t="str">
        <f t="shared" si="5"/>
        <v>00</v>
      </c>
      <c r="U12" s="109">
        <f>IFERROR(VLOOKUP(Y12,Parametros!$A$10:$G$13,4,0),0)</f>
        <v>0.375</v>
      </c>
      <c r="V12" s="110">
        <f>IFERROR(VLOOKUP(Y12,Parametros!$A$10:$G$13,5,0),0)</f>
        <v>0.95833333333333337</v>
      </c>
      <c r="W12" s="110">
        <f>IFERROR(VLOOKUP(Y12,Parametros!$A$10:$G$13,6,0),0)</f>
        <v>0.9590277777777777</v>
      </c>
      <c r="X12" s="111">
        <f>IFERROR(VLOOKUP(Y12,Parametros!$A$10:$G$13,7,0),0)</f>
        <v>0.3743055555555555</v>
      </c>
      <c r="Y12" s="112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108" t="str">
        <f t="shared" si="5"/>
        <v>00</v>
      </c>
      <c r="T13" s="107" t="str">
        <f t="shared" si="5"/>
        <v>00</v>
      </c>
      <c r="U13" s="109">
        <f>IFERROR(VLOOKUP(Y13,Parametros!$A$10:$G$13,4,0),0)</f>
        <v>0.375</v>
      </c>
      <c r="V13" s="110">
        <f>IFERROR(VLOOKUP(Y13,Parametros!$A$10:$G$13,5,0),0)</f>
        <v>0.95833333333333337</v>
      </c>
      <c r="W13" s="110">
        <f>IFERROR(VLOOKUP(Y13,Parametros!$A$10:$G$13,6,0),0)</f>
        <v>0.9590277777777777</v>
      </c>
      <c r="X13" s="111">
        <f>IFERROR(VLOOKUP(Y13,Parametros!$A$10:$G$13,7,0),0)</f>
        <v>0.3743055555555555</v>
      </c>
      <c r="Y13" s="112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108" t="str">
        <f t="shared" si="5"/>
        <v>00</v>
      </c>
      <c r="T14" s="107" t="str">
        <f t="shared" si="5"/>
        <v>00</v>
      </c>
      <c r="U14" s="109">
        <f>IFERROR(VLOOKUP(Y14,Parametros!$A$10:$G$13,4,0),0)</f>
        <v>0.375</v>
      </c>
      <c r="V14" s="110">
        <f>IFERROR(VLOOKUP(Y14,Parametros!$A$10:$G$13,5,0),0)</f>
        <v>0.95833333333333337</v>
      </c>
      <c r="W14" s="110">
        <f>IFERROR(VLOOKUP(Y14,Parametros!$A$10:$G$13,6,0),0)</f>
        <v>0.9590277777777777</v>
      </c>
      <c r="X14" s="111">
        <f>IFERROR(VLOOKUP(Y14,Parametros!$A$10:$G$13,7,0),0)</f>
        <v>0.3743055555555555</v>
      </c>
      <c r="Y14" s="112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108" t="str">
        <f t="shared" si="5"/>
        <v>00</v>
      </c>
      <c r="T15" s="107" t="str">
        <f t="shared" si="5"/>
        <v>00</v>
      </c>
      <c r="U15" s="109">
        <f>IFERROR(VLOOKUP(Y15,Parametros!$A$10:$G$13,4,0),0)</f>
        <v>0.375</v>
      </c>
      <c r="V15" s="110">
        <f>IFERROR(VLOOKUP(Y15,Parametros!$A$10:$G$13,5,0),0)</f>
        <v>0.95833333333333337</v>
      </c>
      <c r="W15" s="110">
        <f>IFERROR(VLOOKUP(Y15,Parametros!$A$10:$G$13,6,0),0)</f>
        <v>0.9590277777777777</v>
      </c>
      <c r="X15" s="111">
        <f>IFERROR(VLOOKUP(Y15,Parametros!$A$10:$G$13,7,0),0)</f>
        <v>0.3743055555555555</v>
      </c>
      <c r="Y15" s="112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108" t="str">
        <f t="shared" si="5"/>
        <v>00</v>
      </c>
      <c r="T16" s="107" t="str">
        <f t="shared" si="5"/>
        <v>00</v>
      </c>
      <c r="U16" s="109">
        <f>IFERROR(VLOOKUP(Y16,Parametros!$A$10:$G$13,4,0),0)</f>
        <v>0.375</v>
      </c>
      <c r="V16" s="110">
        <f>IFERROR(VLOOKUP(Y16,Parametros!$A$10:$G$13,5,0),0)</f>
        <v>0.95833333333333337</v>
      </c>
      <c r="W16" s="110">
        <f>IFERROR(VLOOKUP(Y16,Parametros!$A$10:$G$13,6,0),0)</f>
        <v>0.9590277777777777</v>
      </c>
      <c r="X16" s="111">
        <f>IFERROR(VLOOKUP(Y16,Parametros!$A$10:$G$13,7,0),0)</f>
        <v>0.3743055555555555</v>
      </c>
      <c r="Y16" s="112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108" t="str">
        <f t="shared" si="5"/>
        <v>00</v>
      </c>
      <c r="T17" s="107" t="str">
        <f t="shared" si="5"/>
        <v>00</v>
      </c>
      <c r="U17" s="109">
        <f>IFERROR(VLOOKUP(Y17,Parametros!$A$10:$G$13,4,0),0)</f>
        <v>0.375</v>
      </c>
      <c r="V17" s="110">
        <f>IFERROR(VLOOKUP(Y17,Parametros!$A$10:$G$13,5,0),0)</f>
        <v>0.95833333333333337</v>
      </c>
      <c r="W17" s="110">
        <f>IFERROR(VLOOKUP(Y17,Parametros!$A$10:$G$13,6,0),0)</f>
        <v>0.9590277777777777</v>
      </c>
      <c r="X17" s="111">
        <f>IFERROR(VLOOKUP(Y17,Parametros!$A$10:$G$13,7,0),0)</f>
        <v>0.3743055555555555</v>
      </c>
      <c r="Y17" s="112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108" t="str">
        <f t="shared" si="5"/>
        <v>00</v>
      </c>
      <c r="T18" s="107" t="str">
        <f t="shared" si="5"/>
        <v>00</v>
      </c>
      <c r="U18" s="109">
        <f>IFERROR(VLOOKUP(Y18,Parametros!$A$10:$G$13,4,0),0)</f>
        <v>0.375</v>
      </c>
      <c r="V18" s="110">
        <f>IFERROR(VLOOKUP(Y18,Parametros!$A$10:$G$13,5,0),0)</f>
        <v>0.95833333333333337</v>
      </c>
      <c r="W18" s="110">
        <f>IFERROR(VLOOKUP(Y18,Parametros!$A$10:$G$13,6,0),0)</f>
        <v>0.9590277777777777</v>
      </c>
      <c r="X18" s="111">
        <f>IFERROR(VLOOKUP(Y18,Parametros!$A$10:$G$13,7,0),0)</f>
        <v>0.3743055555555555</v>
      </c>
      <c r="Y18" s="112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108" t="str">
        <f t="shared" si="5"/>
        <v>00</v>
      </c>
      <c r="T19" s="107" t="str">
        <f t="shared" si="5"/>
        <v>00</v>
      </c>
      <c r="U19" s="109">
        <f>IFERROR(VLOOKUP(Y19,Parametros!$A$10:$G$13,4,0),0)</f>
        <v>0.375</v>
      </c>
      <c r="V19" s="110">
        <f>IFERROR(VLOOKUP(Y19,Parametros!$A$10:$G$13,5,0),0)</f>
        <v>0.95833333333333337</v>
      </c>
      <c r="W19" s="110">
        <f>IFERROR(VLOOKUP(Y19,Parametros!$A$10:$G$13,6,0),0)</f>
        <v>0.9590277777777777</v>
      </c>
      <c r="X19" s="111">
        <f>IFERROR(VLOOKUP(Y19,Parametros!$A$10:$G$13,7,0),0)</f>
        <v>0.3743055555555555</v>
      </c>
      <c r="Y19" s="112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108" t="str">
        <f t="shared" si="5"/>
        <v>00</v>
      </c>
      <c r="T20" s="107" t="str">
        <f t="shared" si="5"/>
        <v>00</v>
      </c>
      <c r="U20" s="109">
        <f>IFERROR(VLOOKUP(Y20,Parametros!$A$10:$G$13,4,0),0)</f>
        <v>0.375</v>
      </c>
      <c r="V20" s="110">
        <f>IFERROR(VLOOKUP(Y20,Parametros!$A$10:$G$13,5,0),0)</f>
        <v>0.95833333333333337</v>
      </c>
      <c r="W20" s="110">
        <f>IFERROR(VLOOKUP(Y20,Parametros!$A$10:$G$13,6,0),0)</f>
        <v>0.9590277777777777</v>
      </c>
      <c r="X20" s="111">
        <f>IFERROR(VLOOKUP(Y20,Parametros!$A$10:$G$13,7,0),0)</f>
        <v>0.3743055555555555</v>
      </c>
      <c r="Y20" s="112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108" t="str">
        <f t="shared" si="5"/>
        <v>00</v>
      </c>
      <c r="T21" s="107" t="str">
        <f t="shared" si="5"/>
        <v>00</v>
      </c>
      <c r="U21" s="109">
        <f>IFERROR(VLOOKUP(Y21,Parametros!$A$10:$G$13,4,0),0)</f>
        <v>0.375</v>
      </c>
      <c r="V21" s="110">
        <f>IFERROR(VLOOKUP(Y21,Parametros!$A$10:$G$13,5,0),0)</f>
        <v>0.95833333333333337</v>
      </c>
      <c r="W21" s="110">
        <f>IFERROR(VLOOKUP(Y21,Parametros!$A$10:$G$13,6,0),0)</f>
        <v>0.9590277777777777</v>
      </c>
      <c r="X21" s="111">
        <f>IFERROR(VLOOKUP(Y21,Parametros!$A$10:$G$13,7,0),0)</f>
        <v>0.3743055555555555</v>
      </c>
      <c r="Y21" s="112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B1:D1"/>
    <mergeCell ref="K3:K5"/>
    <mergeCell ref="L3:L5"/>
    <mergeCell ref="H6:J6"/>
    <mergeCell ref="G2:G6"/>
    <mergeCell ref="I1:L1"/>
    <mergeCell ref="K2:L2"/>
    <mergeCell ref="E1:G1"/>
    <mergeCell ref="F3:F6"/>
    <mergeCell ref="J3:J5"/>
    <mergeCell ref="H2:J2"/>
    <mergeCell ref="A2:B3"/>
    <mergeCell ref="A4:B4"/>
    <mergeCell ref="Q22:Q23"/>
    <mergeCell ref="J25:M25"/>
    <mergeCell ref="O25:P25"/>
    <mergeCell ref="J26:M26"/>
    <mergeCell ref="O26:P26"/>
    <mergeCell ref="M22:M23"/>
    <mergeCell ref="K22:K23"/>
    <mergeCell ref="L22:L23"/>
    <mergeCell ref="A22:J23"/>
    <mergeCell ref="C24:F24"/>
    <mergeCell ref="P22:P23"/>
    <mergeCell ref="U5:V5"/>
    <mergeCell ref="W5:X5"/>
    <mergeCell ref="P2:Q5"/>
    <mergeCell ref="A5:A6"/>
    <mergeCell ref="M2:M5"/>
    <mergeCell ref="H3:H5"/>
    <mergeCell ref="I3:I5"/>
    <mergeCell ref="B5:B6"/>
    <mergeCell ref="C2:F2"/>
    <mergeCell ref="C3:C6"/>
    <mergeCell ref="D3:E6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9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9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9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900-000003000000}">
      <formula1>0</formula1>
      <formula2>0.999988425925926</formula2>
    </dataValidation>
  </dataValidations>
  <hyperlinks>
    <hyperlink ref="E1:G1" location="Parametros!B1" display="Parametros!B1" xr:uid="{00000000-0004-0000-1900-000000000000}"/>
    <hyperlink ref="P1" location="Parametros!B2" display="Parametros!B2" xr:uid="{00000000-0004-0000-1900-000001000000}"/>
  </hyperlinks>
  <pageMargins left="0.7" right="0.7" top="0.75" bottom="0.75" header="0" footer="0"/>
  <pageSetup scale="65" orientation="landscape" r:id="rId1"/>
  <ignoredErrors>
    <ignoredError sqref="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9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9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4">
    <pageSetUpPr fitToPage="1"/>
  </sheetPr>
  <dimension ref="A1:Y100"/>
  <sheetViews>
    <sheetView topLeftCell="G1" workbookViewId="0">
      <selection activeCell="I7" sqref="I7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9.441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315">
        <f>Hoja22!A4</f>
        <v>2024</v>
      </c>
      <c r="B4" s="316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Hoja22!K22</f>
        <v>0</v>
      </c>
      <c r="L6" s="26">
        <f>Hoja22!L22</f>
        <v>1.5</v>
      </c>
      <c r="M6" s="27">
        <f>Hoja22!M22</f>
        <v>1</v>
      </c>
      <c r="N6" s="4"/>
      <c r="O6" s="5"/>
      <c r="P6" s="21">
        <f>Hoja22!P22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B1:D1"/>
    <mergeCell ref="K3:K5"/>
    <mergeCell ref="L3:L5"/>
    <mergeCell ref="H6:J6"/>
    <mergeCell ref="G2:G6"/>
    <mergeCell ref="I1:L1"/>
    <mergeCell ref="K2:L2"/>
    <mergeCell ref="E1:G1"/>
    <mergeCell ref="F3:F6"/>
    <mergeCell ref="J3:J5"/>
    <mergeCell ref="H2:J2"/>
    <mergeCell ref="A2:B3"/>
    <mergeCell ref="A4:B4"/>
    <mergeCell ref="Q22:Q23"/>
    <mergeCell ref="J25:M25"/>
    <mergeCell ref="O25:P25"/>
    <mergeCell ref="J26:M26"/>
    <mergeCell ref="O26:P26"/>
    <mergeCell ref="M22:M23"/>
    <mergeCell ref="K22:K23"/>
    <mergeCell ref="L22:L23"/>
    <mergeCell ref="A22:J23"/>
    <mergeCell ref="C24:F24"/>
    <mergeCell ref="P22:P23"/>
    <mergeCell ref="U5:V5"/>
    <mergeCell ref="W5:X5"/>
    <mergeCell ref="P2:Q5"/>
    <mergeCell ref="A5:A6"/>
    <mergeCell ref="M2:M5"/>
    <mergeCell ref="H3:H5"/>
    <mergeCell ref="I3:I5"/>
    <mergeCell ref="B5:B6"/>
    <mergeCell ref="C2:F2"/>
    <mergeCell ref="C3:C6"/>
    <mergeCell ref="D3:E6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A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A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A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A00-000003000000}">
      <formula1>0</formula1>
      <formula2>0.999988425925926</formula2>
    </dataValidation>
  </dataValidations>
  <hyperlinks>
    <hyperlink ref="E1:G1" location="Parametros!B1" display="Parametros!B1" xr:uid="{00000000-0004-0000-1A00-000000000000}"/>
    <hyperlink ref="P1" location="Parametros!B2" display="Parametros!B2" xr:uid="{00000000-0004-0000-1A00-000001000000}"/>
  </hyperlinks>
  <pageMargins left="0.7" right="0.7" top="0.75" bottom="0.75" header="0" footer="0"/>
  <pageSetup scale="65" orientation="landscape" r:id="rId1"/>
  <ignoredErrors>
    <ignoredError sqref="A22:J23 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A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A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5">
    <pageSetUpPr fitToPage="1"/>
  </sheetPr>
  <dimension ref="A1:Y100"/>
  <sheetViews>
    <sheetView workbookViewId="0">
      <selection activeCell="I25" sqref="I25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8.441406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Hoja23!A4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Hoja23!K22</f>
        <v>0</v>
      </c>
      <c r="L6" s="26">
        <f>Hoja23!L22</f>
        <v>1.5</v>
      </c>
      <c r="M6" s="27">
        <f>Hoja23!M22</f>
        <v>1</v>
      </c>
      <c r="N6" s="4"/>
      <c r="O6" s="5"/>
      <c r="P6" s="21">
        <f>Hoja23!P22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190"/>
      <c r="E7" s="191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190"/>
      <c r="E8" s="191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190"/>
      <c r="E9" s="191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190"/>
      <c r="E10" s="191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190"/>
      <c r="E11" s="191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190"/>
      <c r="E12" s="191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190"/>
      <c r="E13" s="191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190"/>
      <c r="E14" s="191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190"/>
      <c r="E15" s="191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190"/>
      <c r="E16" s="191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190"/>
      <c r="E17" s="191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190"/>
      <c r="E18" s="191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190"/>
      <c r="E19" s="191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190"/>
      <c r="E20" s="191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190"/>
      <c r="E21" s="191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B1:D1"/>
    <mergeCell ref="K3:K5"/>
    <mergeCell ref="L3:L5"/>
    <mergeCell ref="H6:J6"/>
    <mergeCell ref="G2:G6"/>
    <mergeCell ref="I1:L1"/>
    <mergeCell ref="K2:L2"/>
    <mergeCell ref="E1:G1"/>
    <mergeCell ref="F3:F6"/>
    <mergeCell ref="J3:J5"/>
    <mergeCell ref="H2:J2"/>
    <mergeCell ref="A2:B3"/>
    <mergeCell ref="A4:B4"/>
    <mergeCell ref="Q22:Q23"/>
    <mergeCell ref="J25:M25"/>
    <mergeCell ref="O25:P25"/>
    <mergeCell ref="J26:M26"/>
    <mergeCell ref="O26:P26"/>
    <mergeCell ref="M22:M23"/>
    <mergeCell ref="K22:K23"/>
    <mergeCell ref="L22:L23"/>
    <mergeCell ref="A22:J23"/>
    <mergeCell ref="C24:F24"/>
    <mergeCell ref="P22:P23"/>
    <mergeCell ref="U5:V5"/>
    <mergeCell ref="W5:X5"/>
    <mergeCell ref="P2:Q5"/>
    <mergeCell ref="A5:A6"/>
    <mergeCell ref="M2:M5"/>
    <mergeCell ref="H3:H5"/>
    <mergeCell ref="I3:I5"/>
    <mergeCell ref="B5:B6"/>
    <mergeCell ref="C2:F2"/>
    <mergeCell ref="C3:C6"/>
    <mergeCell ref="D3:E6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B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B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B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B00-000003000000}">
      <formula1>0</formula1>
      <formula2>0.999988425925926</formula2>
    </dataValidation>
  </dataValidations>
  <hyperlinks>
    <hyperlink ref="E1:G1" location="Parametros!B1" display="Parametros!B1" xr:uid="{00000000-0004-0000-1B00-000000000000}"/>
    <hyperlink ref="P1" location="Parametros!B2" display="Parametros!B2" xr:uid="{00000000-0004-0000-1B00-000001000000}"/>
  </hyperlinks>
  <pageMargins left="0.7" right="0.7" top="0.75" bottom="0.75" header="0" footer="0"/>
  <pageSetup scale="65" orientation="landscape" r:id="rId1"/>
  <ignoredErrors>
    <ignoredError sqref="A22:J23 L22:P23 K22 K7:P21 H7:H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Parametros!$E$21:$E$60</xm:f>
          </x14:formula1>
          <xm:sqref>I7:I21</xm:sqref>
        </x14:dataValidation>
        <x14:dataValidation type="list" allowBlank="1" showInputMessage="1" showErrorMessage="1" xr:uid="{00000000-0002-0000-1B00-000005000000}">
          <x14:formula1>
            <xm:f>Parametros!$B$17:$B$151</xm:f>
          </x14:formula1>
          <xm:sqref>D7:E21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6">
    <pageSetUpPr fitToPage="1"/>
  </sheetPr>
  <dimension ref="A1:Y100"/>
  <sheetViews>
    <sheetView topLeftCell="D1" workbookViewId="0">
      <selection activeCell="I7" sqref="I7:I21"/>
    </sheetView>
  </sheetViews>
  <sheetFormatPr baseColWidth="10" defaultColWidth="12.5546875" defaultRowHeight="15" customHeight="1" x14ac:dyDescent="0.25"/>
  <cols>
    <col min="1" max="1" width="3.88671875" bestFit="1" customWidth="1"/>
    <col min="2" max="2" width="4.33203125" bestFit="1" customWidth="1"/>
    <col min="3" max="3" width="14.88671875" bestFit="1" customWidth="1"/>
    <col min="4" max="5" width="12.44140625" customWidth="1"/>
    <col min="6" max="6" width="16.5546875" bestFit="1" customWidth="1"/>
    <col min="7" max="7" width="9.44140625" customWidth="1"/>
    <col min="8" max="8" width="7.109375" bestFit="1" customWidth="1"/>
    <col min="9" max="9" width="10.6640625" bestFit="1" customWidth="1"/>
    <col min="10" max="10" width="10.109375" bestFit="1" customWidth="1"/>
    <col min="11" max="12" width="9.33203125" customWidth="1"/>
    <col min="13" max="13" width="8.88671875" bestFit="1" customWidth="1"/>
    <col min="14" max="14" width="11.5546875" bestFit="1" customWidth="1"/>
    <col min="15" max="15" width="9.88671875" bestFit="1" customWidth="1"/>
    <col min="16" max="16" width="12.44140625" bestFit="1" customWidth="1"/>
    <col min="17" max="17" width="28.5546875" bestFit="1" customWidth="1"/>
    <col min="19" max="19" width="0" style="78" hidden="1" customWidth="1"/>
    <col min="20" max="23" width="12.5546875" style="78" hidden="1" customWidth="1"/>
    <col min="24" max="25" width="0" style="78" hidden="1" customWidth="1"/>
  </cols>
  <sheetData>
    <row r="1" spans="1:25" ht="16.5" customHeight="1" thickBot="1" x14ac:dyDescent="0.3">
      <c r="A1" s="1"/>
      <c r="B1" s="270" t="s">
        <v>0</v>
      </c>
      <c r="C1" s="238"/>
      <c r="D1" s="238"/>
      <c r="E1" s="307" t="str">
        <f>Parametros!B1</f>
        <v>Cargar Apellido</v>
      </c>
      <c r="F1" s="308"/>
      <c r="G1" s="308"/>
      <c r="H1" s="1"/>
      <c r="I1" s="273" t="s">
        <v>1</v>
      </c>
      <c r="J1" s="274"/>
      <c r="K1" s="274"/>
      <c r="L1" s="274"/>
      <c r="M1" s="2" t="s">
        <v>2</v>
      </c>
      <c r="N1" s="1"/>
      <c r="O1" s="1" t="s">
        <v>3</v>
      </c>
      <c r="P1" s="34" t="str">
        <f>Parametros!B2</f>
        <v>ingrese legajo</v>
      </c>
      <c r="Q1" s="1"/>
    </row>
    <row r="2" spans="1:25" ht="23.25" customHeight="1" thickBot="1" x14ac:dyDescent="0.3">
      <c r="A2" s="252" t="s">
        <v>80</v>
      </c>
      <c r="B2" s="266"/>
      <c r="C2" s="275" t="s">
        <v>4</v>
      </c>
      <c r="D2" s="276"/>
      <c r="E2" s="276"/>
      <c r="F2" s="277"/>
      <c r="G2" s="268" t="s">
        <v>5</v>
      </c>
      <c r="H2" s="278" t="s">
        <v>6</v>
      </c>
      <c r="I2" s="276"/>
      <c r="J2" s="277"/>
      <c r="K2" s="279" t="s">
        <v>7</v>
      </c>
      <c r="L2" s="236"/>
      <c r="M2" s="268" t="s">
        <v>8</v>
      </c>
      <c r="N2" s="252" t="s">
        <v>317</v>
      </c>
      <c r="O2" s="253"/>
      <c r="P2" s="262" t="s">
        <v>9</v>
      </c>
      <c r="Q2" s="263"/>
    </row>
    <row r="3" spans="1:25" ht="16.5" customHeight="1" thickBot="1" x14ac:dyDescent="0.3">
      <c r="A3" s="280"/>
      <c r="B3" s="281"/>
      <c r="C3" s="248" t="s">
        <v>10</v>
      </c>
      <c r="D3" s="262" t="s">
        <v>11</v>
      </c>
      <c r="E3" s="263"/>
      <c r="F3" s="248" t="s">
        <v>12</v>
      </c>
      <c r="G3" s="249"/>
      <c r="H3" s="266" t="s">
        <v>13</v>
      </c>
      <c r="I3" s="248" t="s">
        <v>14</v>
      </c>
      <c r="J3" s="248" t="s">
        <v>15</v>
      </c>
      <c r="K3" s="251" t="s">
        <v>16</v>
      </c>
      <c r="L3" s="251" t="s">
        <v>17</v>
      </c>
      <c r="M3" s="249"/>
      <c r="N3" s="254"/>
      <c r="O3" s="255"/>
      <c r="P3" s="264"/>
      <c r="Q3" s="265"/>
    </row>
    <row r="4" spans="1:25" ht="19.5" customHeight="1" thickBot="1" x14ac:dyDescent="0.3">
      <c r="A4" s="282">
        <f>Hoja24!A4</f>
        <v>2024</v>
      </c>
      <c r="B4" s="283"/>
      <c r="C4" s="249"/>
      <c r="D4" s="264"/>
      <c r="E4" s="265"/>
      <c r="F4" s="249"/>
      <c r="G4" s="249"/>
      <c r="H4" s="265"/>
      <c r="I4" s="249"/>
      <c r="J4" s="249"/>
      <c r="K4" s="249"/>
      <c r="L4" s="249"/>
      <c r="M4" s="249"/>
      <c r="N4" s="20" t="s">
        <v>18</v>
      </c>
      <c r="O4" s="20" t="s">
        <v>19</v>
      </c>
      <c r="P4" s="264"/>
      <c r="Q4" s="265"/>
    </row>
    <row r="5" spans="1:25" ht="22.5" customHeight="1" thickBot="1" x14ac:dyDescent="0.3">
      <c r="A5" s="251" t="s">
        <v>20</v>
      </c>
      <c r="B5" s="251" t="s">
        <v>21</v>
      </c>
      <c r="C5" s="249"/>
      <c r="D5" s="264"/>
      <c r="E5" s="265"/>
      <c r="F5" s="249"/>
      <c r="G5" s="249"/>
      <c r="H5" s="267"/>
      <c r="I5" s="250"/>
      <c r="J5" s="250"/>
      <c r="K5" s="250"/>
      <c r="L5" s="250"/>
      <c r="M5" s="250"/>
      <c r="N5" s="3" t="s">
        <v>22</v>
      </c>
      <c r="O5" s="3" t="s">
        <v>23</v>
      </c>
      <c r="P5" s="269"/>
      <c r="Q5" s="267"/>
      <c r="U5" s="246" t="s">
        <v>36</v>
      </c>
      <c r="V5" s="247"/>
      <c r="W5" s="246" t="s">
        <v>37</v>
      </c>
      <c r="X5" s="247"/>
    </row>
    <row r="6" spans="1:25" ht="25.5" customHeight="1" thickBot="1" x14ac:dyDescent="0.3">
      <c r="A6" s="249"/>
      <c r="B6" s="249"/>
      <c r="C6" s="249"/>
      <c r="D6" s="264"/>
      <c r="E6" s="265"/>
      <c r="F6" s="249"/>
      <c r="G6" s="249"/>
      <c r="H6" s="284" t="s">
        <v>24</v>
      </c>
      <c r="I6" s="236"/>
      <c r="J6" s="263"/>
      <c r="K6" s="26">
        <f>Hoja24!K22</f>
        <v>0</v>
      </c>
      <c r="L6" s="26">
        <f>Hoja24!L22</f>
        <v>1.5</v>
      </c>
      <c r="M6" s="27">
        <f>Hoja24!M22</f>
        <v>1</v>
      </c>
      <c r="N6" s="4"/>
      <c r="O6" s="5"/>
      <c r="P6" s="21">
        <f>Hoja24!P22</f>
        <v>1.5</v>
      </c>
      <c r="Q6" s="22" t="s">
        <v>25</v>
      </c>
      <c r="S6" s="93" t="s">
        <v>113</v>
      </c>
      <c r="T6" s="94" t="s">
        <v>114</v>
      </c>
      <c r="U6" s="95" t="s">
        <v>38</v>
      </c>
      <c r="V6" s="96" t="s">
        <v>40</v>
      </c>
      <c r="W6" s="97" t="s">
        <v>38</v>
      </c>
      <c r="X6" s="97" t="s">
        <v>40</v>
      </c>
      <c r="Y6" s="98" t="s">
        <v>112</v>
      </c>
    </row>
    <row r="7" spans="1:25" s="201" customFormat="1" ht="16.5" customHeight="1" thickBot="1" x14ac:dyDescent="0.3">
      <c r="A7" s="187"/>
      <c r="B7" s="188"/>
      <c r="C7" s="189"/>
      <c r="D7" s="215"/>
      <c r="E7" s="216"/>
      <c r="F7" s="189"/>
      <c r="G7" s="192"/>
      <c r="H7" s="192" t="str">
        <f>IF(AND(A7&lt;&gt;"",B7&lt;&gt;""),"B-738","")</f>
        <v/>
      </c>
      <c r="I7" s="192"/>
      <c r="J7" s="193"/>
      <c r="K7" s="194">
        <f t="shared" ref="K7:K18" si="0">IF(AND(C7&lt;U7,F7&gt;U7,F7&lt;=V7,C7&lt;F7),F7-U7,0)*24+IF(AND(C7&gt;=U7,F7&lt;=V7,C7&lt;F7),F7-C7,0)*24+ IF(AND(C7&gt;=U7,C7&lt;=V7,C7&lt;F7,F7&gt;V7,F7&lt;VALUE("24:00")),V7-C7,0)*24+IF(AND(C7&gt;=U7,C7&lt;=V7,F7&gt;=VALUE("00:00"),F7&lt;U7),V7-C7,0)*24</f>
        <v>0</v>
      </c>
      <c r="L7" s="195">
        <f t="shared" ref="L7:L18" si="1">IF(AND((C7)&lt;V7,(F7)&lt;U7,C7&lt;=F7),(F7)-(C7),0)*24+IF(AND(C7&lt;U7,F7&gt;U7,F7&lt;=V7,C7&lt;F7),U7-C7,0)*24+IF(AND(C7&gt;=U7,C7&lt;=V7,C7&lt;F7,F7&gt;V7,F7&lt;VALUE("24:00")),F7-V7,0)*24+IF(AND(C7&lt;F7,"24:00"&gt;F7,C7&gt;V7,F7&gt;V7),F7-C7,0)*24+IF(AND(C7&gt;=U7,C7&lt;=V7,F7&gt;VALUE("00:00"),F7&lt;U7),VALUE("24:00")-V7+F7,0)*24+IF(AND(C7&gt;V7,F7&lt;C7,F7&lt;U7,F7&gt;=VALUE("00:00")),VALUE("24:00")-C7+F7,0)*24</f>
        <v>0</v>
      </c>
      <c r="M7" s="181">
        <f>IF(F7&lt;&gt;"",1,0)</f>
        <v>0</v>
      </c>
      <c r="N7" s="181"/>
      <c r="O7" s="181"/>
      <c r="P7" s="196">
        <f>K7+L7</f>
        <v>0</v>
      </c>
      <c r="Q7" s="181"/>
      <c r="S7" s="209" t="str">
        <f>CONCATENATE(REPT("0",2-LEN(A7)),A7)</f>
        <v>00</v>
      </c>
      <c r="T7" s="210" t="str">
        <f>CONCATENATE(REPT("0",2-LEN(B7)),B7)</f>
        <v>00</v>
      </c>
      <c r="U7" s="211">
        <f>IFERROR(VLOOKUP(Y7,Parametros!$A$10:$G$13,4,0),0)</f>
        <v>0.375</v>
      </c>
      <c r="V7" s="212">
        <f>IFERROR(VLOOKUP(Y7,Parametros!$A$10:$G$13,5,0),0)</f>
        <v>0.95833333333333337</v>
      </c>
      <c r="W7" s="212">
        <f>IFERROR(VLOOKUP(Y7,Parametros!$A$10:$G$13,6,0),0)</f>
        <v>0.9590277777777777</v>
      </c>
      <c r="X7" s="213">
        <f>IFERROR(VLOOKUP(Y7,Parametros!$A$10:$G$13,7,0),0)</f>
        <v>0.3743055555555555</v>
      </c>
      <c r="Y7" s="214" t="str">
        <f>IF(AND(VALUE(CONCATENATE(T7,S7))&gt;=Parametros!$B$11,VALUE(CONCATENATE(T7,S7))&lt;=Parametros!$C$11),Parametros!$A$11,IF(AND(VALUE(CONCATENATE(T7,S7))&gt;=Parametros!$B$12,VALUE(CONCATENATE(T7,S7))&lt;=Parametros!$C$12),Parametros!$A$12,IF(AND(VALUE(CONCATENATE(T7,S7))&gt;=Parametros!$B$13,VALUE(CONCATENATE(T7,S7))&lt;=Parametros!$C$13),Parametros!$A$13,Parametros!$A$10)))</f>
        <v>Verano</v>
      </c>
    </row>
    <row r="8" spans="1:25" s="201" customFormat="1" ht="16.5" customHeight="1" thickBot="1" x14ac:dyDescent="0.3">
      <c r="A8" s="187"/>
      <c r="B8" s="188"/>
      <c r="C8" s="189"/>
      <c r="D8" s="215"/>
      <c r="E8" s="216"/>
      <c r="F8" s="189"/>
      <c r="G8" s="192"/>
      <c r="H8" s="192" t="str">
        <f t="shared" ref="H8:H21" si="2">IF(AND(A8&lt;&gt;"",B8&lt;&gt;""),"B-738","")</f>
        <v/>
      </c>
      <c r="I8" s="192"/>
      <c r="J8" s="193"/>
      <c r="K8" s="194">
        <f t="shared" si="0"/>
        <v>0</v>
      </c>
      <c r="L8" s="195">
        <f t="shared" si="1"/>
        <v>0</v>
      </c>
      <c r="M8" s="181">
        <f t="shared" ref="M8:M21" si="3">IF(F8&lt;&gt;"",1,0)</f>
        <v>0</v>
      </c>
      <c r="N8" s="181"/>
      <c r="O8" s="181"/>
      <c r="P8" s="196">
        <f t="shared" ref="P8:P21" si="4">K8+L8</f>
        <v>0</v>
      </c>
      <c r="Q8" s="181"/>
      <c r="S8" s="209" t="str">
        <f t="shared" ref="S8:T21" si="5">CONCATENATE(REPT("0",2-LEN(A8)),A8)</f>
        <v>00</v>
      </c>
      <c r="T8" s="210" t="str">
        <f t="shared" si="5"/>
        <v>00</v>
      </c>
      <c r="U8" s="211">
        <f>IFERROR(VLOOKUP(Y8,Parametros!$A$10:$G$13,4,0),0)</f>
        <v>0.375</v>
      </c>
      <c r="V8" s="212">
        <f>IFERROR(VLOOKUP(Y8,Parametros!$A$10:$G$13,5,0),0)</f>
        <v>0.95833333333333337</v>
      </c>
      <c r="W8" s="212">
        <f>IFERROR(VLOOKUP(Y8,Parametros!$A$10:$G$13,6,0),0)</f>
        <v>0.9590277777777777</v>
      </c>
      <c r="X8" s="213">
        <f>IFERROR(VLOOKUP(Y8,Parametros!$A$10:$G$13,7,0),0)</f>
        <v>0.3743055555555555</v>
      </c>
      <c r="Y8" s="214" t="str">
        <f>IF(AND(VALUE(CONCATENATE(T8,S8))&gt;=Parametros!$B$11,VALUE(CONCATENATE(T8,S8))&lt;=Parametros!$C$11),Parametros!$A$11,IF(AND(VALUE(CONCATENATE(T8,S8))&gt;=Parametros!$B$12,VALUE(CONCATENATE(T8,S8))&lt;=Parametros!$C$12),Parametros!$A$12,IF(AND(VALUE(CONCATENATE(T8,S8))&gt;=Parametros!$B$13,VALUE(CONCATENATE(T8,S8))&lt;=Parametros!$C$13),Parametros!$A$13,Parametros!$A$10)))</f>
        <v>Verano</v>
      </c>
    </row>
    <row r="9" spans="1:25" s="201" customFormat="1" ht="16.5" customHeight="1" thickBot="1" x14ac:dyDescent="0.3">
      <c r="A9" s="187"/>
      <c r="B9" s="188"/>
      <c r="C9" s="189"/>
      <c r="D9" s="215"/>
      <c r="E9" s="216"/>
      <c r="F9" s="189"/>
      <c r="G9" s="192"/>
      <c r="H9" s="192" t="str">
        <f t="shared" si="2"/>
        <v/>
      </c>
      <c r="I9" s="192"/>
      <c r="J9" s="193"/>
      <c r="K9" s="194">
        <f t="shared" si="0"/>
        <v>0</v>
      </c>
      <c r="L9" s="195">
        <f t="shared" si="1"/>
        <v>0</v>
      </c>
      <c r="M9" s="181">
        <f t="shared" si="3"/>
        <v>0</v>
      </c>
      <c r="N9" s="181"/>
      <c r="O9" s="181"/>
      <c r="P9" s="196">
        <f t="shared" si="4"/>
        <v>0</v>
      </c>
      <c r="Q9" s="181"/>
      <c r="S9" s="209" t="str">
        <f t="shared" si="5"/>
        <v>00</v>
      </c>
      <c r="T9" s="210" t="str">
        <f t="shared" si="5"/>
        <v>00</v>
      </c>
      <c r="U9" s="211">
        <f>IFERROR(VLOOKUP(Y9,Parametros!$A$10:$G$13,4,0),0)</f>
        <v>0.375</v>
      </c>
      <c r="V9" s="212">
        <f>IFERROR(VLOOKUP(Y9,Parametros!$A$10:$G$13,5,0),0)</f>
        <v>0.95833333333333337</v>
      </c>
      <c r="W9" s="212">
        <f>IFERROR(VLOOKUP(Y9,Parametros!$A$10:$G$13,6,0),0)</f>
        <v>0.9590277777777777</v>
      </c>
      <c r="X9" s="213">
        <f>IFERROR(VLOOKUP(Y9,Parametros!$A$10:$G$13,7,0),0)</f>
        <v>0.3743055555555555</v>
      </c>
      <c r="Y9" s="214" t="str">
        <f>IF(AND(VALUE(CONCATENATE(T9,S9))&gt;=Parametros!$B$11,VALUE(CONCATENATE(T9,S9))&lt;=Parametros!$C$11),Parametros!$A$11,IF(AND(VALUE(CONCATENATE(T9,S9))&gt;=Parametros!$B$12,VALUE(CONCATENATE(T9,S9))&lt;=Parametros!$C$12),Parametros!$A$12,IF(AND(VALUE(CONCATENATE(T9,S9))&gt;=Parametros!$B$13,VALUE(CONCATENATE(T9,S9))&lt;=Parametros!$C$13),Parametros!$A$13,Parametros!$A$10)))</f>
        <v>Verano</v>
      </c>
    </row>
    <row r="10" spans="1:25" s="201" customFormat="1" ht="16.5" customHeight="1" thickBot="1" x14ac:dyDescent="0.3">
      <c r="A10" s="187"/>
      <c r="B10" s="188"/>
      <c r="C10" s="189"/>
      <c r="D10" s="215"/>
      <c r="E10" s="216"/>
      <c r="F10" s="189"/>
      <c r="G10" s="192"/>
      <c r="H10" s="192" t="str">
        <f t="shared" si="2"/>
        <v/>
      </c>
      <c r="I10" s="192"/>
      <c r="J10" s="193"/>
      <c r="K10" s="194">
        <f t="shared" si="0"/>
        <v>0</v>
      </c>
      <c r="L10" s="195">
        <f t="shared" si="1"/>
        <v>0</v>
      </c>
      <c r="M10" s="181">
        <f t="shared" si="3"/>
        <v>0</v>
      </c>
      <c r="N10" s="181"/>
      <c r="O10" s="181"/>
      <c r="P10" s="196">
        <f t="shared" si="4"/>
        <v>0</v>
      </c>
      <c r="Q10" s="181"/>
      <c r="S10" s="209" t="str">
        <f t="shared" si="5"/>
        <v>00</v>
      </c>
      <c r="T10" s="210" t="str">
        <f t="shared" si="5"/>
        <v>00</v>
      </c>
      <c r="U10" s="211">
        <f>IFERROR(VLOOKUP(Y10,Parametros!$A$10:$G$13,4,0),0)</f>
        <v>0.375</v>
      </c>
      <c r="V10" s="212">
        <f>IFERROR(VLOOKUP(Y10,Parametros!$A$10:$G$13,5,0),0)</f>
        <v>0.95833333333333337</v>
      </c>
      <c r="W10" s="212">
        <f>IFERROR(VLOOKUP(Y10,Parametros!$A$10:$G$13,6,0),0)</f>
        <v>0.9590277777777777</v>
      </c>
      <c r="X10" s="213">
        <f>IFERROR(VLOOKUP(Y10,Parametros!$A$10:$G$13,7,0),0)</f>
        <v>0.3743055555555555</v>
      </c>
      <c r="Y10" s="214" t="str">
        <f>IF(AND(VALUE(CONCATENATE(T10,S10))&gt;=Parametros!$B$11,VALUE(CONCATENATE(T10,S10))&lt;=Parametros!$C$11),Parametros!$A$11,IF(AND(VALUE(CONCATENATE(T10,S10))&gt;=Parametros!$B$12,VALUE(CONCATENATE(T10,S10))&lt;=Parametros!$C$12),Parametros!$A$12,IF(AND(VALUE(CONCATENATE(T10,S10))&gt;=Parametros!$B$13,VALUE(CONCATENATE(T10,S10))&lt;=Parametros!$C$13),Parametros!$A$13,Parametros!$A$10)))</f>
        <v>Verano</v>
      </c>
    </row>
    <row r="11" spans="1:25" s="201" customFormat="1" ht="16.5" customHeight="1" thickBot="1" x14ac:dyDescent="0.3">
      <c r="A11" s="187"/>
      <c r="B11" s="188"/>
      <c r="C11" s="189"/>
      <c r="D11" s="215"/>
      <c r="E11" s="216"/>
      <c r="F11" s="189"/>
      <c r="G11" s="192"/>
      <c r="H11" s="192" t="str">
        <f t="shared" si="2"/>
        <v/>
      </c>
      <c r="I11" s="192"/>
      <c r="J11" s="193"/>
      <c r="K11" s="194">
        <f t="shared" si="0"/>
        <v>0</v>
      </c>
      <c r="L11" s="195">
        <f t="shared" si="1"/>
        <v>0</v>
      </c>
      <c r="M11" s="181">
        <f t="shared" si="3"/>
        <v>0</v>
      </c>
      <c r="N11" s="181"/>
      <c r="O11" s="181"/>
      <c r="P11" s="196">
        <f t="shared" si="4"/>
        <v>0</v>
      </c>
      <c r="Q11" s="181"/>
      <c r="S11" s="209" t="str">
        <f t="shared" si="5"/>
        <v>00</v>
      </c>
      <c r="T11" s="210" t="str">
        <f t="shared" si="5"/>
        <v>00</v>
      </c>
      <c r="U11" s="211">
        <f>IFERROR(VLOOKUP(Y11,Parametros!$A$10:$G$13,4,0),0)</f>
        <v>0.375</v>
      </c>
      <c r="V11" s="212">
        <f>IFERROR(VLOOKUP(Y11,Parametros!$A$10:$G$13,5,0),0)</f>
        <v>0.95833333333333337</v>
      </c>
      <c r="W11" s="212">
        <f>IFERROR(VLOOKUP(Y11,Parametros!$A$10:$G$13,6,0),0)</f>
        <v>0.9590277777777777</v>
      </c>
      <c r="X11" s="213">
        <f>IFERROR(VLOOKUP(Y11,Parametros!$A$10:$G$13,7,0),0)</f>
        <v>0.3743055555555555</v>
      </c>
      <c r="Y11" s="214" t="str">
        <f>IF(AND(VALUE(CONCATENATE(T11,S11))&gt;=Parametros!$B$11,VALUE(CONCATENATE(T11,S11))&lt;=Parametros!$C$11),Parametros!$A$11,IF(AND(VALUE(CONCATENATE(T11,S11))&gt;=Parametros!$B$12,VALUE(CONCATENATE(T11,S11))&lt;=Parametros!$C$12),Parametros!$A$12,IF(AND(VALUE(CONCATENATE(T11,S11))&gt;=Parametros!$B$13,VALUE(CONCATENATE(T11,S11))&lt;=Parametros!$C$13),Parametros!$A$13,Parametros!$A$10)))</f>
        <v>Verano</v>
      </c>
    </row>
    <row r="12" spans="1:25" s="201" customFormat="1" ht="16.5" customHeight="1" thickBot="1" x14ac:dyDescent="0.3">
      <c r="A12" s="187"/>
      <c r="B12" s="188"/>
      <c r="C12" s="189"/>
      <c r="D12" s="215"/>
      <c r="E12" s="216"/>
      <c r="F12" s="189"/>
      <c r="G12" s="192"/>
      <c r="H12" s="192" t="str">
        <f t="shared" si="2"/>
        <v/>
      </c>
      <c r="I12" s="192"/>
      <c r="J12" s="193"/>
      <c r="K12" s="194">
        <f t="shared" si="0"/>
        <v>0</v>
      </c>
      <c r="L12" s="195">
        <f t="shared" si="1"/>
        <v>0</v>
      </c>
      <c r="M12" s="181">
        <f t="shared" si="3"/>
        <v>0</v>
      </c>
      <c r="N12" s="181"/>
      <c r="O12" s="181"/>
      <c r="P12" s="196">
        <f t="shared" si="4"/>
        <v>0</v>
      </c>
      <c r="Q12" s="181"/>
      <c r="S12" s="209" t="str">
        <f t="shared" si="5"/>
        <v>00</v>
      </c>
      <c r="T12" s="210" t="str">
        <f t="shared" si="5"/>
        <v>00</v>
      </c>
      <c r="U12" s="211">
        <f>IFERROR(VLOOKUP(Y12,Parametros!$A$10:$G$13,4,0),0)</f>
        <v>0.375</v>
      </c>
      <c r="V12" s="212">
        <f>IFERROR(VLOOKUP(Y12,Parametros!$A$10:$G$13,5,0),0)</f>
        <v>0.95833333333333337</v>
      </c>
      <c r="W12" s="212">
        <f>IFERROR(VLOOKUP(Y12,Parametros!$A$10:$G$13,6,0),0)</f>
        <v>0.9590277777777777</v>
      </c>
      <c r="X12" s="213">
        <f>IFERROR(VLOOKUP(Y12,Parametros!$A$10:$G$13,7,0),0)</f>
        <v>0.3743055555555555</v>
      </c>
      <c r="Y12" s="214" t="str">
        <f>IF(AND(VALUE(CONCATENATE(T12,S12))&gt;=Parametros!$B$11,VALUE(CONCATENATE(T12,S12))&lt;=Parametros!$C$11),Parametros!$A$11,IF(AND(VALUE(CONCATENATE(T12,S12))&gt;=Parametros!$B$12,VALUE(CONCATENATE(T12,S12))&lt;=Parametros!$C$12),Parametros!$A$12,IF(AND(VALUE(CONCATENATE(T12,S12))&gt;=Parametros!$B$13,VALUE(CONCATENATE(T12,S12))&lt;=Parametros!$C$13),Parametros!$A$13,Parametros!$A$10)))</f>
        <v>Verano</v>
      </c>
    </row>
    <row r="13" spans="1:25" s="201" customFormat="1" ht="16.5" customHeight="1" thickBot="1" x14ac:dyDescent="0.3">
      <c r="A13" s="187"/>
      <c r="B13" s="188"/>
      <c r="C13" s="189"/>
      <c r="D13" s="215"/>
      <c r="E13" s="216"/>
      <c r="F13" s="189"/>
      <c r="G13" s="192"/>
      <c r="H13" s="192" t="str">
        <f t="shared" si="2"/>
        <v/>
      </c>
      <c r="I13" s="192"/>
      <c r="J13" s="193"/>
      <c r="K13" s="194">
        <f t="shared" si="0"/>
        <v>0</v>
      </c>
      <c r="L13" s="195">
        <f t="shared" si="1"/>
        <v>0</v>
      </c>
      <c r="M13" s="181">
        <f t="shared" si="3"/>
        <v>0</v>
      </c>
      <c r="N13" s="181"/>
      <c r="O13" s="181"/>
      <c r="P13" s="196">
        <f t="shared" si="4"/>
        <v>0</v>
      </c>
      <c r="Q13" s="181"/>
      <c r="S13" s="209" t="str">
        <f t="shared" si="5"/>
        <v>00</v>
      </c>
      <c r="T13" s="210" t="str">
        <f t="shared" si="5"/>
        <v>00</v>
      </c>
      <c r="U13" s="211">
        <f>IFERROR(VLOOKUP(Y13,Parametros!$A$10:$G$13,4,0),0)</f>
        <v>0.375</v>
      </c>
      <c r="V13" s="212">
        <f>IFERROR(VLOOKUP(Y13,Parametros!$A$10:$G$13,5,0),0)</f>
        <v>0.95833333333333337</v>
      </c>
      <c r="W13" s="212">
        <f>IFERROR(VLOOKUP(Y13,Parametros!$A$10:$G$13,6,0),0)</f>
        <v>0.9590277777777777</v>
      </c>
      <c r="X13" s="213">
        <f>IFERROR(VLOOKUP(Y13,Parametros!$A$10:$G$13,7,0),0)</f>
        <v>0.3743055555555555</v>
      </c>
      <c r="Y13" s="214" t="str">
        <f>IF(AND(VALUE(CONCATENATE(T13,S13))&gt;=Parametros!$B$11,VALUE(CONCATENATE(T13,S13))&lt;=Parametros!$C$11),Parametros!$A$11,IF(AND(VALUE(CONCATENATE(T13,S13))&gt;=Parametros!$B$12,VALUE(CONCATENATE(T13,S13))&lt;=Parametros!$C$12),Parametros!$A$12,IF(AND(VALUE(CONCATENATE(T13,S13))&gt;=Parametros!$B$13,VALUE(CONCATENATE(T13,S13))&lt;=Parametros!$C$13),Parametros!$A$13,Parametros!$A$10)))</f>
        <v>Verano</v>
      </c>
    </row>
    <row r="14" spans="1:25" s="201" customFormat="1" ht="16.5" customHeight="1" thickBot="1" x14ac:dyDescent="0.3">
      <c r="A14" s="187"/>
      <c r="B14" s="188"/>
      <c r="C14" s="189"/>
      <c r="D14" s="215"/>
      <c r="E14" s="216"/>
      <c r="F14" s="189"/>
      <c r="G14" s="192"/>
      <c r="H14" s="192" t="str">
        <f t="shared" si="2"/>
        <v/>
      </c>
      <c r="I14" s="192"/>
      <c r="J14" s="193"/>
      <c r="K14" s="194">
        <f t="shared" si="0"/>
        <v>0</v>
      </c>
      <c r="L14" s="195">
        <f t="shared" si="1"/>
        <v>0</v>
      </c>
      <c r="M14" s="181">
        <f t="shared" si="3"/>
        <v>0</v>
      </c>
      <c r="N14" s="181"/>
      <c r="O14" s="181"/>
      <c r="P14" s="196">
        <f t="shared" si="4"/>
        <v>0</v>
      </c>
      <c r="Q14" s="181"/>
      <c r="S14" s="209" t="str">
        <f t="shared" si="5"/>
        <v>00</v>
      </c>
      <c r="T14" s="210" t="str">
        <f t="shared" si="5"/>
        <v>00</v>
      </c>
      <c r="U14" s="211">
        <f>IFERROR(VLOOKUP(Y14,Parametros!$A$10:$G$13,4,0),0)</f>
        <v>0.375</v>
      </c>
      <c r="V14" s="212">
        <f>IFERROR(VLOOKUP(Y14,Parametros!$A$10:$G$13,5,0),0)</f>
        <v>0.95833333333333337</v>
      </c>
      <c r="W14" s="212">
        <f>IFERROR(VLOOKUP(Y14,Parametros!$A$10:$G$13,6,0),0)</f>
        <v>0.9590277777777777</v>
      </c>
      <c r="X14" s="213">
        <f>IFERROR(VLOOKUP(Y14,Parametros!$A$10:$G$13,7,0),0)</f>
        <v>0.3743055555555555</v>
      </c>
      <c r="Y14" s="214" t="str">
        <f>IF(AND(VALUE(CONCATENATE(T14,S14))&gt;=Parametros!$B$11,VALUE(CONCATENATE(T14,S14))&lt;=Parametros!$C$11),Parametros!$A$11,IF(AND(VALUE(CONCATENATE(T14,S14))&gt;=Parametros!$B$12,VALUE(CONCATENATE(T14,S14))&lt;=Parametros!$C$12),Parametros!$A$12,IF(AND(VALUE(CONCATENATE(T14,S14))&gt;=Parametros!$B$13,VALUE(CONCATENATE(T14,S14))&lt;=Parametros!$C$13),Parametros!$A$13,Parametros!$A$10)))</f>
        <v>Verano</v>
      </c>
    </row>
    <row r="15" spans="1:25" s="201" customFormat="1" ht="16.5" customHeight="1" thickBot="1" x14ac:dyDescent="0.3">
      <c r="A15" s="187"/>
      <c r="B15" s="188"/>
      <c r="C15" s="189"/>
      <c r="D15" s="215"/>
      <c r="E15" s="216"/>
      <c r="F15" s="189"/>
      <c r="G15" s="192"/>
      <c r="H15" s="192" t="str">
        <f t="shared" si="2"/>
        <v/>
      </c>
      <c r="I15" s="192"/>
      <c r="J15" s="193"/>
      <c r="K15" s="194">
        <f t="shared" si="0"/>
        <v>0</v>
      </c>
      <c r="L15" s="195">
        <f t="shared" si="1"/>
        <v>0</v>
      </c>
      <c r="M15" s="181">
        <f t="shared" si="3"/>
        <v>0</v>
      </c>
      <c r="N15" s="181"/>
      <c r="O15" s="181"/>
      <c r="P15" s="196">
        <f t="shared" si="4"/>
        <v>0</v>
      </c>
      <c r="Q15" s="181"/>
      <c r="S15" s="209" t="str">
        <f t="shared" si="5"/>
        <v>00</v>
      </c>
      <c r="T15" s="210" t="str">
        <f t="shared" si="5"/>
        <v>00</v>
      </c>
      <c r="U15" s="211">
        <f>IFERROR(VLOOKUP(Y15,Parametros!$A$10:$G$13,4,0),0)</f>
        <v>0.375</v>
      </c>
      <c r="V15" s="212">
        <f>IFERROR(VLOOKUP(Y15,Parametros!$A$10:$G$13,5,0),0)</f>
        <v>0.95833333333333337</v>
      </c>
      <c r="W15" s="212">
        <f>IFERROR(VLOOKUP(Y15,Parametros!$A$10:$G$13,6,0),0)</f>
        <v>0.9590277777777777</v>
      </c>
      <c r="X15" s="213">
        <f>IFERROR(VLOOKUP(Y15,Parametros!$A$10:$G$13,7,0),0)</f>
        <v>0.3743055555555555</v>
      </c>
      <c r="Y15" s="214" t="str">
        <f>IF(AND(VALUE(CONCATENATE(T15,S15))&gt;=Parametros!$B$11,VALUE(CONCATENATE(T15,S15))&lt;=Parametros!$C$11),Parametros!$A$11,IF(AND(VALUE(CONCATENATE(T15,S15))&gt;=Parametros!$B$12,VALUE(CONCATENATE(T15,S15))&lt;=Parametros!$C$12),Parametros!$A$12,IF(AND(VALUE(CONCATENATE(T15,S15))&gt;=Parametros!$B$13,VALUE(CONCATENATE(T15,S15))&lt;=Parametros!$C$13),Parametros!$A$13,Parametros!$A$10)))</f>
        <v>Verano</v>
      </c>
    </row>
    <row r="16" spans="1:25" s="201" customFormat="1" ht="16.5" customHeight="1" thickBot="1" x14ac:dyDescent="0.3">
      <c r="A16" s="187"/>
      <c r="B16" s="188"/>
      <c r="C16" s="189"/>
      <c r="D16" s="215"/>
      <c r="E16" s="216"/>
      <c r="F16" s="189"/>
      <c r="G16" s="192"/>
      <c r="H16" s="192" t="str">
        <f t="shared" si="2"/>
        <v/>
      </c>
      <c r="I16" s="192"/>
      <c r="J16" s="193"/>
      <c r="K16" s="194">
        <f t="shared" si="0"/>
        <v>0</v>
      </c>
      <c r="L16" s="195">
        <f t="shared" si="1"/>
        <v>0</v>
      </c>
      <c r="M16" s="181">
        <f t="shared" si="3"/>
        <v>0</v>
      </c>
      <c r="N16" s="181"/>
      <c r="O16" s="181"/>
      <c r="P16" s="196">
        <f t="shared" si="4"/>
        <v>0</v>
      </c>
      <c r="Q16" s="181"/>
      <c r="S16" s="209" t="str">
        <f t="shared" si="5"/>
        <v>00</v>
      </c>
      <c r="T16" s="210" t="str">
        <f t="shared" si="5"/>
        <v>00</v>
      </c>
      <c r="U16" s="211">
        <f>IFERROR(VLOOKUP(Y16,Parametros!$A$10:$G$13,4,0),0)</f>
        <v>0.375</v>
      </c>
      <c r="V16" s="212">
        <f>IFERROR(VLOOKUP(Y16,Parametros!$A$10:$G$13,5,0),0)</f>
        <v>0.95833333333333337</v>
      </c>
      <c r="W16" s="212">
        <f>IFERROR(VLOOKUP(Y16,Parametros!$A$10:$G$13,6,0),0)</f>
        <v>0.9590277777777777</v>
      </c>
      <c r="X16" s="213">
        <f>IFERROR(VLOOKUP(Y16,Parametros!$A$10:$G$13,7,0),0)</f>
        <v>0.3743055555555555</v>
      </c>
      <c r="Y16" s="214" t="str">
        <f>IF(AND(VALUE(CONCATENATE(T16,S16))&gt;=Parametros!$B$11,VALUE(CONCATENATE(T16,S16))&lt;=Parametros!$C$11),Parametros!$A$11,IF(AND(VALUE(CONCATENATE(T16,S16))&gt;=Parametros!$B$12,VALUE(CONCATENATE(T16,S16))&lt;=Parametros!$C$12),Parametros!$A$12,IF(AND(VALUE(CONCATENATE(T16,S16))&gt;=Parametros!$B$13,VALUE(CONCATENATE(T16,S16))&lt;=Parametros!$C$13),Parametros!$A$13,Parametros!$A$10)))</f>
        <v>Verano</v>
      </c>
    </row>
    <row r="17" spans="1:25" s="201" customFormat="1" ht="16.5" customHeight="1" thickBot="1" x14ac:dyDescent="0.3">
      <c r="A17" s="187"/>
      <c r="B17" s="188"/>
      <c r="C17" s="189"/>
      <c r="D17" s="215"/>
      <c r="E17" s="216"/>
      <c r="F17" s="189"/>
      <c r="G17" s="181"/>
      <c r="H17" s="192" t="str">
        <f t="shared" si="2"/>
        <v/>
      </c>
      <c r="I17" s="181"/>
      <c r="J17" s="197"/>
      <c r="K17" s="194">
        <f t="shared" si="0"/>
        <v>0</v>
      </c>
      <c r="L17" s="195">
        <f t="shared" si="1"/>
        <v>0</v>
      </c>
      <c r="M17" s="181">
        <f t="shared" si="3"/>
        <v>0</v>
      </c>
      <c r="N17" s="181"/>
      <c r="O17" s="181"/>
      <c r="P17" s="196">
        <f t="shared" si="4"/>
        <v>0</v>
      </c>
      <c r="Q17" s="181"/>
      <c r="S17" s="209" t="str">
        <f t="shared" si="5"/>
        <v>00</v>
      </c>
      <c r="T17" s="210" t="str">
        <f t="shared" si="5"/>
        <v>00</v>
      </c>
      <c r="U17" s="211">
        <f>IFERROR(VLOOKUP(Y17,Parametros!$A$10:$G$13,4,0),0)</f>
        <v>0.375</v>
      </c>
      <c r="V17" s="212">
        <f>IFERROR(VLOOKUP(Y17,Parametros!$A$10:$G$13,5,0),0)</f>
        <v>0.95833333333333337</v>
      </c>
      <c r="W17" s="212">
        <f>IFERROR(VLOOKUP(Y17,Parametros!$A$10:$G$13,6,0),0)</f>
        <v>0.9590277777777777</v>
      </c>
      <c r="X17" s="213">
        <f>IFERROR(VLOOKUP(Y17,Parametros!$A$10:$G$13,7,0),0)</f>
        <v>0.3743055555555555</v>
      </c>
      <c r="Y17" s="214" t="str">
        <f>IF(AND(VALUE(CONCATENATE(T17,S17))&gt;=Parametros!$B$11,VALUE(CONCATENATE(T17,S17))&lt;=Parametros!$C$11),Parametros!$A$11,IF(AND(VALUE(CONCATENATE(T17,S17))&gt;=Parametros!$B$12,VALUE(CONCATENATE(T17,S17))&lt;=Parametros!$C$12),Parametros!$A$12,IF(AND(VALUE(CONCATENATE(T17,S17))&gt;=Parametros!$B$13,VALUE(CONCATENATE(T17,S17))&lt;=Parametros!$C$13),Parametros!$A$13,Parametros!$A$10)))</f>
        <v>Verano</v>
      </c>
    </row>
    <row r="18" spans="1:25" s="201" customFormat="1" ht="16.5" customHeight="1" thickBot="1" x14ac:dyDescent="0.3">
      <c r="A18" s="187"/>
      <c r="B18" s="188"/>
      <c r="C18" s="189"/>
      <c r="D18" s="215"/>
      <c r="E18" s="216"/>
      <c r="F18" s="189"/>
      <c r="G18" s="181"/>
      <c r="H18" s="181" t="str">
        <f t="shared" si="2"/>
        <v/>
      </c>
      <c r="I18" s="181"/>
      <c r="J18" s="197"/>
      <c r="K18" s="194">
        <f t="shared" si="0"/>
        <v>0</v>
      </c>
      <c r="L18" s="195">
        <f t="shared" si="1"/>
        <v>0</v>
      </c>
      <c r="M18" s="181">
        <f t="shared" si="3"/>
        <v>0</v>
      </c>
      <c r="N18" s="181"/>
      <c r="O18" s="181"/>
      <c r="P18" s="196">
        <f t="shared" si="4"/>
        <v>0</v>
      </c>
      <c r="Q18" s="181"/>
      <c r="S18" s="209" t="str">
        <f t="shared" si="5"/>
        <v>00</v>
      </c>
      <c r="T18" s="210" t="str">
        <f t="shared" si="5"/>
        <v>00</v>
      </c>
      <c r="U18" s="211">
        <f>IFERROR(VLOOKUP(Y18,Parametros!$A$10:$G$13,4,0),0)</f>
        <v>0.375</v>
      </c>
      <c r="V18" s="212">
        <f>IFERROR(VLOOKUP(Y18,Parametros!$A$10:$G$13,5,0),0)</f>
        <v>0.95833333333333337</v>
      </c>
      <c r="W18" s="212">
        <f>IFERROR(VLOOKUP(Y18,Parametros!$A$10:$G$13,6,0),0)</f>
        <v>0.9590277777777777</v>
      </c>
      <c r="X18" s="213">
        <f>IFERROR(VLOOKUP(Y18,Parametros!$A$10:$G$13,7,0),0)</f>
        <v>0.3743055555555555</v>
      </c>
      <c r="Y18" s="214" t="str">
        <f>IF(AND(VALUE(CONCATENATE(T18,S18))&gt;=Parametros!$B$11,VALUE(CONCATENATE(T18,S18))&lt;=Parametros!$C$11),Parametros!$A$11,IF(AND(VALUE(CONCATENATE(T18,S18))&gt;=Parametros!$B$12,VALUE(CONCATENATE(T18,S18))&lt;=Parametros!$C$12),Parametros!$A$12,IF(AND(VALUE(CONCATENATE(T18,S18))&gt;=Parametros!$B$13,VALUE(CONCATENATE(T18,S18))&lt;=Parametros!$C$13),Parametros!$A$13,Parametros!$A$10)))</f>
        <v>Verano</v>
      </c>
    </row>
    <row r="19" spans="1:25" s="201" customFormat="1" ht="16.5" customHeight="1" thickBot="1" x14ac:dyDescent="0.3">
      <c r="A19" s="198"/>
      <c r="B19" s="198"/>
      <c r="C19" s="189"/>
      <c r="D19" s="215"/>
      <c r="E19" s="216"/>
      <c r="F19" s="189"/>
      <c r="G19" s="181"/>
      <c r="H19" s="181" t="str">
        <f t="shared" si="2"/>
        <v/>
      </c>
      <c r="I19" s="181"/>
      <c r="J19" s="197"/>
      <c r="K19" s="194">
        <f>IF(AND(C19&lt;U19,F19&gt;U19,F19&lt;=V19,C19&lt;F19),F19-U19,0)*24+IF(AND(C19&gt;=U19,F19&lt;=V19,C19&lt;F19),F19-C19,0)*24+ IF(AND(C19&gt;=U19,C19&lt;=V19,C19&lt;F19,F19&gt;V19,F19&lt;VALUE("24:00")),V19-C19,0)*24+IF(AND(C19&gt;=U19,C19&lt;=V19,F19&gt;=VALUE("00:00"),F19&lt;U19),V19-C19,0)*24</f>
        <v>0</v>
      </c>
      <c r="L19" s="195">
        <f>IF(AND((C19)&lt;V19,(F19)&lt;U19,C19&lt;=F19),(F19)-(C19),0)*24+IF(AND(C19&lt;U19,F19&gt;U19,F19&lt;=V19,C19&lt;F19),U19-C19,0)*24+IF(AND(C19&gt;=U19,C19&lt;=V19,C19&lt;F19,F19&gt;V19,F19&lt;VALUE("24:00")),F19-V19,0)*24+IF(AND(C19&lt;F19,"24:00"&gt;F19,C19&gt;V19,F19&gt;V19),F19-C19,0)*24+IF(AND(C19&gt;=U19,C19&lt;=V19,F19&gt;VALUE("00:00"),F19&lt;U19),VALUE("24:00")-V19+F19,0)*24+IF(AND(C19&gt;V19,F19&lt;C19,F19&lt;U19,F19&gt;=VALUE("00:00")),VALUE("24:00")-C19+F19,0)*24</f>
        <v>0</v>
      </c>
      <c r="M19" s="181">
        <f t="shared" si="3"/>
        <v>0</v>
      </c>
      <c r="N19" s="181"/>
      <c r="O19" s="181"/>
      <c r="P19" s="196">
        <f t="shared" si="4"/>
        <v>0</v>
      </c>
      <c r="Q19" s="181"/>
      <c r="S19" s="209" t="str">
        <f t="shared" si="5"/>
        <v>00</v>
      </c>
      <c r="T19" s="210" t="str">
        <f t="shared" si="5"/>
        <v>00</v>
      </c>
      <c r="U19" s="211">
        <f>IFERROR(VLOOKUP(Y19,Parametros!$A$10:$G$13,4,0),0)</f>
        <v>0.375</v>
      </c>
      <c r="V19" s="212">
        <f>IFERROR(VLOOKUP(Y19,Parametros!$A$10:$G$13,5,0),0)</f>
        <v>0.95833333333333337</v>
      </c>
      <c r="W19" s="212">
        <f>IFERROR(VLOOKUP(Y19,Parametros!$A$10:$G$13,6,0),0)</f>
        <v>0.9590277777777777</v>
      </c>
      <c r="X19" s="213">
        <f>IFERROR(VLOOKUP(Y19,Parametros!$A$10:$G$13,7,0),0)</f>
        <v>0.3743055555555555</v>
      </c>
      <c r="Y19" s="214" t="str">
        <f>IF(AND(VALUE(CONCATENATE(T19,S19))&gt;=Parametros!$B$11,VALUE(CONCATENATE(T19,S19))&lt;=Parametros!$C$11),Parametros!$A$11,IF(AND(VALUE(CONCATENATE(T19,S19))&gt;=Parametros!$B$12,VALUE(CONCATENATE(T19,S19))&lt;=Parametros!$C$12),Parametros!$A$12,IF(AND(VALUE(CONCATENATE(T19,S19))&gt;=Parametros!$B$13,VALUE(CONCATENATE(T19,S19))&lt;=Parametros!$C$13),Parametros!$A$13,Parametros!$A$10)))</f>
        <v>Verano</v>
      </c>
    </row>
    <row r="20" spans="1:25" s="201" customFormat="1" ht="16.5" customHeight="1" thickBot="1" x14ac:dyDescent="0.3">
      <c r="A20" s="198"/>
      <c r="B20" s="198"/>
      <c r="C20" s="189"/>
      <c r="D20" s="215"/>
      <c r="E20" s="216"/>
      <c r="F20" s="189"/>
      <c r="G20" s="181"/>
      <c r="H20" s="181" t="str">
        <f t="shared" si="2"/>
        <v/>
      </c>
      <c r="I20" s="181"/>
      <c r="J20" s="197"/>
      <c r="K20" s="194">
        <f t="shared" ref="K20:K21" si="6">IF(AND(C20&lt;U20,F20&gt;U20,F20&lt;=V20,C20&lt;F20),F20-U20,0)*24+IF(AND(C20&gt;=U20,F20&lt;=V20,C20&lt;F20),F20-C20,0)*24+ IF(AND(C20&gt;=U20,C20&lt;=V20,C20&lt;F20,F20&gt;V20,F20&lt;VALUE("24:00")),V20-C20,0)*24+IF(AND(C20&gt;=U20,C20&lt;=V20,F20&gt;=VALUE("00:00"),F20&lt;U20),V20-C20,0)*24</f>
        <v>0</v>
      </c>
      <c r="L20" s="195">
        <f t="shared" ref="L20:L21" si="7">IF(AND((C20)&lt;V20,(F20)&lt;U20,C20&lt;=F20),(F20)-(C20),0)*24+IF(AND(C20&lt;U20,F20&gt;U20,F20&lt;=V20,C20&lt;F20),U20-C20,0)*24+IF(AND(C20&gt;=U20,C20&lt;=V20,C20&lt;F20,F20&gt;V20,F20&lt;VALUE("24:00")),F20-V20,0)*24+IF(AND(C20&lt;F20,"24:00"&gt;F20,C20&gt;V20,F20&gt;V20),F20-C20,0)*24+IF(AND(C20&gt;=U20,C20&lt;=V20,F20&gt;VALUE("00:00"),F20&lt;U20),VALUE("24:00")-V20+F20,0)*24+IF(AND(C20&gt;V20,F20&lt;C20,F20&lt;U20,F20&gt;=VALUE("00:00")),VALUE("24:00")-C20+F20,0)*24</f>
        <v>0</v>
      </c>
      <c r="M20" s="181">
        <f t="shared" si="3"/>
        <v>0</v>
      </c>
      <c r="N20" s="181"/>
      <c r="O20" s="181"/>
      <c r="P20" s="196">
        <f t="shared" si="4"/>
        <v>0</v>
      </c>
      <c r="Q20" s="181"/>
      <c r="S20" s="209" t="str">
        <f t="shared" si="5"/>
        <v>00</v>
      </c>
      <c r="T20" s="210" t="str">
        <f t="shared" si="5"/>
        <v>00</v>
      </c>
      <c r="U20" s="211">
        <f>IFERROR(VLOOKUP(Y20,Parametros!$A$10:$G$13,4,0),0)</f>
        <v>0.375</v>
      </c>
      <c r="V20" s="212">
        <f>IFERROR(VLOOKUP(Y20,Parametros!$A$10:$G$13,5,0),0)</f>
        <v>0.95833333333333337</v>
      </c>
      <c r="W20" s="212">
        <f>IFERROR(VLOOKUP(Y20,Parametros!$A$10:$G$13,6,0),0)</f>
        <v>0.9590277777777777</v>
      </c>
      <c r="X20" s="213">
        <f>IFERROR(VLOOKUP(Y20,Parametros!$A$10:$G$13,7,0),0)</f>
        <v>0.3743055555555555</v>
      </c>
      <c r="Y20" s="214" t="str">
        <f>IF(AND(VALUE(CONCATENATE(T20,S20))&gt;=Parametros!$B$11,VALUE(CONCATENATE(T20,S20))&lt;=Parametros!$C$11),Parametros!$A$11,IF(AND(VALUE(CONCATENATE(T20,S20))&gt;=Parametros!$B$12,VALUE(CONCATENATE(T20,S20))&lt;=Parametros!$C$12),Parametros!$A$12,IF(AND(VALUE(CONCATENATE(T20,S20))&gt;=Parametros!$B$13,VALUE(CONCATENATE(T20,S20))&lt;=Parametros!$C$13),Parametros!$A$13,Parametros!$A$10)))</f>
        <v>Verano</v>
      </c>
    </row>
    <row r="21" spans="1:25" s="201" customFormat="1" ht="16.5" customHeight="1" thickBot="1" x14ac:dyDescent="0.3">
      <c r="A21" s="198"/>
      <c r="B21" s="198"/>
      <c r="C21" s="189"/>
      <c r="D21" s="215"/>
      <c r="E21" s="216"/>
      <c r="F21" s="189"/>
      <c r="G21" s="199"/>
      <c r="H21" s="181" t="str">
        <f t="shared" si="2"/>
        <v/>
      </c>
      <c r="I21" s="181"/>
      <c r="J21" s="197"/>
      <c r="K21" s="194">
        <f t="shared" si="6"/>
        <v>0</v>
      </c>
      <c r="L21" s="195">
        <f t="shared" si="7"/>
        <v>0</v>
      </c>
      <c r="M21" s="181">
        <f t="shared" si="3"/>
        <v>0</v>
      </c>
      <c r="N21" s="181"/>
      <c r="O21" s="181"/>
      <c r="P21" s="196">
        <f t="shared" si="4"/>
        <v>0</v>
      </c>
      <c r="Q21" s="181"/>
      <c r="S21" s="209" t="str">
        <f t="shared" si="5"/>
        <v>00</v>
      </c>
      <c r="T21" s="210" t="str">
        <f t="shared" si="5"/>
        <v>00</v>
      </c>
      <c r="U21" s="211">
        <f>IFERROR(VLOOKUP(Y21,Parametros!$A$10:$G$13,4,0),0)</f>
        <v>0.375</v>
      </c>
      <c r="V21" s="212">
        <f>IFERROR(VLOOKUP(Y21,Parametros!$A$10:$G$13,5,0),0)</f>
        <v>0.95833333333333337</v>
      </c>
      <c r="W21" s="212">
        <f>IFERROR(VLOOKUP(Y21,Parametros!$A$10:$G$13,6,0),0)</f>
        <v>0.9590277777777777</v>
      </c>
      <c r="X21" s="213">
        <f>IFERROR(VLOOKUP(Y21,Parametros!$A$10:$G$13,7,0),0)</f>
        <v>0.3743055555555555</v>
      </c>
      <c r="Y21" s="214" t="str">
        <f>IF(AND(VALUE(CONCATENATE(T21,S21))&gt;=Parametros!$B$11,VALUE(CONCATENATE(T21,S21))&lt;=Parametros!$C$11),Parametros!$A$11,IF(AND(VALUE(CONCATENATE(T21,S21))&gt;=Parametros!$B$12,VALUE(CONCATENATE(T21,S21))&lt;=Parametros!$C$12),Parametros!$A$12,IF(AND(VALUE(CONCATENATE(T21,S21))&gt;=Parametros!$B$13,VALUE(CONCATENATE(T21,S21))&lt;=Parametros!$C$13),Parametros!$A$13,Parametros!$A$10)))</f>
        <v>Verano</v>
      </c>
    </row>
    <row r="22" spans="1:25" s="201" customFormat="1" ht="16.5" customHeight="1" x14ac:dyDescent="0.25">
      <c r="A22" s="256" t="s">
        <v>26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9">
        <f>SUM(K6:K21)</f>
        <v>0</v>
      </c>
      <c r="L22" s="259">
        <f>SUM(L6:L21)</f>
        <v>1.5</v>
      </c>
      <c r="M22" s="261">
        <f>SUM(M6:M21)</f>
        <v>1</v>
      </c>
      <c r="N22" s="182"/>
      <c r="O22" s="182"/>
      <c r="P22" s="244">
        <f>SUM(K22:L23)</f>
        <v>1.5</v>
      </c>
      <c r="Q22" s="242" t="s">
        <v>27</v>
      </c>
    </row>
    <row r="23" spans="1:25" s="201" customFormat="1" ht="16.5" customHeight="1" thickBot="1" x14ac:dyDescent="0.3">
      <c r="A23" s="245"/>
      <c r="B23" s="258"/>
      <c r="C23" s="258"/>
      <c r="D23" s="258"/>
      <c r="E23" s="258"/>
      <c r="F23" s="258"/>
      <c r="G23" s="258"/>
      <c r="H23" s="258"/>
      <c r="I23" s="258"/>
      <c r="J23" s="258"/>
      <c r="K23" s="260"/>
      <c r="L23" s="260"/>
      <c r="M23" s="258"/>
      <c r="N23" s="183"/>
      <c r="O23" s="183"/>
      <c r="P23" s="245"/>
      <c r="Q23" s="243"/>
    </row>
    <row r="24" spans="1:25" ht="15.75" customHeight="1" x14ac:dyDescent="0.25">
      <c r="A24" s="1"/>
      <c r="B24" s="1"/>
      <c r="C24" s="235" t="s">
        <v>28</v>
      </c>
      <c r="D24" s="236"/>
      <c r="E24" s="236"/>
      <c r="F24" s="2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4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37"/>
      <c r="K25" s="238"/>
      <c r="L25" s="238"/>
      <c r="M25" s="238"/>
      <c r="N25" s="1"/>
      <c r="O25" s="239"/>
      <c r="P25" s="240"/>
      <c r="Q25" s="1"/>
    </row>
    <row r="26" spans="1:25" ht="21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41" t="s">
        <v>30</v>
      </c>
      <c r="K26" s="238"/>
      <c r="L26" s="238"/>
      <c r="M26" s="238"/>
      <c r="N26" s="1"/>
      <c r="O26" s="241"/>
      <c r="P26" s="238"/>
      <c r="Q26" s="1"/>
    </row>
    <row r="27" spans="1:25" ht="12" customHeight="1" x14ac:dyDescent="0.25"/>
    <row r="28" spans="1:25" ht="12" customHeight="1" x14ac:dyDescent="0.25"/>
    <row r="29" spans="1:25" ht="12" customHeight="1" x14ac:dyDescent="0.25">
      <c r="A29" s="23"/>
    </row>
    <row r="30" spans="1:25" ht="12" customHeight="1" x14ac:dyDescent="0.25"/>
    <row r="31" spans="1:25" ht="12" customHeight="1" x14ac:dyDescent="0.25"/>
    <row r="32" spans="1:2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</sheetData>
  <mergeCells count="36">
    <mergeCell ref="B1:D1"/>
    <mergeCell ref="K3:K5"/>
    <mergeCell ref="L3:L5"/>
    <mergeCell ref="H6:J6"/>
    <mergeCell ref="G2:G6"/>
    <mergeCell ref="I1:L1"/>
    <mergeCell ref="K2:L2"/>
    <mergeCell ref="E1:G1"/>
    <mergeCell ref="F3:F6"/>
    <mergeCell ref="J3:J5"/>
    <mergeCell ref="H2:J2"/>
    <mergeCell ref="A2:B3"/>
    <mergeCell ref="A4:B4"/>
    <mergeCell ref="Q22:Q23"/>
    <mergeCell ref="J25:M25"/>
    <mergeCell ref="O25:P25"/>
    <mergeCell ref="J26:M26"/>
    <mergeCell ref="O26:P26"/>
    <mergeCell ref="M22:M23"/>
    <mergeCell ref="K22:K23"/>
    <mergeCell ref="L22:L23"/>
    <mergeCell ref="A22:J23"/>
    <mergeCell ref="C24:F24"/>
    <mergeCell ref="P22:P23"/>
    <mergeCell ref="U5:V5"/>
    <mergeCell ref="W5:X5"/>
    <mergeCell ref="P2:Q5"/>
    <mergeCell ref="A5:A6"/>
    <mergeCell ref="M2:M5"/>
    <mergeCell ref="H3:H5"/>
    <mergeCell ref="I3:I5"/>
    <mergeCell ref="B5:B6"/>
    <mergeCell ref="C2:F2"/>
    <mergeCell ref="C3:C6"/>
    <mergeCell ref="D3:E6"/>
    <mergeCell ref="N2:O3"/>
  </mergeCells>
  <dataValidations count="4">
    <dataValidation type="whole" allowBlank="1" showInputMessage="1" showErrorMessage="1" errorTitle="mes" error="El mes debe ser entre 01 y 12" promptTitle="Mes" prompt="Ingrese el Mes" sqref="B7:B21" xr:uid="{00000000-0002-0000-1C00-000000000000}">
      <formula1>1</formula1>
      <formula2>12</formula2>
    </dataValidation>
    <dataValidation type="whole" allowBlank="1" showInputMessage="1" showErrorMessage="1" errorTitle="Dia" error="Formato incorrecto debe ingresar un numero entre 01 y 31_x000a_" promptTitle="Ingreso Dia" prompt="Ingrese el dia " sqref="A7:A21" xr:uid="{00000000-0002-0000-1C00-000001000000}">
      <formula1>1</formula1>
      <formula2>31</formula2>
    </dataValidation>
    <dataValidation type="time" allowBlank="1" showInputMessage="1" showErrorMessage="1" errorTitle="arriibo" error="debe Ingresar con el formato HH:MM y debe ingresar un valor ente 00:00 y 23:59_x000a_" promptTitle="Arribo" prompt="Ingrese el horario de llegada" sqref="F7:F21" xr:uid="{00000000-0002-0000-1C00-000002000000}">
      <formula1>0</formula1>
      <formula2>0.999988425925926</formula2>
    </dataValidation>
    <dataValidation type="time" allowBlank="1" showInputMessage="1" showErrorMessage="1" errorTitle="despegue" error="debe Ingresar con el formato HH:MM y debe ingresar un valor ente 00:00 y 23:59_x000a__x000a_" promptTitle="despegue" prompt="Ingrese Horario de despegue" sqref="C7:C21" xr:uid="{00000000-0002-0000-1C00-000003000000}">
      <formula1>0</formula1>
      <formula2>0.999988425925926</formula2>
    </dataValidation>
  </dataValidations>
  <hyperlinks>
    <hyperlink ref="E1:G1" location="Parametros!B1" display="Parametros!B1" xr:uid="{00000000-0004-0000-1C00-000000000000}"/>
    <hyperlink ref="P1" location="Parametros!B2" display="Parametros!B2" xr:uid="{00000000-0004-0000-1C00-000001000000}"/>
  </hyperlinks>
  <pageMargins left="0.7" right="0.7" top="0.75" bottom="0.75" header="0" footer="0"/>
  <pageSetup scale="65" orientation="landscape" r:id="rId1"/>
  <ignoredErrors>
    <ignoredError sqref="H6:J6 H7:H21 K22:P23 J7:P2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Parametros!$E$21:$E$25</xm:f>
          </x14:formula1>
          <xm:sqref>I7:I21</xm:sqref>
        </x14:dataValidation>
        <x14:dataValidation type="list" allowBlank="1" showInputMessage="1" showErrorMessage="1" xr:uid="{00000000-0002-0000-1C00-000005000000}">
          <x14:formula1>
            <xm:f>Parametros!$B$17:$B$151</xm:f>
          </x14:formula1>
          <xm:sqref>D7:E21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26</vt:i4>
      </vt:variant>
    </vt:vector>
  </HeadingPairs>
  <TitlesOfParts>
    <vt:vector size="55" baseType="lpstr">
      <vt:lpstr>Parametros</vt:lpstr>
      <vt:lpstr>TOTALES MENSUALES</vt:lpstr>
      <vt:lpstr>TOTALES DIARIOS</vt:lpstr>
      <vt:lpstr>Consolidado</vt:lpstr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Hoja17</vt:lpstr>
      <vt:lpstr>Hoja18</vt:lpstr>
      <vt:lpstr>Hoja19</vt:lpstr>
      <vt:lpstr>Hoja20</vt:lpstr>
      <vt:lpstr>Hoja21</vt:lpstr>
      <vt:lpstr>Hoja22</vt:lpstr>
      <vt:lpstr>Hoja23</vt:lpstr>
      <vt:lpstr>Hoja24</vt:lpstr>
      <vt:lpstr>Hoja25</vt:lpstr>
      <vt:lpstr>Consolidado!Área_de_impresión</vt:lpstr>
      <vt:lpstr>Hoja1!Área_de_impresión</vt:lpstr>
      <vt:lpstr>Hoja10!Área_de_impresión</vt:lpstr>
      <vt:lpstr>Hoja11!Área_de_impresión</vt:lpstr>
      <vt:lpstr>Hoja12!Área_de_impresión</vt:lpstr>
      <vt:lpstr>Hoja13!Área_de_impresión</vt:lpstr>
      <vt:lpstr>Hoja14!Área_de_impresión</vt:lpstr>
      <vt:lpstr>Hoja15!Área_de_impresión</vt:lpstr>
      <vt:lpstr>Hoja16!Área_de_impresión</vt:lpstr>
      <vt:lpstr>Hoja17!Área_de_impresión</vt:lpstr>
      <vt:lpstr>Hoja18!Área_de_impresión</vt:lpstr>
      <vt:lpstr>Hoja19!Área_de_impresión</vt:lpstr>
      <vt:lpstr>Hoja2!Área_de_impresión</vt:lpstr>
      <vt:lpstr>Hoja20!Área_de_impresión</vt:lpstr>
      <vt:lpstr>Hoja21!Área_de_impresión</vt:lpstr>
      <vt:lpstr>Hoja22!Área_de_impresión</vt:lpstr>
      <vt:lpstr>Hoja23!Área_de_impresión</vt:lpstr>
      <vt:lpstr>Hoja24!Área_de_impresión</vt:lpstr>
      <vt:lpstr>Hoja25!Área_de_impresión</vt:lpstr>
      <vt:lpstr>Hoja3!Área_de_impresión</vt:lpstr>
      <vt:lpstr>Hoja4!Área_de_impresión</vt:lpstr>
      <vt:lpstr>Hoja5!Área_de_impresión</vt:lpstr>
      <vt:lpstr>Hoja6!Área_de_impresión</vt:lpstr>
      <vt:lpstr>Hoja7!Área_de_impresión</vt:lpstr>
      <vt:lpstr>Hoja8!Área_de_impresión</vt:lpstr>
      <vt:lpstr>Hoja9!Área_de_impresión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Flia Blanco</dc:creator>
  <cp:lastModifiedBy>Ariel Basseterre</cp:lastModifiedBy>
  <cp:lastPrinted>2026-07-24T03:22:45Z</cp:lastPrinted>
  <dcterms:created xsi:type="dcterms:W3CDTF">2004-10-30T20:40:25Z</dcterms:created>
  <dcterms:modified xsi:type="dcterms:W3CDTF">2026-07-27T21:02:13Z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b1305584-41bf-4685-8f56-45ed6a64ca05</vt:lpwstr>
  </property>
</Properties>
</file>